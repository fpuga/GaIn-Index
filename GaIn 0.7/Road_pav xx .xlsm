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1105"/>
  <workbookPr showInkAnnotation="0" codeName="ThisWorkbook" autoCompressPictures="0"/>
  <bookViews>
    <workbookView xWindow="16960" yWindow="500" windowWidth="31980" windowHeight="24480" activeTab="4"/>
  </bookViews>
  <sheets>
    <sheet name="Raw" sheetId="1" r:id="rId1"/>
    <sheet name="Raw touched" sheetId="2" r:id="rId2"/>
    <sheet name="Input" sheetId="3" r:id="rId3"/>
    <sheet name="Score" sheetId="4" r:id="rId4"/>
    <sheet name="Ranking" sheetId="5" r:id="rId5"/>
    <sheet name="S-Road_pav" sheetId="6" r:id="rId6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1" i="4" l="1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E108" i="4"/>
  <c r="F108" i="4"/>
  <c r="G108" i="4"/>
  <c r="H108" i="4"/>
  <c r="I108" i="4"/>
  <c r="J108" i="4"/>
  <c r="K108" i="4"/>
  <c r="L108" i="4"/>
  <c r="M108" i="4"/>
  <c r="N108" i="4"/>
  <c r="O108" i="4"/>
  <c r="P108" i="4"/>
  <c r="Q108" i="4"/>
  <c r="R108" i="4"/>
  <c r="S108" i="4"/>
  <c r="T108" i="4"/>
  <c r="U108" i="4"/>
  <c r="E110" i="4"/>
  <c r="F110" i="4"/>
  <c r="G110" i="4"/>
  <c r="H110" i="4"/>
  <c r="I110" i="4"/>
  <c r="J110" i="4"/>
  <c r="K110" i="4"/>
  <c r="L110" i="4"/>
  <c r="M110" i="4"/>
  <c r="N110" i="4"/>
  <c r="O110" i="4"/>
  <c r="P110" i="4"/>
  <c r="Q110" i="4"/>
  <c r="R110" i="4"/>
  <c r="S110" i="4"/>
  <c r="T110" i="4"/>
  <c r="U110" i="4"/>
  <c r="E133" i="4"/>
  <c r="F133" i="4"/>
  <c r="G133" i="4"/>
  <c r="H133" i="4"/>
  <c r="I133" i="4"/>
  <c r="J133" i="4"/>
  <c r="K133" i="4"/>
  <c r="L133" i="4"/>
  <c r="M133" i="4"/>
  <c r="N133" i="4"/>
  <c r="O133" i="4"/>
  <c r="P133" i="4"/>
  <c r="Q133" i="4"/>
  <c r="R133" i="4"/>
  <c r="S133" i="4"/>
  <c r="T133" i="4"/>
  <c r="U133" i="4"/>
  <c r="E152" i="4"/>
  <c r="F152" i="4"/>
  <c r="G152" i="4"/>
  <c r="H152" i="4"/>
  <c r="I152" i="4"/>
  <c r="J152" i="4"/>
  <c r="K152" i="4"/>
  <c r="L152" i="4"/>
  <c r="M152" i="4"/>
  <c r="N152" i="4"/>
  <c r="O152" i="4"/>
  <c r="P152" i="4"/>
  <c r="Q152" i="4"/>
  <c r="R152" i="4"/>
  <c r="S152" i="4"/>
  <c r="T152" i="4"/>
  <c r="U152" i="4"/>
  <c r="E170" i="4"/>
  <c r="F170" i="4"/>
  <c r="G170" i="4"/>
  <c r="H170" i="4"/>
  <c r="I170" i="4"/>
  <c r="J170" i="4"/>
  <c r="K170" i="4"/>
  <c r="L170" i="4"/>
  <c r="M170" i="4"/>
  <c r="N170" i="4"/>
  <c r="O170" i="4"/>
  <c r="P170" i="4"/>
  <c r="Q170" i="4"/>
  <c r="R170" i="4"/>
  <c r="S170" i="4"/>
  <c r="T170" i="4"/>
  <c r="U170" i="4"/>
  <c r="E174" i="4"/>
  <c r="F174" i="4"/>
  <c r="G174" i="4"/>
  <c r="H174" i="4"/>
  <c r="I174" i="4"/>
  <c r="J174" i="4"/>
  <c r="K174" i="4"/>
  <c r="L174" i="4"/>
  <c r="M174" i="4"/>
  <c r="N174" i="4"/>
  <c r="O174" i="4"/>
  <c r="P174" i="4"/>
  <c r="Q174" i="4"/>
  <c r="R174" i="4"/>
  <c r="S174" i="4"/>
  <c r="T174" i="4"/>
  <c r="U174" i="4"/>
  <c r="E185" i="4"/>
  <c r="F185" i="4"/>
  <c r="G185" i="4"/>
  <c r="H185" i="4"/>
  <c r="I185" i="4"/>
  <c r="J185" i="4"/>
  <c r="K185" i="4"/>
  <c r="L185" i="4"/>
  <c r="M185" i="4"/>
  <c r="N185" i="4"/>
  <c r="O185" i="4"/>
  <c r="P185" i="4"/>
  <c r="Q185" i="4"/>
  <c r="R185" i="4"/>
  <c r="S185" i="4"/>
  <c r="T185" i="4"/>
  <c r="U185" i="4"/>
  <c r="E196" i="4"/>
  <c r="F196" i="4"/>
  <c r="G196" i="4"/>
  <c r="H196" i="4"/>
  <c r="I196" i="4"/>
  <c r="J196" i="4"/>
  <c r="K196" i="4"/>
  <c r="L196" i="4"/>
  <c r="M196" i="4"/>
  <c r="N196" i="4"/>
  <c r="O196" i="4"/>
  <c r="P196" i="4"/>
  <c r="Q196" i="4"/>
  <c r="R196" i="4"/>
  <c r="S196" i="4"/>
  <c r="T196" i="4"/>
  <c r="U196" i="4"/>
  <c r="W11" i="4"/>
  <c r="W45" i="4"/>
  <c r="W108" i="4"/>
  <c r="W110" i="4"/>
  <c r="W133" i="4"/>
  <c r="W152" i="4"/>
  <c r="W170" i="4"/>
  <c r="W174" i="4"/>
  <c r="W185" i="4"/>
  <c r="W19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W6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W7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W8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W9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W10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W12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W13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W14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W15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W16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W17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W18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W19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W20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W21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W22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W23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W24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W25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W26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W27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W28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W29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W30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W31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W32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W33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W34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W35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W36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W37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W38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W39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W40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W41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W42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W43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W44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W46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W47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W48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W49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W50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W51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W52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W53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W54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W55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W56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W57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W58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W59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W60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W61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W62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W63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W64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W65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W66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W67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W68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W69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W70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W71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W72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W73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W74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W75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W76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W77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W78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W79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W80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W81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W82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W83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W84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W85" i="4"/>
  <c r="E86" i="4"/>
  <c r="F86" i="4"/>
  <c r="G86" i="4"/>
  <c r="H86" i="4"/>
  <c r="I86" i="4"/>
  <c r="J86" i="4"/>
  <c r="K86" i="4"/>
  <c r="L86" i="4"/>
  <c r="M86" i="4"/>
  <c r="N86" i="4"/>
  <c r="O86" i="4"/>
  <c r="P86" i="4"/>
  <c r="Q86" i="4"/>
  <c r="R86" i="4"/>
  <c r="S86" i="4"/>
  <c r="T86" i="4"/>
  <c r="U86" i="4"/>
  <c r="W86" i="4"/>
  <c r="E87" i="4"/>
  <c r="F87" i="4"/>
  <c r="G87" i="4"/>
  <c r="H87" i="4"/>
  <c r="I87" i="4"/>
  <c r="J87" i="4"/>
  <c r="K87" i="4"/>
  <c r="L87" i="4"/>
  <c r="M87" i="4"/>
  <c r="N87" i="4"/>
  <c r="O87" i="4"/>
  <c r="P87" i="4"/>
  <c r="Q87" i="4"/>
  <c r="R87" i="4"/>
  <c r="S87" i="4"/>
  <c r="T87" i="4"/>
  <c r="U87" i="4"/>
  <c r="W87" i="4"/>
  <c r="E88" i="4"/>
  <c r="F88" i="4"/>
  <c r="G88" i="4"/>
  <c r="H88" i="4"/>
  <c r="I88" i="4"/>
  <c r="J88" i="4"/>
  <c r="K88" i="4"/>
  <c r="L88" i="4"/>
  <c r="M88" i="4"/>
  <c r="N88" i="4"/>
  <c r="O88" i="4"/>
  <c r="P88" i="4"/>
  <c r="Q88" i="4"/>
  <c r="R88" i="4"/>
  <c r="S88" i="4"/>
  <c r="T88" i="4"/>
  <c r="U88" i="4"/>
  <c r="W88" i="4"/>
  <c r="E89" i="4"/>
  <c r="F89" i="4"/>
  <c r="G89" i="4"/>
  <c r="H89" i="4"/>
  <c r="I89" i="4"/>
  <c r="J89" i="4"/>
  <c r="K89" i="4"/>
  <c r="L89" i="4"/>
  <c r="M89" i="4"/>
  <c r="N89" i="4"/>
  <c r="O89" i="4"/>
  <c r="P89" i="4"/>
  <c r="Q89" i="4"/>
  <c r="R89" i="4"/>
  <c r="S89" i="4"/>
  <c r="T89" i="4"/>
  <c r="U89" i="4"/>
  <c r="W89" i="4"/>
  <c r="E90" i="4"/>
  <c r="F90" i="4"/>
  <c r="G90" i="4"/>
  <c r="H90" i="4"/>
  <c r="I90" i="4"/>
  <c r="J90" i="4"/>
  <c r="K90" i="4"/>
  <c r="L90" i="4"/>
  <c r="M90" i="4"/>
  <c r="N90" i="4"/>
  <c r="O90" i="4"/>
  <c r="P90" i="4"/>
  <c r="Q90" i="4"/>
  <c r="R90" i="4"/>
  <c r="S90" i="4"/>
  <c r="T90" i="4"/>
  <c r="U90" i="4"/>
  <c r="W90" i="4"/>
  <c r="E91" i="4"/>
  <c r="F91" i="4"/>
  <c r="G91" i="4"/>
  <c r="H91" i="4"/>
  <c r="I91" i="4"/>
  <c r="J91" i="4"/>
  <c r="K91" i="4"/>
  <c r="L91" i="4"/>
  <c r="M91" i="4"/>
  <c r="N91" i="4"/>
  <c r="O91" i="4"/>
  <c r="P91" i="4"/>
  <c r="Q91" i="4"/>
  <c r="R91" i="4"/>
  <c r="S91" i="4"/>
  <c r="T91" i="4"/>
  <c r="U91" i="4"/>
  <c r="W91" i="4"/>
  <c r="E92" i="4"/>
  <c r="F92" i="4"/>
  <c r="G92" i="4"/>
  <c r="H92" i="4"/>
  <c r="I92" i="4"/>
  <c r="J92" i="4"/>
  <c r="K92" i="4"/>
  <c r="L92" i="4"/>
  <c r="M92" i="4"/>
  <c r="N92" i="4"/>
  <c r="O92" i="4"/>
  <c r="P92" i="4"/>
  <c r="Q92" i="4"/>
  <c r="R92" i="4"/>
  <c r="S92" i="4"/>
  <c r="T92" i="4"/>
  <c r="U92" i="4"/>
  <c r="W92" i="4"/>
  <c r="E93" i="4"/>
  <c r="F93" i="4"/>
  <c r="G93" i="4"/>
  <c r="H93" i="4"/>
  <c r="I93" i="4"/>
  <c r="J93" i="4"/>
  <c r="K93" i="4"/>
  <c r="L93" i="4"/>
  <c r="M93" i="4"/>
  <c r="N93" i="4"/>
  <c r="O93" i="4"/>
  <c r="P93" i="4"/>
  <c r="Q93" i="4"/>
  <c r="R93" i="4"/>
  <c r="S93" i="4"/>
  <c r="T93" i="4"/>
  <c r="U93" i="4"/>
  <c r="W93" i="4"/>
  <c r="E94" i="4"/>
  <c r="F94" i="4"/>
  <c r="G94" i="4"/>
  <c r="H94" i="4"/>
  <c r="I94" i="4"/>
  <c r="J94" i="4"/>
  <c r="K94" i="4"/>
  <c r="L94" i="4"/>
  <c r="M94" i="4"/>
  <c r="N94" i="4"/>
  <c r="O94" i="4"/>
  <c r="P94" i="4"/>
  <c r="Q94" i="4"/>
  <c r="R94" i="4"/>
  <c r="S94" i="4"/>
  <c r="T94" i="4"/>
  <c r="U94" i="4"/>
  <c r="W94" i="4"/>
  <c r="E95" i="4"/>
  <c r="F95" i="4"/>
  <c r="G95" i="4"/>
  <c r="H95" i="4"/>
  <c r="I95" i="4"/>
  <c r="J95" i="4"/>
  <c r="K95" i="4"/>
  <c r="L95" i="4"/>
  <c r="M95" i="4"/>
  <c r="N95" i="4"/>
  <c r="O95" i="4"/>
  <c r="P95" i="4"/>
  <c r="Q95" i="4"/>
  <c r="R95" i="4"/>
  <c r="S95" i="4"/>
  <c r="T95" i="4"/>
  <c r="U95" i="4"/>
  <c r="W95" i="4"/>
  <c r="E96" i="4"/>
  <c r="F96" i="4"/>
  <c r="G96" i="4"/>
  <c r="H96" i="4"/>
  <c r="I96" i="4"/>
  <c r="J96" i="4"/>
  <c r="K96" i="4"/>
  <c r="L96" i="4"/>
  <c r="M96" i="4"/>
  <c r="N96" i="4"/>
  <c r="O96" i="4"/>
  <c r="P96" i="4"/>
  <c r="Q96" i="4"/>
  <c r="R96" i="4"/>
  <c r="S96" i="4"/>
  <c r="T96" i="4"/>
  <c r="U96" i="4"/>
  <c r="W96" i="4"/>
  <c r="E97" i="4"/>
  <c r="F97" i="4"/>
  <c r="G97" i="4"/>
  <c r="H97" i="4"/>
  <c r="I97" i="4"/>
  <c r="J97" i="4"/>
  <c r="K97" i="4"/>
  <c r="L97" i="4"/>
  <c r="M97" i="4"/>
  <c r="N97" i="4"/>
  <c r="O97" i="4"/>
  <c r="P97" i="4"/>
  <c r="Q97" i="4"/>
  <c r="R97" i="4"/>
  <c r="S97" i="4"/>
  <c r="T97" i="4"/>
  <c r="U97" i="4"/>
  <c r="W97" i="4"/>
  <c r="E98" i="4"/>
  <c r="F98" i="4"/>
  <c r="G98" i="4"/>
  <c r="H98" i="4"/>
  <c r="I98" i="4"/>
  <c r="J98" i="4"/>
  <c r="K98" i="4"/>
  <c r="L98" i="4"/>
  <c r="M98" i="4"/>
  <c r="N98" i="4"/>
  <c r="O98" i="4"/>
  <c r="P98" i="4"/>
  <c r="Q98" i="4"/>
  <c r="R98" i="4"/>
  <c r="S98" i="4"/>
  <c r="T98" i="4"/>
  <c r="U98" i="4"/>
  <c r="W98" i="4"/>
  <c r="E99" i="4"/>
  <c r="F99" i="4"/>
  <c r="G99" i="4"/>
  <c r="H99" i="4"/>
  <c r="I99" i="4"/>
  <c r="J99" i="4"/>
  <c r="K99" i="4"/>
  <c r="L99" i="4"/>
  <c r="M99" i="4"/>
  <c r="N99" i="4"/>
  <c r="O99" i="4"/>
  <c r="P99" i="4"/>
  <c r="Q99" i="4"/>
  <c r="R99" i="4"/>
  <c r="S99" i="4"/>
  <c r="T99" i="4"/>
  <c r="U99" i="4"/>
  <c r="W99" i="4"/>
  <c r="E100" i="4"/>
  <c r="F100" i="4"/>
  <c r="G100" i="4"/>
  <c r="H100" i="4"/>
  <c r="I100" i="4"/>
  <c r="J100" i="4"/>
  <c r="K100" i="4"/>
  <c r="L100" i="4"/>
  <c r="M100" i="4"/>
  <c r="N100" i="4"/>
  <c r="O100" i="4"/>
  <c r="P100" i="4"/>
  <c r="Q100" i="4"/>
  <c r="R100" i="4"/>
  <c r="S100" i="4"/>
  <c r="T100" i="4"/>
  <c r="U100" i="4"/>
  <c r="W100" i="4"/>
  <c r="E101" i="4"/>
  <c r="F101" i="4"/>
  <c r="G101" i="4"/>
  <c r="H101" i="4"/>
  <c r="I101" i="4"/>
  <c r="J101" i="4"/>
  <c r="K101" i="4"/>
  <c r="L101" i="4"/>
  <c r="M101" i="4"/>
  <c r="N101" i="4"/>
  <c r="O101" i="4"/>
  <c r="P101" i="4"/>
  <c r="Q101" i="4"/>
  <c r="R101" i="4"/>
  <c r="S101" i="4"/>
  <c r="T101" i="4"/>
  <c r="U101" i="4"/>
  <c r="W101" i="4"/>
  <c r="E102" i="4"/>
  <c r="F102" i="4"/>
  <c r="G102" i="4"/>
  <c r="H102" i="4"/>
  <c r="I102" i="4"/>
  <c r="J102" i="4"/>
  <c r="K102" i="4"/>
  <c r="L102" i="4"/>
  <c r="M102" i="4"/>
  <c r="N102" i="4"/>
  <c r="O102" i="4"/>
  <c r="P102" i="4"/>
  <c r="Q102" i="4"/>
  <c r="R102" i="4"/>
  <c r="S102" i="4"/>
  <c r="T102" i="4"/>
  <c r="U102" i="4"/>
  <c r="W102" i="4"/>
  <c r="E103" i="4"/>
  <c r="F103" i="4"/>
  <c r="G103" i="4"/>
  <c r="H103" i="4"/>
  <c r="I103" i="4"/>
  <c r="J103" i="4"/>
  <c r="K103" i="4"/>
  <c r="L103" i="4"/>
  <c r="M103" i="4"/>
  <c r="N103" i="4"/>
  <c r="O103" i="4"/>
  <c r="P103" i="4"/>
  <c r="Q103" i="4"/>
  <c r="R103" i="4"/>
  <c r="S103" i="4"/>
  <c r="T103" i="4"/>
  <c r="U103" i="4"/>
  <c r="W103" i="4"/>
  <c r="E104" i="4"/>
  <c r="F104" i="4"/>
  <c r="G104" i="4"/>
  <c r="H104" i="4"/>
  <c r="I104" i="4"/>
  <c r="J104" i="4"/>
  <c r="K104" i="4"/>
  <c r="L104" i="4"/>
  <c r="M104" i="4"/>
  <c r="N104" i="4"/>
  <c r="O104" i="4"/>
  <c r="P104" i="4"/>
  <c r="Q104" i="4"/>
  <c r="R104" i="4"/>
  <c r="S104" i="4"/>
  <c r="T104" i="4"/>
  <c r="U104" i="4"/>
  <c r="W104" i="4"/>
  <c r="E105" i="4"/>
  <c r="F105" i="4"/>
  <c r="G105" i="4"/>
  <c r="H105" i="4"/>
  <c r="I105" i="4"/>
  <c r="J105" i="4"/>
  <c r="K105" i="4"/>
  <c r="L105" i="4"/>
  <c r="M105" i="4"/>
  <c r="N105" i="4"/>
  <c r="O105" i="4"/>
  <c r="P105" i="4"/>
  <c r="Q105" i="4"/>
  <c r="R105" i="4"/>
  <c r="S105" i="4"/>
  <c r="T105" i="4"/>
  <c r="U105" i="4"/>
  <c r="W105" i="4"/>
  <c r="E106" i="4"/>
  <c r="F106" i="4"/>
  <c r="G106" i="4"/>
  <c r="H106" i="4"/>
  <c r="I106" i="4"/>
  <c r="J106" i="4"/>
  <c r="K106" i="4"/>
  <c r="L106" i="4"/>
  <c r="M106" i="4"/>
  <c r="N106" i="4"/>
  <c r="O106" i="4"/>
  <c r="P106" i="4"/>
  <c r="Q106" i="4"/>
  <c r="R106" i="4"/>
  <c r="S106" i="4"/>
  <c r="T106" i="4"/>
  <c r="U106" i="4"/>
  <c r="W106" i="4"/>
  <c r="E107" i="4"/>
  <c r="F107" i="4"/>
  <c r="G107" i="4"/>
  <c r="H107" i="4"/>
  <c r="I107" i="4"/>
  <c r="J107" i="4"/>
  <c r="K107" i="4"/>
  <c r="L107" i="4"/>
  <c r="M107" i="4"/>
  <c r="N107" i="4"/>
  <c r="O107" i="4"/>
  <c r="P107" i="4"/>
  <c r="Q107" i="4"/>
  <c r="R107" i="4"/>
  <c r="S107" i="4"/>
  <c r="T107" i="4"/>
  <c r="U107" i="4"/>
  <c r="W107" i="4"/>
  <c r="E109" i="4"/>
  <c r="F109" i="4"/>
  <c r="G109" i="4"/>
  <c r="H109" i="4"/>
  <c r="I109" i="4"/>
  <c r="J109" i="4"/>
  <c r="K109" i="4"/>
  <c r="L109" i="4"/>
  <c r="M109" i="4"/>
  <c r="N109" i="4"/>
  <c r="O109" i="4"/>
  <c r="P109" i="4"/>
  <c r="Q109" i="4"/>
  <c r="R109" i="4"/>
  <c r="S109" i="4"/>
  <c r="T109" i="4"/>
  <c r="U109" i="4"/>
  <c r="W109" i="4"/>
  <c r="E111" i="4"/>
  <c r="F111" i="4"/>
  <c r="G111" i="4"/>
  <c r="H111" i="4"/>
  <c r="I111" i="4"/>
  <c r="J111" i="4"/>
  <c r="K111" i="4"/>
  <c r="L111" i="4"/>
  <c r="M111" i="4"/>
  <c r="N111" i="4"/>
  <c r="O111" i="4"/>
  <c r="P111" i="4"/>
  <c r="Q111" i="4"/>
  <c r="R111" i="4"/>
  <c r="S111" i="4"/>
  <c r="T111" i="4"/>
  <c r="U111" i="4"/>
  <c r="W111" i="4"/>
  <c r="E112" i="4"/>
  <c r="F112" i="4"/>
  <c r="G112" i="4"/>
  <c r="H112" i="4"/>
  <c r="I112" i="4"/>
  <c r="J112" i="4"/>
  <c r="K112" i="4"/>
  <c r="L112" i="4"/>
  <c r="M112" i="4"/>
  <c r="N112" i="4"/>
  <c r="O112" i="4"/>
  <c r="P112" i="4"/>
  <c r="Q112" i="4"/>
  <c r="R112" i="4"/>
  <c r="S112" i="4"/>
  <c r="T112" i="4"/>
  <c r="U112" i="4"/>
  <c r="W112" i="4"/>
  <c r="E113" i="4"/>
  <c r="F113" i="4"/>
  <c r="G113" i="4"/>
  <c r="H113" i="4"/>
  <c r="I113" i="4"/>
  <c r="J113" i="4"/>
  <c r="K113" i="4"/>
  <c r="L113" i="4"/>
  <c r="M113" i="4"/>
  <c r="N113" i="4"/>
  <c r="O113" i="4"/>
  <c r="P113" i="4"/>
  <c r="Q113" i="4"/>
  <c r="R113" i="4"/>
  <c r="S113" i="4"/>
  <c r="T113" i="4"/>
  <c r="U113" i="4"/>
  <c r="W113" i="4"/>
  <c r="E114" i="4"/>
  <c r="F114" i="4"/>
  <c r="G114" i="4"/>
  <c r="H114" i="4"/>
  <c r="I114" i="4"/>
  <c r="J114" i="4"/>
  <c r="K114" i="4"/>
  <c r="L114" i="4"/>
  <c r="M114" i="4"/>
  <c r="N114" i="4"/>
  <c r="O114" i="4"/>
  <c r="P114" i="4"/>
  <c r="Q114" i="4"/>
  <c r="R114" i="4"/>
  <c r="S114" i="4"/>
  <c r="T114" i="4"/>
  <c r="U114" i="4"/>
  <c r="W114" i="4"/>
  <c r="E115" i="4"/>
  <c r="F115" i="4"/>
  <c r="G115" i="4"/>
  <c r="H115" i="4"/>
  <c r="I115" i="4"/>
  <c r="J115" i="4"/>
  <c r="K115" i="4"/>
  <c r="L115" i="4"/>
  <c r="M115" i="4"/>
  <c r="N115" i="4"/>
  <c r="O115" i="4"/>
  <c r="P115" i="4"/>
  <c r="Q115" i="4"/>
  <c r="R115" i="4"/>
  <c r="S115" i="4"/>
  <c r="T115" i="4"/>
  <c r="U115" i="4"/>
  <c r="W115" i="4"/>
  <c r="E116" i="4"/>
  <c r="F116" i="4"/>
  <c r="G116" i="4"/>
  <c r="H116" i="4"/>
  <c r="I116" i="4"/>
  <c r="J116" i="4"/>
  <c r="K116" i="4"/>
  <c r="L116" i="4"/>
  <c r="M116" i="4"/>
  <c r="N116" i="4"/>
  <c r="O116" i="4"/>
  <c r="P116" i="4"/>
  <c r="Q116" i="4"/>
  <c r="R116" i="4"/>
  <c r="S116" i="4"/>
  <c r="T116" i="4"/>
  <c r="U116" i="4"/>
  <c r="W116" i="4"/>
  <c r="E117" i="4"/>
  <c r="F117" i="4"/>
  <c r="G117" i="4"/>
  <c r="H117" i="4"/>
  <c r="I117" i="4"/>
  <c r="J117" i="4"/>
  <c r="K117" i="4"/>
  <c r="L117" i="4"/>
  <c r="M117" i="4"/>
  <c r="N117" i="4"/>
  <c r="O117" i="4"/>
  <c r="P117" i="4"/>
  <c r="Q117" i="4"/>
  <c r="R117" i="4"/>
  <c r="S117" i="4"/>
  <c r="T117" i="4"/>
  <c r="U117" i="4"/>
  <c r="W117" i="4"/>
  <c r="E118" i="4"/>
  <c r="F118" i="4"/>
  <c r="G118" i="4"/>
  <c r="H118" i="4"/>
  <c r="I118" i="4"/>
  <c r="J118" i="4"/>
  <c r="K118" i="4"/>
  <c r="L118" i="4"/>
  <c r="M118" i="4"/>
  <c r="N118" i="4"/>
  <c r="O118" i="4"/>
  <c r="P118" i="4"/>
  <c r="Q118" i="4"/>
  <c r="R118" i="4"/>
  <c r="S118" i="4"/>
  <c r="T118" i="4"/>
  <c r="U118" i="4"/>
  <c r="W118" i="4"/>
  <c r="E119" i="4"/>
  <c r="F119" i="4"/>
  <c r="G119" i="4"/>
  <c r="H119" i="4"/>
  <c r="I119" i="4"/>
  <c r="J119" i="4"/>
  <c r="K119" i="4"/>
  <c r="L119" i="4"/>
  <c r="M119" i="4"/>
  <c r="N119" i="4"/>
  <c r="O119" i="4"/>
  <c r="P119" i="4"/>
  <c r="Q119" i="4"/>
  <c r="R119" i="4"/>
  <c r="S119" i="4"/>
  <c r="T119" i="4"/>
  <c r="U119" i="4"/>
  <c r="W119" i="4"/>
  <c r="E120" i="4"/>
  <c r="F120" i="4"/>
  <c r="G120" i="4"/>
  <c r="H120" i="4"/>
  <c r="I120" i="4"/>
  <c r="J120" i="4"/>
  <c r="K120" i="4"/>
  <c r="L120" i="4"/>
  <c r="M120" i="4"/>
  <c r="N120" i="4"/>
  <c r="O120" i="4"/>
  <c r="P120" i="4"/>
  <c r="Q120" i="4"/>
  <c r="R120" i="4"/>
  <c r="S120" i="4"/>
  <c r="T120" i="4"/>
  <c r="U120" i="4"/>
  <c r="W120" i="4"/>
  <c r="E121" i="4"/>
  <c r="F121" i="4"/>
  <c r="G121" i="4"/>
  <c r="H121" i="4"/>
  <c r="I121" i="4"/>
  <c r="J121" i="4"/>
  <c r="K121" i="4"/>
  <c r="L121" i="4"/>
  <c r="M121" i="4"/>
  <c r="N121" i="4"/>
  <c r="O121" i="4"/>
  <c r="P121" i="4"/>
  <c r="Q121" i="4"/>
  <c r="R121" i="4"/>
  <c r="S121" i="4"/>
  <c r="T121" i="4"/>
  <c r="U121" i="4"/>
  <c r="W121" i="4"/>
  <c r="E122" i="4"/>
  <c r="F122" i="4"/>
  <c r="G122" i="4"/>
  <c r="H122" i="4"/>
  <c r="I122" i="4"/>
  <c r="J122" i="4"/>
  <c r="K122" i="4"/>
  <c r="L122" i="4"/>
  <c r="M122" i="4"/>
  <c r="N122" i="4"/>
  <c r="O122" i="4"/>
  <c r="P122" i="4"/>
  <c r="Q122" i="4"/>
  <c r="R122" i="4"/>
  <c r="S122" i="4"/>
  <c r="T122" i="4"/>
  <c r="U122" i="4"/>
  <c r="W122" i="4"/>
  <c r="E123" i="4"/>
  <c r="F123" i="4"/>
  <c r="G123" i="4"/>
  <c r="H123" i="4"/>
  <c r="I123" i="4"/>
  <c r="J123" i="4"/>
  <c r="K123" i="4"/>
  <c r="L123" i="4"/>
  <c r="M123" i="4"/>
  <c r="N123" i="4"/>
  <c r="O123" i="4"/>
  <c r="P123" i="4"/>
  <c r="Q123" i="4"/>
  <c r="R123" i="4"/>
  <c r="S123" i="4"/>
  <c r="T123" i="4"/>
  <c r="U123" i="4"/>
  <c r="W123" i="4"/>
  <c r="E124" i="4"/>
  <c r="F124" i="4"/>
  <c r="G124" i="4"/>
  <c r="H124" i="4"/>
  <c r="I124" i="4"/>
  <c r="J124" i="4"/>
  <c r="K124" i="4"/>
  <c r="L124" i="4"/>
  <c r="M124" i="4"/>
  <c r="N124" i="4"/>
  <c r="O124" i="4"/>
  <c r="P124" i="4"/>
  <c r="Q124" i="4"/>
  <c r="R124" i="4"/>
  <c r="S124" i="4"/>
  <c r="T124" i="4"/>
  <c r="U124" i="4"/>
  <c r="W124" i="4"/>
  <c r="E125" i="4"/>
  <c r="F125" i="4"/>
  <c r="G125" i="4"/>
  <c r="H125" i="4"/>
  <c r="I125" i="4"/>
  <c r="J125" i="4"/>
  <c r="K125" i="4"/>
  <c r="L125" i="4"/>
  <c r="M125" i="4"/>
  <c r="N125" i="4"/>
  <c r="O125" i="4"/>
  <c r="P125" i="4"/>
  <c r="Q125" i="4"/>
  <c r="R125" i="4"/>
  <c r="S125" i="4"/>
  <c r="T125" i="4"/>
  <c r="U125" i="4"/>
  <c r="W125" i="4"/>
  <c r="E126" i="4"/>
  <c r="F126" i="4"/>
  <c r="G126" i="4"/>
  <c r="H126" i="4"/>
  <c r="I126" i="4"/>
  <c r="J126" i="4"/>
  <c r="K126" i="4"/>
  <c r="L126" i="4"/>
  <c r="M126" i="4"/>
  <c r="N126" i="4"/>
  <c r="O126" i="4"/>
  <c r="P126" i="4"/>
  <c r="Q126" i="4"/>
  <c r="R126" i="4"/>
  <c r="S126" i="4"/>
  <c r="T126" i="4"/>
  <c r="U126" i="4"/>
  <c r="W126" i="4"/>
  <c r="E127" i="4"/>
  <c r="F127" i="4"/>
  <c r="G127" i="4"/>
  <c r="H127" i="4"/>
  <c r="I127" i="4"/>
  <c r="J127" i="4"/>
  <c r="K127" i="4"/>
  <c r="L127" i="4"/>
  <c r="M127" i="4"/>
  <c r="N127" i="4"/>
  <c r="O127" i="4"/>
  <c r="P127" i="4"/>
  <c r="Q127" i="4"/>
  <c r="R127" i="4"/>
  <c r="S127" i="4"/>
  <c r="T127" i="4"/>
  <c r="U127" i="4"/>
  <c r="W127" i="4"/>
  <c r="E128" i="4"/>
  <c r="F128" i="4"/>
  <c r="G128" i="4"/>
  <c r="H128" i="4"/>
  <c r="I128" i="4"/>
  <c r="J128" i="4"/>
  <c r="K128" i="4"/>
  <c r="L128" i="4"/>
  <c r="M128" i="4"/>
  <c r="N128" i="4"/>
  <c r="O128" i="4"/>
  <c r="P128" i="4"/>
  <c r="Q128" i="4"/>
  <c r="R128" i="4"/>
  <c r="S128" i="4"/>
  <c r="T128" i="4"/>
  <c r="U128" i="4"/>
  <c r="W128" i="4"/>
  <c r="E129" i="4"/>
  <c r="F129" i="4"/>
  <c r="G129" i="4"/>
  <c r="H129" i="4"/>
  <c r="I129" i="4"/>
  <c r="J129" i="4"/>
  <c r="K129" i="4"/>
  <c r="L129" i="4"/>
  <c r="M129" i="4"/>
  <c r="N129" i="4"/>
  <c r="O129" i="4"/>
  <c r="P129" i="4"/>
  <c r="Q129" i="4"/>
  <c r="R129" i="4"/>
  <c r="S129" i="4"/>
  <c r="T129" i="4"/>
  <c r="U129" i="4"/>
  <c r="W129" i="4"/>
  <c r="E130" i="4"/>
  <c r="F130" i="4"/>
  <c r="G130" i="4"/>
  <c r="H130" i="4"/>
  <c r="I130" i="4"/>
  <c r="J130" i="4"/>
  <c r="K130" i="4"/>
  <c r="L130" i="4"/>
  <c r="M130" i="4"/>
  <c r="N130" i="4"/>
  <c r="O130" i="4"/>
  <c r="P130" i="4"/>
  <c r="Q130" i="4"/>
  <c r="R130" i="4"/>
  <c r="S130" i="4"/>
  <c r="T130" i="4"/>
  <c r="U130" i="4"/>
  <c r="W130" i="4"/>
  <c r="E131" i="4"/>
  <c r="F131" i="4"/>
  <c r="G131" i="4"/>
  <c r="H131" i="4"/>
  <c r="I131" i="4"/>
  <c r="J131" i="4"/>
  <c r="K131" i="4"/>
  <c r="L131" i="4"/>
  <c r="M131" i="4"/>
  <c r="N131" i="4"/>
  <c r="O131" i="4"/>
  <c r="P131" i="4"/>
  <c r="Q131" i="4"/>
  <c r="R131" i="4"/>
  <c r="S131" i="4"/>
  <c r="T131" i="4"/>
  <c r="U131" i="4"/>
  <c r="W131" i="4"/>
  <c r="E132" i="4"/>
  <c r="F132" i="4"/>
  <c r="G132" i="4"/>
  <c r="H132" i="4"/>
  <c r="I132" i="4"/>
  <c r="J132" i="4"/>
  <c r="K132" i="4"/>
  <c r="L132" i="4"/>
  <c r="M132" i="4"/>
  <c r="N132" i="4"/>
  <c r="O132" i="4"/>
  <c r="P132" i="4"/>
  <c r="Q132" i="4"/>
  <c r="R132" i="4"/>
  <c r="S132" i="4"/>
  <c r="T132" i="4"/>
  <c r="U132" i="4"/>
  <c r="W132" i="4"/>
  <c r="E134" i="4"/>
  <c r="F134" i="4"/>
  <c r="G134" i="4"/>
  <c r="H134" i="4"/>
  <c r="I134" i="4"/>
  <c r="J134" i="4"/>
  <c r="K134" i="4"/>
  <c r="L134" i="4"/>
  <c r="M134" i="4"/>
  <c r="N134" i="4"/>
  <c r="O134" i="4"/>
  <c r="P134" i="4"/>
  <c r="Q134" i="4"/>
  <c r="R134" i="4"/>
  <c r="S134" i="4"/>
  <c r="T134" i="4"/>
  <c r="U134" i="4"/>
  <c r="W134" i="4"/>
  <c r="E135" i="4"/>
  <c r="F135" i="4"/>
  <c r="G135" i="4"/>
  <c r="H135" i="4"/>
  <c r="I135" i="4"/>
  <c r="J135" i="4"/>
  <c r="K135" i="4"/>
  <c r="L135" i="4"/>
  <c r="M135" i="4"/>
  <c r="N135" i="4"/>
  <c r="O135" i="4"/>
  <c r="P135" i="4"/>
  <c r="Q135" i="4"/>
  <c r="R135" i="4"/>
  <c r="S135" i="4"/>
  <c r="T135" i="4"/>
  <c r="U135" i="4"/>
  <c r="W135" i="4"/>
  <c r="E136" i="4"/>
  <c r="F136" i="4"/>
  <c r="G136" i="4"/>
  <c r="H136" i="4"/>
  <c r="I136" i="4"/>
  <c r="J136" i="4"/>
  <c r="K136" i="4"/>
  <c r="L136" i="4"/>
  <c r="M136" i="4"/>
  <c r="N136" i="4"/>
  <c r="O136" i="4"/>
  <c r="P136" i="4"/>
  <c r="Q136" i="4"/>
  <c r="R136" i="4"/>
  <c r="S136" i="4"/>
  <c r="T136" i="4"/>
  <c r="U136" i="4"/>
  <c r="W136" i="4"/>
  <c r="E137" i="4"/>
  <c r="F137" i="4"/>
  <c r="G137" i="4"/>
  <c r="H137" i="4"/>
  <c r="I137" i="4"/>
  <c r="J137" i="4"/>
  <c r="K137" i="4"/>
  <c r="L137" i="4"/>
  <c r="M137" i="4"/>
  <c r="N137" i="4"/>
  <c r="O137" i="4"/>
  <c r="P137" i="4"/>
  <c r="Q137" i="4"/>
  <c r="R137" i="4"/>
  <c r="S137" i="4"/>
  <c r="T137" i="4"/>
  <c r="U137" i="4"/>
  <c r="W137" i="4"/>
  <c r="E138" i="4"/>
  <c r="F138" i="4"/>
  <c r="G138" i="4"/>
  <c r="H138" i="4"/>
  <c r="I138" i="4"/>
  <c r="J138" i="4"/>
  <c r="K138" i="4"/>
  <c r="L138" i="4"/>
  <c r="M138" i="4"/>
  <c r="N138" i="4"/>
  <c r="O138" i="4"/>
  <c r="P138" i="4"/>
  <c r="Q138" i="4"/>
  <c r="R138" i="4"/>
  <c r="S138" i="4"/>
  <c r="T138" i="4"/>
  <c r="U138" i="4"/>
  <c r="W138" i="4"/>
  <c r="E139" i="4"/>
  <c r="F139" i="4"/>
  <c r="G139" i="4"/>
  <c r="H139" i="4"/>
  <c r="I139" i="4"/>
  <c r="J139" i="4"/>
  <c r="K139" i="4"/>
  <c r="L139" i="4"/>
  <c r="M139" i="4"/>
  <c r="N139" i="4"/>
  <c r="O139" i="4"/>
  <c r="P139" i="4"/>
  <c r="Q139" i="4"/>
  <c r="R139" i="4"/>
  <c r="S139" i="4"/>
  <c r="T139" i="4"/>
  <c r="U139" i="4"/>
  <c r="W139" i="4"/>
  <c r="E140" i="4"/>
  <c r="F140" i="4"/>
  <c r="G140" i="4"/>
  <c r="H140" i="4"/>
  <c r="I140" i="4"/>
  <c r="J140" i="4"/>
  <c r="K140" i="4"/>
  <c r="L140" i="4"/>
  <c r="M140" i="4"/>
  <c r="N140" i="4"/>
  <c r="O140" i="4"/>
  <c r="P140" i="4"/>
  <c r="Q140" i="4"/>
  <c r="R140" i="4"/>
  <c r="S140" i="4"/>
  <c r="T140" i="4"/>
  <c r="U140" i="4"/>
  <c r="W140" i="4"/>
  <c r="E141" i="4"/>
  <c r="F141" i="4"/>
  <c r="G141" i="4"/>
  <c r="H141" i="4"/>
  <c r="I141" i="4"/>
  <c r="J141" i="4"/>
  <c r="K141" i="4"/>
  <c r="L141" i="4"/>
  <c r="M141" i="4"/>
  <c r="N141" i="4"/>
  <c r="O141" i="4"/>
  <c r="P141" i="4"/>
  <c r="Q141" i="4"/>
  <c r="R141" i="4"/>
  <c r="S141" i="4"/>
  <c r="T141" i="4"/>
  <c r="U141" i="4"/>
  <c r="W141" i="4"/>
  <c r="E142" i="4"/>
  <c r="F142" i="4"/>
  <c r="G142" i="4"/>
  <c r="H142" i="4"/>
  <c r="I142" i="4"/>
  <c r="J142" i="4"/>
  <c r="K142" i="4"/>
  <c r="L142" i="4"/>
  <c r="M142" i="4"/>
  <c r="N142" i="4"/>
  <c r="O142" i="4"/>
  <c r="P142" i="4"/>
  <c r="Q142" i="4"/>
  <c r="R142" i="4"/>
  <c r="S142" i="4"/>
  <c r="T142" i="4"/>
  <c r="U142" i="4"/>
  <c r="W142" i="4"/>
  <c r="E143" i="4"/>
  <c r="F143" i="4"/>
  <c r="G143" i="4"/>
  <c r="H143" i="4"/>
  <c r="I143" i="4"/>
  <c r="J143" i="4"/>
  <c r="K143" i="4"/>
  <c r="L143" i="4"/>
  <c r="M143" i="4"/>
  <c r="N143" i="4"/>
  <c r="O143" i="4"/>
  <c r="P143" i="4"/>
  <c r="Q143" i="4"/>
  <c r="R143" i="4"/>
  <c r="S143" i="4"/>
  <c r="T143" i="4"/>
  <c r="U143" i="4"/>
  <c r="W143" i="4"/>
  <c r="E144" i="4"/>
  <c r="F144" i="4"/>
  <c r="G144" i="4"/>
  <c r="H144" i="4"/>
  <c r="I144" i="4"/>
  <c r="J144" i="4"/>
  <c r="K144" i="4"/>
  <c r="L144" i="4"/>
  <c r="M144" i="4"/>
  <c r="N144" i="4"/>
  <c r="O144" i="4"/>
  <c r="P144" i="4"/>
  <c r="Q144" i="4"/>
  <c r="R144" i="4"/>
  <c r="S144" i="4"/>
  <c r="T144" i="4"/>
  <c r="U144" i="4"/>
  <c r="W144" i="4"/>
  <c r="E145" i="4"/>
  <c r="F145" i="4"/>
  <c r="G145" i="4"/>
  <c r="H145" i="4"/>
  <c r="I145" i="4"/>
  <c r="J145" i="4"/>
  <c r="K145" i="4"/>
  <c r="L145" i="4"/>
  <c r="M145" i="4"/>
  <c r="N145" i="4"/>
  <c r="O145" i="4"/>
  <c r="P145" i="4"/>
  <c r="Q145" i="4"/>
  <c r="R145" i="4"/>
  <c r="S145" i="4"/>
  <c r="T145" i="4"/>
  <c r="U145" i="4"/>
  <c r="W145" i="4"/>
  <c r="E146" i="4"/>
  <c r="F146" i="4"/>
  <c r="G146" i="4"/>
  <c r="H146" i="4"/>
  <c r="I146" i="4"/>
  <c r="J146" i="4"/>
  <c r="K146" i="4"/>
  <c r="L146" i="4"/>
  <c r="M146" i="4"/>
  <c r="N146" i="4"/>
  <c r="O146" i="4"/>
  <c r="P146" i="4"/>
  <c r="Q146" i="4"/>
  <c r="R146" i="4"/>
  <c r="S146" i="4"/>
  <c r="T146" i="4"/>
  <c r="U146" i="4"/>
  <c r="W146" i="4"/>
  <c r="E147" i="4"/>
  <c r="F147" i="4"/>
  <c r="G147" i="4"/>
  <c r="H147" i="4"/>
  <c r="I147" i="4"/>
  <c r="J147" i="4"/>
  <c r="K147" i="4"/>
  <c r="L147" i="4"/>
  <c r="M147" i="4"/>
  <c r="N147" i="4"/>
  <c r="O147" i="4"/>
  <c r="P147" i="4"/>
  <c r="Q147" i="4"/>
  <c r="R147" i="4"/>
  <c r="S147" i="4"/>
  <c r="T147" i="4"/>
  <c r="U147" i="4"/>
  <c r="W147" i="4"/>
  <c r="E148" i="4"/>
  <c r="F148" i="4"/>
  <c r="G148" i="4"/>
  <c r="H148" i="4"/>
  <c r="I148" i="4"/>
  <c r="J148" i="4"/>
  <c r="K148" i="4"/>
  <c r="L148" i="4"/>
  <c r="M148" i="4"/>
  <c r="N148" i="4"/>
  <c r="O148" i="4"/>
  <c r="P148" i="4"/>
  <c r="Q148" i="4"/>
  <c r="R148" i="4"/>
  <c r="S148" i="4"/>
  <c r="T148" i="4"/>
  <c r="U148" i="4"/>
  <c r="W148" i="4"/>
  <c r="E149" i="4"/>
  <c r="F149" i="4"/>
  <c r="G149" i="4"/>
  <c r="H149" i="4"/>
  <c r="I149" i="4"/>
  <c r="J149" i="4"/>
  <c r="K149" i="4"/>
  <c r="L149" i="4"/>
  <c r="M149" i="4"/>
  <c r="N149" i="4"/>
  <c r="O149" i="4"/>
  <c r="P149" i="4"/>
  <c r="Q149" i="4"/>
  <c r="R149" i="4"/>
  <c r="S149" i="4"/>
  <c r="T149" i="4"/>
  <c r="U149" i="4"/>
  <c r="W149" i="4"/>
  <c r="E150" i="4"/>
  <c r="F150" i="4"/>
  <c r="G150" i="4"/>
  <c r="H150" i="4"/>
  <c r="I150" i="4"/>
  <c r="J150" i="4"/>
  <c r="K150" i="4"/>
  <c r="L150" i="4"/>
  <c r="M150" i="4"/>
  <c r="N150" i="4"/>
  <c r="O150" i="4"/>
  <c r="P150" i="4"/>
  <c r="Q150" i="4"/>
  <c r="R150" i="4"/>
  <c r="S150" i="4"/>
  <c r="T150" i="4"/>
  <c r="U150" i="4"/>
  <c r="W150" i="4"/>
  <c r="E151" i="4"/>
  <c r="F151" i="4"/>
  <c r="G151" i="4"/>
  <c r="H151" i="4"/>
  <c r="I151" i="4"/>
  <c r="J151" i="4"/>
  <c r="K151" i="4"/>
  <c r="L151" i="4"/>
  <c r="M151" i="4"/>
  <c r="N151" i="4"/>
  <c r="O151" i="4"/>
  <c r="P151" i="4"/>
  <c r="Q151" i="4"/>
  <c r="R151" i="4"/>
  <c r="S151" i="4"/>
  <c r="T151" i="4"/>
  <c r="U151" i="4"/>
  <c r="W151" i="4"/>
  <c r="E153" i="4"/>
  <c r="F153" i="4"/>
  <c r="G153" i="4"/>
  <c r="H153" i="4"/>
  <c r="I153" i="4"/>
  <c r="J153" i="4"/>
  <c r="K153" i="4"/>
  <c r="L153" i="4"/>
  <c r="M153" i="4"/>
  <c r="N153" i="4"/>
  <c r="O153" i="4"/>
  <c r="P153" i="4"/>
  <c r="Q153" i="4"/>
  <c r="R153" i="4"/>
  <c r="S153" i="4"/>
  <c r="T153" i="4"/>
  <c r="U153" i="4"/>
  <c r="W153" i="4"/>
  <c r="E154" i="4"/>
  <c r="F154" i="4"/>
  <c r="G154" i="4"/>
  <c r="H154" i="4"/>
  <c r="I154" i="4"/>
  <c r="J154" i="4"/>
  <c r="K154" i="4"/>
  <c r="L154" i="4"/>
  <c r="M154" i="4"/>
  <c r="N154" i="4"/>
  <c r="O154" i="4"/>
  <c r="P154" i="4"/>
  <c r="Q154" i="4"/>
  <c r="R154" i="4"/>
  <c r="S154" i="4"/>
  <c r="T154" i="4"/>
  <c r="U154" i="4"/>
  <c r="W154" i="4"/>
  <c r="E155" i="4"/>
  <c r="F155" i="4"/>
  <c r="G155" i="4"/>
  <c r="H155" i="4"/>
  <c r="I155" i="4"/>
  <c r="J155" i="4"/>
  <c r="K155" i="4"/>
  <c r="L155" i="4"/>
  <c r="M155" i="4"/>
  <c r="N155" i="4"/>
  <c r="O155" i="4"/>
  <c r="P155" i="4"/>
  <c r="Q155" i="4"/>
  <c r="R155" i="4"/>
  <c r="S155" i="4"/>
  <c r="T155" i="4"/>
  <c r="U155" i="4"/>
  <c r="W155" i="4"/>
  <c r="E156" i="4"/>
  <c r="F156" i="4"/>
  <c r="G156" i="4"/>
  <c r="H156" i="4"/>
  <c r="I156" i="4"/>
  <c r="J156" i="4"/>
  <c r="K156" i="4"/>
  <c r="L156" i="4"/>
  <c r="M156" i="4"/>
  <c r="N156" i="4"/>
  <c r="O156" i="4"/>
  <c r="P156" i="4"/>
  <c r="Q156" i="4"/>
  <c r="R156" i="4"/>
  <c r="S156" i="4"/>
  <c r="T156" i="4"/>
  <c r="U156" i="4"/>
  <c r="W156" i="4"/>
  <c r="E157" i="4"/>
  <c r="F157" i="4"/>
  <c r="G157" i="4"/>
  <c r="H157" i="4"/>
  <c r="I157" i="4"/>
  <c r="J157" i="4"/>
  <c r="K157" i="4"/>
  <c r="L157" i="4"/>
  <c r="M157" i="4"/>
  <c r="N157" i="4"/>
  <c r="O157" i="4"/>
  <c r="P157" i="4"/>
  <c r="Q157" i="4"/>
  <c r="R157" i="4"/>
  <c r="S157" i="4"/>
  <c r="T157" i="4"/>
  <c r="U157" i="4"/>
  <c r="W157" i="4"/>
  <c r="E158" i="4"/>
  <c r="F158" i="4"/>
  <c r="G158" i="4"/>
  <c r="H158" i="4"/>
  <c r="I158" i="4"/>
  <c r="J158" i="4"/>
  <c r="K158" i="4"/>
  <c r="L158" i="4"/>
  <c r="M158" i="4"/>
  <c r="N158" i="4"/>
  <c r="O158" i="4"/>
  <c r="P158" i="4"/>
  <c r="Q158" i="4"/>
  <c r="R158" i="4"/>
  <c r="S158" i="4"/>
  <c r="T158" i="4"/>
  <c r="U158" i="4"/>
  <c r="W158" i="4"/>
  <c r="E159" i="4"/>
  <c r="F159" i="4"/>
  <c r="G159" i="4"/>
  <c r="H159" i="4"/>
  <c r="I159" i="4"/>
  <c r="J159" i="4"/>
  <c r="K159" i="4"/>
  <c r="L159" i="4"/>
  <c r="M159" i="4"/>
  <c r="N159" i="4"/>
  <c r="O159" i="4"/>
  <c r="P159" i="4"/>
  <c r="Q159" i="4"/>
  <c r="R159" i="4"/>
  <c r="S159" i="4"/>
  <c r="T159" i="4"/>
  <c r="U159" i="4"/>
  <c r="W159" i="4"/>
  <c r="E160" i="4"/>
  <c r="F160" i="4"/>
  <c r="G160" i="4"/>
  <c r="H160" i="4"/>
  <c r="I160" i="4"/>
  <c r="J160" i="4"/>
  <c r="K160" i="4"/>
  <c r="L160" i="4"/>
  <c r="M160" i="4"/>
  <c r="N160" i="4"/>
  <c r="O160" i="4"/>
  <c r="P160" i="4"/>
  <c r="Q160" i="4"/>
  <c r="R160" i="4"/>
  <c r="S160" i="4"/>
  <c r="T160" i="4"/>
  <c r="U160" i="4"/>
  <c r="W160" i="4"/>
  <c r="E161" i="4"/>
  <c r="F161" i="4"/>
  <c r="G161" i="4"/>
  <c r="H161" i="4"/>
  <c r="I161" i="4"/>
  <c r="J161" i="4"/>
  <c r="K161" i="4"/>
  <c r="L161" i="4"/>
  <c r="M161" i="4"/>
  <c r="N161" i="4"/>
  <c r="O161" i="4"/>
  <c r="P161" i="4"/>
  <c r="Q161" i="4"/>
  <c r="R161" i="4"/>
  <c r="S161" i="4"/>
  <c r="T161" i="4"/>
  <c r="U161" i="4"/>
  <c r="W161" i="4"/>
  <c r="E162" i="4"/>
  <c r="F162" i="4"/>
  <c r="G162" i="4"/>
  <c r="H162" i="4"/>
  <c r="I162" i="4"/>
  <c r="J162" i="4"/>
  <c r="K162" i="4"/>
  <c r="L162" i="4"/>
  <c r="M162" i="4"/>
  <c r="N162" i="4"/>
  <c r="O162" i="4"/>
  <c r="P162" i="4"/>
  <c r="Q162" i="4"/>
  <c r="R162" i="4"/>
  <c r="S162" i="4"/>
  <c r="T162" i="4"/>
  <c r="U162" i="4"/>
  <c r="W162" i="4"/>
  <c r="E163" i="4"/>
  <c r="F163" i="4"/>
  <c r="G163" i="4"/>
  <c r="H163" i="4"/>
  <c r="I163" i="4"/>
  <c r="J163" i="4"/>
  <c r="K163" i="4"/>
  <c r="L163" i="4"/>
  <c r="M163" i="4"/>
  <c r="N163" i="4"/>
  <c r="O163" i="4"/>
  <c r="P163" i="4"/>
  <c r="Q163" i="4"/>
  <c r="R163" i="4"/>
  <c r="S163" i="4"/>
  <c r="T163" i="4"/>
  <c r="U163" i="4"/>
  <c r="W163" i="4"/>
  <c r="E164" i="4"/>
  <c r="F164" i="4"/>
  <c r="G164" i="4"/>
  <c r="H164" i="4"/>
  <c r="I164" i="4"/>
  <c r="J164" i="4"/>
  <c r="K164" i="4"/>
  <c r="L164" i="4"/>
  <c r="M164" i="4"/>
  <c r="N164" i="4"/>
  <c r="O164" i="4"/>
  <c r="P164" i="4"/>
  <c r="Q164" i="4"/>
  <c r="R164" i="4"/>
  <c r="S164" i="4"/>
  <c r="T164" i="4"/>
  <c r="U164" i="4"/>
  <c r="W164" i="4"/>
  <c r="E165" i="4"/>
  <c r="F165" i="4"/>
  <c r="G165" i="4"/>
  <c r="H165" i="4"/>
  <c r="I165" i="4"/>
  <c r="J165" i="4"/>
  <c r="K165" i="4"/>
  <c r="L165" i="4"/>
  <c r="M165" i="4"/>
  <c r="N165" i="4"/>
  <c r="O165" i="4"/>
  <c r="P165" i="4"/>
  <c r="Q165" i="4"/>
  <c r="R165" i="4"/>
  <c r="S165" i="4"/>
  <c r="T165" i="4"/>
  <c r="U165" i="4"/>
  <c r="W165" i="4"/>
  <c r="E166" i="4"/>
  <c r="F166" i="4"/>
  <c r="G166" i="4"/>
  <c r="H166" i="4"/>
  <c r="I166" i="4"/>
  <c r="J166" i="4"/>
  <c r="K166" i="4"/>
  <c r="L166" i="4"/>
  <c r="M166" i="4"/>
  <c r="N166" i="4"/>
  <c r="O166" i="4"/>
  <c r="P166" i="4"/>
  <c r="Q166" i="4"/>
  <c r="R166" i="4"/>
  <c r="S166" i="4"/>
  <c r="T166" i="4"/>
  <c r="U166" i="4"/>
  <c r="W166" i="4"/>
  <c r="E167" i="4"/>
  <c r="F167" i="4"/>
  <c r="G167" i="4"/>
  <c r="H167" i="4"/>
  <c r="I167" i="4"/>
  <c r="J167" i="4"/>
  <c r="K167" i="4"/>
  <c r="L167" i="4"/>
  <c r="M167" i="4"/>
  <c r="N167" i="4"/>
  <c r="O167" i="4"/>
  <c r="P167" i="4"/>
  <c r="Q167" i="4"/>
  <c r="R167" i="4"/>
  <c r="S167" i="4"/>
  <c r="T167" i="4"/>
  <c r="U167" i="4"/>
  <c r="W167" i="4"/>
  <c r="E168" i="4"/>
  <c r="F168" i="4"/>
  <c r="G168" i="4"/>
  <c r="H168" i="4"/>
  <c r="I168" i="4"/>
  <c r="J168" i="4"/>
  <c r="K168" i="4"/>
  <c r="L168" i="4"/>
  <c r="M168" i="4"/>
  <c r="N168" i="4"/>
  <c r="O168" i="4"/>
  <c r="P168" i="4"/>
  <c r="Q168" i="4"/>
  <c r="R168" i="4"/>
  <c r="S168" i="4"/>
  <c r="T168" i="4"/>
  <c r="U168" i="4"/>
  <c r="W168" i="4"/>
  <c r="E169" i="4"/>
  <c r="F169" i="4"/>
  <c r="G169" i="4"/>
  <c r="H169" i="4"/>
  <c r="I169" i="4"/>
  <c r="J169" i="4"/>
  <c r="K169" i="4"/>
  <c r="L169" i="4"/>
  <c r="M169" i="4"/>
  <c r="N169" i="4"/>
  <c r="O169" i="4"/>
  <c r="P169" i="4"/>
  <c r="Q169" i="4"/>
  <c r="R169" i="4"/>
  <c r="S169" i="4"/>
  <c r="T169" i="4"/>
  <c r="U169" i="4"/>
  <c r="W169" i="4"/>
  <c r="E171" i="4"/>
  <c r="F171" i="4"/>
  <c r="G171" i="4"/>
  <c r="H171" i="4"/>
  <c r="I171" i="4"/>
  <c r="J171" i="4"/>
  <c r="K171" i="4"/>
  <c r="L171" i="4"/>
  <c r="M171" i="4"/>
  <c r="N171" i="4"/>
  <c r="O171" i="4"/>
  <c r="P171" i="4"/>
  <c r="Q171" i="4"/>
  <c r="R171" i="4"/>
  <c r="S171" i="4"/>
  <c r="T171" i="4"/>
  <c r="U171" i="4"/>
  <c r="W171" i="4"/>
  <c r="E172" i="4"/>
  <c r="F172" i="4"/>
  <c r="G172" i="4"/>
  <c r="H172" i="4"/>
  <c r="I172" i="4"/>
  <c r="J172" i="4"/>
  <c r="K172" i="4"/>
  <c r="L172" i="4"/>
  <c r="M172" i="4"/>
  <c r="N172" i="4"/>
  <c r="O172" i="4"/>
  <c r="P172" i="4"/>
  <c r="Q172" i="4"/>
  <c r="R172" i="4"/>
  <c r="S172" i="4"/>
  <c r="T172" i="4"/>
  <c r="U172" i="4"/>
  <c r="W172" i="4"/>
  <c r="E173" i="4"/>
  <c r="F173" i="4"/>
  <c r="G173" i="4"/>
  <c r="H173" i="4"/>
  <c r="I173" i="4"/>
  <c r="J173" i="4"/>
  <c r="K173" i="4"/>
  <c r="L173" i="4"/>
  <c r="M173" i="4"/>
  <c r="N173" i="4"/>
  <c r="O173" i="4"/>
  <c r="P173" i="4"/>
  <c r="Q173" i="4"/>
  <c r="R173" i="4"/>
  <c r="S173" i="4"/>
  <c r="T173" i="4"/>
  <c r="U173" i="4"/>
  <c r="W173" i="4"/>
  <c r="E175" i="4"/>
  <c r="F175" i="4"/>
  <c r="G175" i="4"/>
  <c r="H175" i="4"/>
  <c r="I175" i="4"/>
  <c r="J175" i="4"/>
  <c r="K175" i="4"/>
  <c r="L175" i="4"/>
  <c r="M175" i="4"/>
  <c r="N175" i="4"/>
  <c r="O175" i="4"/>
  <c r="P175" i="4"/>
  <c r="Q175" i="4"/>
  <c r="R175" i="4"/>
  <c r="S175" i="4"/>
  <c r="T175" i="4"/>
  <c r="U175" i="4"/>
  <c r="W175" i="4"/>
  <c r="E176" i="4"/>
  <c r="F176" i="4"/>
  <c r="G176" i="4"/>
  <c r="H176" i="4"/>
  <c r="I176" i="4"/>
  <c r="J176" i="4"/>
  <c r="K176" i="4"/>
  <c r="L176" i="4"/>
  <c r="M176" i="4"/>
  <c r="N176" i="4"/>
  <c r="O176" i="4"/>
  <c r="P176" i="4"/>
  <c r="Q176" i="4"/>
  <c r="R176" i="4"/>
  <c r="S176" i="4"/>
  <c r="T176" i="4"/>
  <c r="U176" i="4"/>
  <c r="W176" i="4"/>
  <c r="E177" i="4"/>
  <c r="F177" i="4"/>
  <c r="G177" i="4"/>
  <c r="H177" i="4"/>
  <c r="I177" i="4"/>
  <c r="J177" i="4"/>
  <c r="K177" i="4"/>
  <c r="L177" i="4"/>
  <c r="M177" i="4"/>
  <c r="N177" i="4"/>
  <c r="O177" i="4"/>
  <c r="P177" i="4"/>
  <c r="Q177" i="4"/>
  <c r="R177" i="4"/>
  <c r="S177" i="4"/>
  <c r="T177" i="4"/>
  <c r="U177" i="4"/>
  <c r="W177" i="4"/>
  <c r="E178" i="4"/>
  <c r="F178" i="4"/>
  <c r="G178" i="4"/>
  <c r="H178" i="4"/>
  <c r="I178" i="4"/>
  <c r="J178" i="4"/>
  <c r="K178" i="4"/>
  <c r="L178" i="4"/>
  <c r="M178" i="4"/>
  <c r="N178" i="4"/>
  <c r="O178" i="4"/>
  <c r="P178" i="4"/>
  <c r="Q178" i="4"/>
  <c r="R178" i="4"/>
  <c r="S178" i="4"/>
  <c r="T178" i="4"/>
  <c r="U178" i="4"/>
  <c r="W178" i="4"/>
  <c r="E179" i="4"/>
  <c r="F179" i="4"/>
  <c r="G179" i="4"/>
  <c r="H179" i="4"/>
  <c r="I179" i="4"/>
  <c r="J179" i="4"/>
  <c r="K179" i="4"/>
  <c r="L179" i="4"/>
  <c r="M179" i="4"/>
  <c r="N179" i="4"/>
  <c r="O179" i="4"/>
  <c r="P179" i="4"/>
  <c r="Q179" i="4"/>
  <c r="R179" i="4"/>
  <c r="S179" i="4"/>
  <c r="T179" i="4"/>
  <c r="U179" i="4"/>
  <c r="W179" i="4"/>
  <c r="E180" i="4"/>
  <c r="F180" i="4"/>
  <c r="G180" i="4"/>
  <c r="H180" i="4"/>
  <c r="I180" i="4"/>
  <c r="J180" i="4"/>
  <c r="K180" i="4"/>
  <c r="L180" i="4"/>
  <c r="M180" i="4"/>
  <c r="N180" i="4"/>
  <c r="O180" i="4"/>
  <c r="P180" i="4"/>
  <c r="Q180" i="4"/>
  <c r="R180" i="4"/>
  <c r="S180" i="4"/>
  <c r="T180" i="4"/>
  <c r="U180" i="4"/>
  <c r="W180" i="4"/>
  <c r="E181" i="4"/>
  <c r="F181" i="4"/>
  <c r="G181" i="4"/>
  <c r="H181" i="4"/>
  <c r="I181" i="4"/>
  <c r="J181" i="4"/>
  <c r="K181" i="4"/>
  <c r="L181" i="4"/>
  <c r="M181" i="4"/>
  <c r="N181" i="4"/>
  <c r="O181" i="4"/>
  <c r="P181" i="4"/>
  <c r="Q181" i="4"/>
  <c r="R181" i="4"/>
  <c r="S181" i="4"/>
  <c r="T181" i="4"/>
  <c r="U181" i="4"/>
  <c r="W181" i="4"/>
  <c r="E182" i="4"/>
  <c r="F182" i="4"/>
  <c r="G182" i="4"/>
  <c r="H182" i="4"/>
  <c r="I182" i="4"/>
  <c r="J182" i="4"/>
  <c r="K182" i="4"/>
  <c r="L182" i="4"/>
  <c r="M182" i="4"/>
  <c r="N182" i="4"/>
  <c r="O182" i="4"/>
  <c r="P182" i="4"/>
  <c r="Q182" i="4"/>
  <c r="R182" i="4"/>
  <c r="S182" i="4"/>
  <c r="T182" i="4"/>
  <c r="U182" i="4"/>
  <c r="W182" i="4"/>
  <c r="E183" i="4"/>
  <c r="F183" i="4"/>
  <c r="G183" i="4"/>
  <c r="H183" i="4"/>
  <c r="I183" i="4"/>
  <c r="J183" i="4"/>
  <c r="K183" i="4"/>
  <c r="L183" i="4"/>
  <c r="M183" i="4"/>
  <c r="N183" i="4"/>
  <c r="O183" i="4"/>
  <c r="P183" i="4"/>
  <c r="Q183" i="4"/>
  <c r="R183" i="4"/>
  <c r="S183" i="4"/>
  <c r="T183" i="4"/>
  <c r="U183" i="4"/>
  <c r="W183" i="4"/>
  <c r="E184" i="4"/>
  <c r="F184" i="4"/>
  <c r="G184" i="4"/>
  <c r="H184" i="4"/>
  <c r="I184" i="4"/>
  <c r="J184" i="4"/>
  <c r="K184" i="4"/>
  <c r="L184" i="4"/>
  <c r="M184" i="4"/>
  <c r="N184" i="4"/>
  <c r="O184" i="4"/>
  <c r="P184" i="4"/>
  <c r="Q184" i="4"/>
  <c r="R184" i="4"/>
  <c r="S184" i="4"/>
  <c r="T184" i="4"/>
  <c r="U184" i="4"/>
  <c r="W184" i="4"/>
  <c r="E186" i="4"/>
  <c r="F186" i="4"/>
  <c r="G186" i="4"/>
  <c r="H186" i="4"/>
  <c r="I186" i="4"/>
  <c r="J186" i="4"/>
  <c r="K186" i="4"/>
  <c r="L186" i="4"/>
  <c r="M186" i="4"/>
  <c r="N186" i="4"/>
  <c r="O186" i="4"/>
  <c r="P186" i="4"/>
  <c r="Q186" i="4"/>
  <c r="R186" i="4"/>
  <c r="S186" i="4"/>
  <c r="T186" i="4"/>
  <c r="U186" i="4"/>
  <c r="W186" i="4"/>
  <c r="E187" i="4"/>
  <c r="F187" i="4"/>
  <c r="G187" i="4"/>
  <c r="H187" i="4"/>
  <c r="I187" i="4"/>
  <c r="J187" i="4"/>
  <c r="K187" i="4"/>
  <c r="L187" i="4"/>
  <c r="M187" i="4"/>
  <c r="N187" i="4"/>
  <c r="O187" i="4"/>
  <c r="P187" i="4"/>
  <c r="Q187" i="4"/>
  <c r="R187" i="4"/>
  <c r="S187" i="4"/>
  <c r="T187" i="4"/>
  <c r="U187" i="4"/>
  <c r="W187" i="4"/>
  <c r="E188" i="4"/>
  <c r="F188" i="4"/>
  <c r="G188" i="4"/>
  <c r="H188" i="4"/>
  <c r="I188" i="4"/>
  <c r="J188" i="4"/>
  <c r="K188" i="4"/>
  <c r="L188" i="4"/>
  <c r="M188" i="4"/>
  <c r="N188" i="4"/>
  <c r="O188" i="4"/>
  <c r="P188" i="4"/>
  <c r="Q188" i="4"/>
  <c r="R188" i="4"/>
  <c r="S188" i="4"/>
  <c r="T188" i="4"/>
  <c r="U188" i="4"/>
  <c r="W188" i="4"/>
  <c r="E189" i="4"/>
  <c r="F189" i="4"/>
  <c r="G189" i="4"/>
  <c r="H189" i="4"/>
  <c r="I189" i="4"/>
  <c r="J189" i="4"/>
  <c r="K189" i="4"/>
  <c r="L189" i="4"/>
  <c r="M189" i="4"/>
  <c r="N189" i="4"/>
  <c r="O189" i="4"/>
  <c r="P189" i="4"/>
  <c r="Q189" i="4"/>
  <c r="R189" i="4"/>
  <c r="S189" i="4"/>
  <c r="T189" i="4"/>
  <c r="U189" i="4"/>
  <c r="W189" i="4"/>
  <c r="E190" i="4"/>
  <c r="F190" i="4"/>
  <c r="G190" i="4"/>
  <c r="H190" i="4"/>
  <c r="I190" i="4"/>
  <c r="J190" i="4"/>
  <c r="K190" i="4"/>
  <c r="L190" i="4"/>
  <c r="M190" i="4"/>
  <c r="N190" i="4"/>
  <c r="O190" i="4"/>
  <c r="P190" i="4"/>
  <c r="Q190" i="4"/>
  <c r="R190" i="4"/>
  <c r="S190" i="4"/>
  <c r="T190" i="4"/>
  <c r="U190" i="4"/>
  <c r="W190" i="4"/>
  <c r="E191" i="4"/>
  <c r="F191" i="4"/>
  <c r="G191" i="4"/>
  <c r="H191" i="4"/>
  <c r="I191" i="4"/>
  <c r="J191" i="4"/>
  <c r="K191" i="4"/>
  <c r="L191" i="4"/>
  <c r="M191" i="4"/>
  <c r="N191" i="4"/>
  <c r="O191" i="4"/>
  <c r="P191" i="4"/>
  <c r="Q191" i="4"/>
  <c r="R191" i="4"/>
  <c r="S191" i="4"/>
  <c r="T191" i="4"/>
  <c r="U191" i="4"/>
  <c r="W191" i="4"/>
  <c r="E192" i="4"/>
  <c r="F192" i="4"/>
  <c r="G192" i="4"/>
  <c r="H192" i="4"/>
  <c r="I192" i="4"/>
  <c r="J192" i="4"/>
  <c r="K192" i="4"/>
  <c r="L192" i="4"/>
  <c r="M192" i="4"/>
  <c r="N192" i="4"/>
  <c r="O192" i="4"/>
  <c r="P192" i="4"/>
  <c r="Q192" i="4"/>
  <c r="R192" i="4"/>
  <c r="S192" i="4"/>
  <c r="T192" i="4"/>
  <c r="U192" i="4"/>
  <c r="W192" i="4"/>
  <c r="E193" i="4"/>
  <c r="F193" i="4"/>
  <c r="G193" i="4"/>
  <c r="H193" i="4"/>
  <c r="I193" i="4"/>
  <c r="J193" i="4"/>
  <c r="K193" i="4"/>
  <c r="L193" i="4"/>
  <c r="M193" i="4"/>
  <c r="N193" i="4"/>
  <c r="O193" i="4"/>
  <c r="P193" i="4"/>
  <c r="Q193" i="4"/>
  <c r="R193" i="4"/>
  <c r="S193" i="4"/>
  <c r="T193" i="4"/>
  <c r="U193" i="4"/>
  <c r="W193" i="4"/>
  <c r="E194" i="4"/>
  <c r="F194" i="4"/>
  <c r="G194" i="4"/>
  <c r="H194" i="4"/>
  <c r="I194" i="4"/>
  <c r="J194" i="4"/>
  <c r="K194" i="4"/>
  <c r="L194" i="4"/>
  <c r="M194" i="4"/>
  <c r="N194" i="4"/>
  <c r="O194" i="4"/>
  <c r="P194" i="4"/>
  <c r="Q194" i="4"/>
  <c r="R194" i="4"/>
  <c r="S194" i="4"/>
  <c r="T194" i="4"/>
  <c r="U194" i="4"/>
  <c r="W194" i="4"/>
  <c r="E195" i="4"/>
  <c r="F195" i="4"/>
  <c r="G195" i="4"/>
  <c r="H195" i="4"/>
  <c r="I195" i="4"/>
  <c r="J195" i="4"/>
  <c r="K195" i="4"/>
  <c r="L195" i="4"/>
  <c r="M195" i="4"/>
  <c r="N195" i="4"/>
  <c r="O195" i="4"/>
  <c r="P195" i="4"/>
  <c r="Q195" i="4"/>
  <c r="R195" i="4"/>
  <c r="S195" i="4"/>
  <c r="T195" i="4"/>
  <c r="U195" i="4"/>
  <c r="W195" i="4"/>
  <c r="E197" i="4"/>
  <c r="F197" i="4"/>
  <c r="G197" i="4"/>
  <c r="H197" i="4"/>
  <c r="I197" i="4"/>
  <c r="J197" i="4"/>
  <c r="K197" i="4"/>
  <c r="L197" i="4"/>
  <c r="M197" i="4"/>
  <c r="N197" i="4"/>
  <c r="O197" i="4"/>
  <c r="P197" i="4"/>
  <c r="Q197" i="4"/>
  <c r="R197" i="4"/>
  <c r="S197" i="4"/>
  <c r="T197" i="4"/>
  <c r="U197" i="4"/>
  <c r="W197" i="4"/>
  <c r="W204" i="4"/>
  <c r="V6" i="4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V29" i="4"/>
  <c r="V30" i="4"/>
  <c r="V31" i="4"/>
  <c r="V32" i="4"/>
  <c r="V33" i="4"/>
  <c r="V34" i="4"/>
  <c r="V35" i="4"/>
  <c r="V36" i="4"/>
  <c r="V37" i="4"/>
  <c r="V38" i="4"/>
  <c r="V39" i="4"/>
  <c r="V40" i="4"/>
  <c r="V41" i="4"/>
  <c r="V42" i="4"/>
  <c r="V43" i="4"/>
  <c r="V44" i="4"/>
  <c r="V45" i="4"/>
  <c r="V46" i="4"/>
  <c r="V47" i="4"/>
  <c r="V48" i="4"/>
  <c r="V49" i="4"/>
  <c r="V50" i="4"/>
  <c r="V51" i="4"/>
  <c r="V52" i="4"/>
  <c r="V53" i="4"/>
  <c r="V54" i="4"/>
  <c r="V55" i="4"/>
  <c r="V56" i="4"/>
  <c r="V57" i="4"/>
  <c r="V58" i="4"/>
  <c r="V59" i="4"/>
  <c r="V60" i="4"/>
  <c r="V61" i="4"/>
  <c r="V62" i="4"/>
  <c r="V63" i="4"/>
  <c r="V64" i="4"/>
  <c r="V65" i="4"/>
  <c r="V66" i="4"/>
  <c r="V67" i="4"/>
  <c r="V68" i="4"/>
  <c r="V69" i="4"/>
  <c r="V70" i="4"/>
  <c r="V71" i="4"/>
  <c r="V72" i="4"/>
  <c r="V73" i="4"/>
  <c r="V74" i="4"/>
  <c r="V75" i="4"/>
  <c r="V76" i="4"/>
  <c r="V77" i="4"/>
  <c r="V78" i="4"/>
  <c r="V79" i="4"/>
  <c r="V80" i="4"/>
  <c r="V81" i="4"/>
  <c r="V82" i="4"/>
  <c r="V83" i="4"/>
  <c r="V84" i="4"/>
  <c r="V85" i="4"/>
  <c r="V86" i="4"/>
  <c r="V87" i="4"/>
  <c r="V88" i="4"/>
  <c r="V89" i="4"/>
  <c r="V90" i="4"/>
  <c r="V91" i="4"/>
  <c r="V92" i="4"/>
  <c r="V93" i="4"/>
  <c r="V94" i="4"/>
  <c r="V95" i="4"/>
  <c r="V96" i="4"/>
  <c r="V97" i="4"/>
  <c r="V98" i="4"/>
  <c r="V99" i="4"/>
  <c r="V100" i="4"/>
  <c r="V101" i="4"/>
  <c r="V102" i="4"/>
  <c r="V103" i="4"/>
  <c r="V104" i="4"/>
  <c r="V105" i="4"/>
  <c r="V106" i="4"/>
  <c r="V107" i="4"/>
  <c r="V108" i="4"/>
  <c r="V109" i="4"/>
  <c r="V110" i="4"/>
  <c r="V111" i="4"/>
  <c r="V112" i="4"/>
  <c r="V113" i="4"/>
  <c r="V114" i="4"/>
  <c r="V115" i="4"/>
  <c r="V116" i="4"/>
  <c r="V117" i="4"/>
  <c r="V118" i="4"/>
  <c r="V119" i="4"/>
  <c r="V120" i="4"/>
  <c r="V121" i="4"/>
  <c r="V122" i="4"/>
  <c r="V123" i="4"/>
  <c r="V124" i="4"/>
  <c r="V125" i="4"/>
  <c r="V126" i="4"/>
  <c r="V127" i="4"/>
  <c r="V128" i="4"/>
  <c r="V129" i="4"/>
  <c r="V130" i="4"/>
  <c r="V131" i="4"/>
  <c r="V132" i="4"/>
  <c r="V133" i="4"/>
  <c r="V134" i="4"/>
  <c r="V135" i="4"/>
  <c r="V136" i="4"/>
  <c r="V137" i="4"/>
  <c r="V138" i="4"/>
  <c r="V139" i="4"/>
  <c r="V140" i="4"/>
  <c r="V141" i="4"/>
  <c r="V142" i="4"/>
  <c r="V143" i="4"/>
  <c r="V144" i="4"/>
  <c r="V145" i="4"/>
  <c r="V146" i="4"/>
  <c r="V147" i="4"/>
  <c r="V148" i="4"/>
  <c r="V149" i="4"/>
  <c r="V150" i="4"/>
  <c r="V151" i="4"/>
  <c r="V152" i="4"/>
  <c r="V153" i="4"/>
  <c r="V154" i="4"/>
  <c r="V155" i="4"/>
  <c r="V156" i="4"/>
  <c r="V157" i="4"/>
  <c r="V158" i="4"/>
  <c r="V159" i="4"/>
  <c r="V160" i="4"/>
  <c r="V161" i="4"/>
  <c r="V162" i="4"/>
  <c r="V163" i="4"/>
  <c r="V164" i="4"/>
  <c r="V165" i="4"/>
  <c r="V166" i="4"/>
  <c r="V167" i="4"/>
  <c r="V168" i="4"/>
  <c r="V169" i="4"/>
  <c r="V170" i="4"/>
  <c r="V171" i="4"/>
  <c r="V172" i="4"/>
  <c r="V173" i="4"/>
  <c r="V174" i="4"/>
  <c r="V175" i="4"/>
  <c r="V176" i="4"/>
  <c r="V177" i="4"/>
  <c r="V178" i="4"/>
  <c r="V179" i="4"/>
  <c r="V180" i="4"/>
  <c r="V181" i="4"/>
  <c r="V182" i="4"/>
  <c r="V183" i="4"/>
  <c r="V184" i="4"/>
  <c r="V185" i="4"/>
  <c r="V186" i="4"/>
  <c r="V187" i="4"/>
  <c r="V188" i="4"/>
  <c r="V189" i="4"/>
  <c r="V190" i="4"/>
  <c r="V191" i="4"/>
  <c r="V192" i="4"/>
  <c r="V193" i="4"/>
  <c r="V194" i="4"/>
  <c r="V195" i="4"/>
  <c r="V196" i="4"/>
  <c r="V197" i="4"/>
  <c r="V204" i="4"/>
  <c r="E199" i="1"/>
  <c r="F199" i="1"/>
  <c r="G199" i="1"/>
  <c r="H199" i="1"/>
  <c r="I199" i="1"/>
  <c r="J199" i="1"/>
  <c r="K199" i="1"/>
  <c r="L199" i="1"/>
  <c r="M199" i="1"/>
  <c r="N199" i="1"/>
  <c r="O199" i="1"/>
  <c r="P199" i="1"/>
  <c r="Q199" i="1"/>
  <c r="R199" i="1"/>
  <c r="S199" i="1"/>
  <c r="T199" i="1"/>
  <c r="U199" i="1"/>
  <c r="E200" i="1"/>
  <c r="F200" i="1"/>
  <c r="G200" i="1"/>
  <c r="H200" i="1"/>
  <c r="I200" i="1"/>
  <c r="J200" i="1"/>
  <c r="K200" i="1"/>
  <c r="L200" i="1"/>
  <c r="M200" i="1"/>
  <c r="N200" i="1"/>
  <c r="O200" i="1"/>
  <c r="P200" i="1"/>
  <c r="Q200" i="1"/>
  <c r="R200" i="1"/>
  <c r="S200" i="1"/>
  <c r="T200" i="1"/>
  <c r="U200" i="1"/>
  <c r="E201" i="1"/>
  <c r="F201" i="1"/>
  <c r="G201" i="1"/>
  <c r="H201" i="1"/>
  <c r="I201" i="1"/>
  <c r="J201" i="1"/>
  <c r="K201" i="1"/>
  <c r="L201" i="1"/>
  <c r="M201" i="1"/>
  <c r="N201" i="1"/>
  <c r="O201" i="1"/>
  <c r="P201" i="1"/>
  <c r="Q201" i="1"/>
  <c r="R201" i="1"/>
  <c r="S201" i="1"/>
  <c r="T201" i="1"/>
  <c r="U201" i="1"/>
  <c r="X6" i="2"/>
  <c r="B6" i="2"/>
  <c r="X7" i="2"/>
  <c r="B7" i="2"/>
  <c r="X8" i="2"/>
  <c r="B8" i="2"/>
  <c r="X9" i="2"/>
  <c r="B9" i="2"/>
  <c r="X10" i="2"/>
  <c r="B10" i="2"/>
  <c r="X11" i="2"/>
  <c r="B11" i="2"/>
  <c r="X12" i="2"/>
  <c r="B12" i="2"/>
  <c r="X13" i="2"/>
  <c r="B13" i="2"/>
  <c r="X14" i="2"/>
  <c r="B14" i="2"/>
  <c r="X15" i="2"/>
  <c r="B15" i="2"/>
  <c r="X16" i="2"/>
  <c r="B16" i="2"/>
  <c r="X17" i="2"/>
  <c r="B17" i="2"/>
  <c r="X18" i="2"/>
  <c r="B18" i="2"/>
  <c r="X19" i="2"/>
  <c r="B19" i="2"/>
  <c r="X20" i="2"/>
  <c r="B20" i="2"/>
  <c r="X21" i="2"/>
  <c r="B21" i="2"/>
  <c r="X22" i="2"/>
  <c r="B22" i="2"/>
  <c r="X23" i="2"/>
  <c r="B23" i="2"/>
  <c r="X24" i="2"/>
  <c r="B24" i="2"/>
  <c r="X25" i="2"/>
  <c r="B25" i="2"/>
  <c r="X26" i="2"/>
  <c r="B26" i="2"/>
  <c r="X27" i="2"/>
  <c r="B27" i="2"/>
  <c r="X28" i="2"/>
  <c r="B28" i="2"/>
  <c r="X29" i="2"/>
  <c r="B29" i="2"/>
  <c r="X30" i="2"/>
  <c r="B30" i="2"/>
  <c r="X31" i="2"/>
  <c r="B31" i="2"/>
  <c r="X32" i="2"/>
  <c r="B32" i="2"/>
  <c r="X33" i="2"/>
  <c r="B33" i="2"/>
  <c r="X34" i="2"/>
  <c r="B34" i="2"/>
  <c r="X35" i="2"/>
  <c r="B35" i="2"/>
  <c r="X36" i="2"/>
  <c r="B36" i="2"/>
  <c r="X37" i="2"/>
  <c r="B37" i="2"/>
  <c r="X38" i="2"/>
  <c r="B38" i="2"/>
  <c r="X39" i="2"/>
  <c r="B39" i="2"/>
  <c r="X40" i="2"/>
  <c r="B40" i="2"/>
  <c r="X41" i="2"/>
  <c r="B41" i="2"/>
  <c r="X42" i="2"/>
  <c r="B42" i="2"/>
  <c r="X43" i="2"/>
  <c r="B43" i="2"/>
  <c r="X44" i="2"/>
  <c r="B44" i="2"/>
  <c r="X45" i="2"/>
  <c r="B45" i="2"/>
  <c r="X46" i="2"/>
  <c r="B46" i="2"/>
  <c r="X47" i="2"/>
  <c r="B47" i="2"/>
  <c r="X48" i="2"/>
  <c r="B48" i="2"/>
  <c r="X49" i="2"/>
  <c r="B49" i="2"/>
  <c r="X50" i="2"/>
  <c r="B50" i="2"/>
  <c r="X51" i="2"/>
  <c r="B51" i="2"/>
  <c r="X52" i="2"/>
  <c r="B52" i="2"/>
  <c r="X53" i="2"/>
  <c r="B53" i="2"/>
  <c r="X54" i="2"/>
  <c r="B54" i="2"/>
  <c r="X55" i="2"/>
  <c r="B55" i="2"/>
  <c r="X56" i="2"/>
  <c r="B56" i="2"/>
  <c r="X57" i="2"/>
  <c r="B57" i="2"/>
  <c r="X58" i="2"/>
  <c r="B58" i="2"/>
  <c r="X59" i="2"/>
  <c r="B59" i="2"/>
  <c r="X60" i="2"/>
  <c r="B60" i="2"/>
  <c r="X61" i="2"/>
  <c r="B61" i="2"/>
  <c r="X62" i="2"/>
  <c r="B62" i="2"/>
  <c r="X63" i="2"/>
  <c r="B63" i="2"/>
  <c r="X64" i="2"/>
  <c r="B64" i="2"/>
  <c r="X65" i="2"/>
  <c r="B65" i="2"/>
  <c r="X66" i="2"/>
  <c r="B66" i="2"/>
  <c r="X67" i="2"/>
  <c r="B67" i="2"/>
  <c r="X68" i="2"/>
  <c r="B68" i="2"/>
  <c r="X69" i="2"/>
  <c r="B69" i="2"/>
  <c r="X70" i="2"/>
  <c r="B70" i="2"/>
  <c r="X71" i="2"/>
  <c r="B71" i="2"/>
  <c r="X72" i="2"/>
  <c r="B72" i="2"/>
  <c r="X73" i="2"/>
  <c r="B73" i="2"/>
  <c r="X74" i="2"/>
  <c r="B74" i="2"/>
  <c r="X75" i="2"/>
  <c r="B75" i="2"/>
  <c r="X76" i="2"/>
  <c r="B76" i="2"/>
  <c r="X77" i="2"/>
  <c r="B77" i="2"/>
  <c r="X78" i="2"/>
  <c r="B78" i="2"/>
  <c r="X79" i="2"/>
  <c r="B79" i="2"/>
  <c r="X80" i="2"/>
  <c r="B80" i="2"/>
  <c r="X81" i="2"/>
  <c r="B81" i="2"/>
  <c r="X82" i="2"/>
  <c r="B82" i="2"/>
  <c r="X83" i="2"/>
  <c r="B83" i="2"/>
  <c r="X84" i="2"/>
  <c r="B84" i="2"/>
  <c r="X85" i="2"/>
  <c r="B85" i="2"/>
  <c r="X86" i="2"/>
  <c r="B86" i="2"/>
  <c r="X87" i="2"/>
  <c r="B87" i="2"/>
  <c r="X88" i="2"/>
  <c r="B88" i="2"/>
  <c r="X89" i="2"/>
  <c r="B89" i="2"/>
  <c r="X90" i="2"/>
  <c r="B90" i="2"/>
  <c r="X91" i="2"/>
  <c r="B91" i="2"/>
  <c r="X92" i="2"/>
  <c r="B92" i="2"/>
  <c r="X93" i="2"/>
  <c r="B93" i="2"/>
  <c r="X94" i="2"/>
  <c r="B94" i="2"/>
  <c r="X95" i="2"/>
  <c r="B95" i="2"/>
  <c r="X96" i="2"/>
  <c r="B96" i="2"/>
  <c r="X97" i="2"/>
  <c r="B97" i="2"/>
  <c r="X98" i="2"/>
  <c r="B98" i="2"/>
  <c r="X99" i="2"/>
  <c r="B99" i="2"/>
  <c r="X100" i="2"/>
  <c r="B100" i="2"/>
  <c r="X101" i="2"/>
  <c r="B101" i="2"/>
  <c r="X102" i="2"/>
  <c r="B102" i="2"/>
  <c r="X103" i="2"/>
  <c r="B103" i="2"/>
  <c r="X104" i="2"/>
  <c r="B104" i="2"/>
  <c r="X105" i="2"/>
  <c r="B105" i="2"/>
  <c r="X106" i="2"/>
  <c r="B106" i="2"/>
  <c r="X107" i="2"/>
  <c r="B107" i="2"/>
  <c r="X108" i="2"/>
  <c r="B108" i="2"/>
  <c r="X109" i="2"/>
  <c r="B109" i="2"/>
  <c r="X110" i="2"/>
  <c r="B110" i="2"/>
  <c r="X111" i="2"/>
  <c r="B111" i="2"/>
  <c r="X112" i="2"/>
  <c r="B112" i="2"/>
  <c r="X113" i="2"/>
  <c r="B113" i="2"/>
  <c r="X114" i="2"/>
  <c r="B114" i="2"/>
  <c r="X115" i="2"/>
  <c r="B115" i="2"/>
  <c r="X116" i="2"/>
  <c r="B116" i="2"/>
  <c r="X117" i="2"/>
  <c r="B117" i="2"/>
  <c r="X118" i="2"/>
  <c r="B118" i="2"/>
  <c r="X119" i="2"/>
  <c r="B119" i="2"/>
  <c r="X120" i="2"/>
  <c r="B120" i="2"/>
  <c r="X121" i="2"/>
  <c r="B121" i="2"/>
  <c r="X122" i="2"/>
  <c r="B122" i="2"/>
  <c r="X123" i="2"/>
  <c r="B123" i="2"/>
  <c r="X124" i="2"/>
  <c r="B124" i="2"/>
  <c r="X125" i="2"/>
  <c r="B125" i="2"/>
  <c r="X126" i="2"/>
  <c r="B126" i="2"/>
  <c r="X127" i="2"/>
  <c r="B127" i="2"/>
  <c r="X128" i="2"/>
  <c r="B128" i="2"/>
  <c r="X129" i="2"/>
  <c r="B129" i="2"/>
  <c r="X130" i="2"/>
  <c r="B130" i="2"/>
  <c r="X131" i="2"/>
  <c r="B131" i="2"/>
  <c r="X132" i="2"/>
  <c r="B132" i="2"/>
  <c r="X133" i="2"/>
  <c r="B133" i="2"/>
  <c r="X134" i="2"/>
  <c r="B134" i="2"/>
  <c r="X135" i="2"/>
  <c r="B135" i="2"/>
  <c r="X136" i="2"/>
  <c r="B136" i="2"/>
  <c r="X137" i="2"/>
  <c r="B137" i="2"/>
  <c r="X138" i="2"/>
  <c r="B138" i="2"/>
  <c r="X139" i="2"/>
  <c r="B139" i="2"/>
  <c r="X140" i="2"/>
  <c r="B140" i="2"/>
  <c r="X141" i="2"/>
  <c r="B141" i="2"/>
  <c r="X142" i="2"/>
  <c r="B142" i="2"/>
  <c r="X143" i="2"/>
  <c r="B143" i="2"/>
  <c r="X144" i="2"/>
  <c r="B144" i="2"/>
  <c r="X145" i="2"/>
  <c r="B145" i="2"/>
  <c r="X146" i="2"/>
  <c r="B146" i="2"/>
  <c r="X147" i="2"/>
  <c r="B147" i="2"/>
  <c r="X148" i="2"/>
  <c r="B148" i="2"/>
  <c r="X149" i="2"/>
  <c r="B149" i="2"/>
  <c r="X150" i="2"/>
  <c r="B150" i="2"/>
  <c r="X151" i="2"/>
  <c r="B151" i="2"/>
  <c r="X152" i="2"/>
  <c r="B152" i="2"/>
  <c r="X153" i="2"/>
  <c r="B153" i="2"/>
  <c r="X154" i="2"/>
  <c r="B154" i="2"/>
  <c r="X155" i="2"/>
  <c r="B155" i="2"/>
  <c r="X156" i="2"/>
  <c r="B156" i="2"/>
  <c r="X157" i="2"/>
  <c r="B157" i="2"/>
  <c r="X158" i="2"/>
  <c r="B158" i="2"/>
  <c r="X159" i="2"/>
  <c r="B159" i="2"/>
  <c r="X160" i="2"/>
  <c r="B160" i="2"/>
  <c r="X161" i="2"/>
  <c r="B161" i="2"/>
  <c r="X162" i="2"/>
  <c r="B162" i="2"/>
  <c r="X163" i="2"/>
  <c r="B163" i="2"/>
  <c r="X164" i="2"/>
  <c r="B164" i="2"/>
  <c r="X165" i="2"/>
  <c r="B165" i="2"/>
  <c r="X166" i="2"/>
  <c r="B166" i="2"/>
  <c r="X167" i="2"/>
  <c r="B167" i="2"/>
  <c r="X168" i="2"/>
  <c r="B168" i="2"/>
  <c r="X169" i="2"/>
  <c r="B169" i="2"/>
  <c r="X170" i="2"/>
  <c r="B170" i="2"/>
  <c r="X171" i="2"/>
  <c r="B171" i="2"/>
  <c r="X172" i="2"/>
  <c r="B172" i="2"/>
  <c r="X173" i="2"/>
  <c r="B173" i="2"/>
  <c r="X174" i="2"/>
  <c r="B174" i="2"/>
  <c r="X175" i="2"/>
  <c r="B175" i="2"/>
  <c r="X176" i="2"/>
  <c r="B176" i="2"/>
  <c r="X177" i="2"/>
  <c r="B177" i="2"/>
  <c r="X178" i="2"/>
  <c r="B178" i="2"/>
  <c r="X179" i="2"/>
  <c r="B179" i="2"/>
  <c r="X180" i="2"/>
  <c r="B180" i="2"/>
  <c r="X181" i="2"/>
  <c r="B181" i="2"/>
  <c r="X182" i="2"/>
  <c r="B182" i="2"/>
  <c r="X183" i="2"/>
  <c r="B183" i="2"/>
  <c r="X184" i="2"/>
  <c r="B184" i="2"/>
  <c r="X185" i="2"/>
  <c r="B185" i="2"/>
  <c r="X186" i="2"/>
  <c r="B186" i="2"/>
  <c r="X187" i="2"/>
  <c r="B187" i="2"/>
  <c r="X188" i="2"/>
  <c r="B188" i="2"/>
  <c r="X189" i="2"/>
  <c r="B189" i="2"/>
  <c r="X190" i="2"/>
  <c r="B190" i="2"/>
  <c r="X191" i="2"/>
  <c r="B191" i="2"/>
  <c r="X192" i="2"/>
  <c r="B192" i="2"/>
  <c r="X193" i="2"/>
  <c r="B193" i="2"/>
  <c r="X194" i="2"/>
  <c r="B194" i="2"/>
  <c r="X195" i="2"/>
  <c r="B195" i="2"/>
  <c r="X196" i="2"/>
  <c r="B196" i="2"/>
  <c r="X197" i="2"/>
  <c r="B197" i="2"/>
  <c r="X198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E201" i="3"/>
  <c r="F201" i="3"/>
  <c r="G201" i="3"/>
  <c r="H201" i="3"/>
  <c r="I201" i="3"/>
  <c r="J201" i="3"/>
  <c r="K201" i="3"/>
  <c r="L201" i="3"/>
  <c r="M201" i="3"/>
  <c r="N201" i="3"/>
  <c r="O201" i="3"/>
  <c r="P201" i="3"/>
  <c r="Q201" i="3"/>
  <c r="R201" i="3"/>
  <c r="S201" i="3"/>
  <c r="T201" i="3"/>
  <c r="U201" i="3"/>
  <c r="E201" i="4"/>
  <c r="F201" i="4"/>
  <c r="G201" i="4"/>
  <c r="H201" i="4"/>
  <c r="I201" i="4"/>
  <c r="J201" i="4"/>
  <c r="K201" i="4"/>
  <c r="L201" i="4"/>
  <c r="M201" i="4"/>
  <c r="N201" i="4"/>
  <c r="O201" i="4"/>
  <c r="P201" i="4"/>
  <c r="Q201" i="4"/>
  <c r="R201" i="4"/>
  <c r="S201" i="4"/>
  <c r="T201" i="4"/>
  <c r="U201" i="4"/>
  <c r="E6" i="6"/>
  <c r="F6" i="6"/>
  <c r="G6" i="6"/>
  <c r="H6" i="6"/>
  <c r="I6" i="6"/>
  <c r="J6" i="6"/>
  <c r="K6" i="6"/>
  <c r="L6" i="6"/>
  <c r="M6" i="6"/>
  <c r="N6" i="6"/>
  <c r="O6" i="6"/>
  <c r="P6" i="6"/>
  <c r="Q6" i="6"/>
  <c r="R6" i="6"/>
  <c r="S6" i="6"/>
  <c r="T6" i="6"/>
  <c r="U6" i="6"/>
  <c r="E7" i="6"/>
  <c r="F7" i="6"/>
  <c r="G7" i="6"/>
  <c r="H7" i="6"/>
  <c r="I7" i="6"/>
  <c r="J7" i="6"/>
  <c r="K7" i="6"/>
  <c r="L7" i="6"/>
  <c r="M7" i="6"/>
  <c r="N7" i="6"/>
  <c r="O7" i="6"/>
  <c r="P7" i="6"/>
  <c r="Q7" i="6"/>
  <c r="R7" i="6"/>
  <c r="S7" i="6"/>
  <c r="T7" i="6"/>
  <c r="U7" i="6"/>
  <c r="E8" i="6"/>
  <c r="F8" i="6"/>
  <c r="G8" i="6"/>
  <c r="H8" i="6"/>
  <c r="I8" i="6"/>
  <c r="J8" i="6"/>
  <c r="K8" i="6"/>
  <c r="L8" i="6"/>
  <c r="M8" i="6"/>
  <c r="N8" i="6"/>
  <c r="O8" i="6"/>
  <c r="P8" i="6"/>
  <c r="Q8" i="6"/>
  <c r="R8" i="6"/>
  <c r="S8" i="6"/>
  <c r="T8" i="6"/>
  <c r="U8" i="6"/>
  <c r="E9" i="6"/>
  <c r="F9" i="6"/>
  <c r="G9" i="6"/>
  <c r="H9" i="6"/>
  <c r="I9" i="6"/>
  <c r="J9" i="6"/>
  <c r="K9" i="6"/>
  <c r="L9" i="6"/>
  <c r="M9" i="6"/>
  <c r="N9" i="6"/>
  <c r="O9" i="6"/>
  <c r="P9" i="6"/>
  <c r="Q9" i="6"/>
  <c r="R9" i="6"/>
  <c r="S9" i="6"/>
  <c r="T9" i="6"/>
  <c r="U9" i="6"/>
  <c r="E10" i="6"/>
  <c r="F10" i="6"/>
  <c r="G10" i="6"/>
  <c r="H10" i="6"/>
  <c r="I10" i="6"/>
  <c r="J10" i="6"/>
  <c r="K10" i="6"/>
  <c r="L10" i="6"/>
  <c r="M10" i="6"/>
  <c r="N10" i="6"/>
  <c r="O10" i="6"/>
  <c r="P10" i="6"/>
  <c r="Q10" i="6"/>
  <c r="R10" i="6"/>
  <c r="S10" i="6"/>
  <c r="T10" i="6"/>
  <c r="U10" i="6"/>
  <c r="E11" i="6"/>
  <c r="F11" i="6"/>
  <c r="G11" i="6"/>
  <c r="H11" i="6"/>
  <c r="I11" i="6"/>
  <c r="J11" i="6"/>
  <c r="K11" i="6"/>
  <c r="L11" i="6"/>
  <c r="M11" i="6"/>
  <c r="N11" i="6"/>
  <c r="O11" i="6"/>
  <c r="P11" i="6"/>
  <c r="Q11" i="6"/>
  <c r="R11" i="6"/>
  <c r="S11" i="6"/>
  <c r="T11" i="6"/>
  <c r="U11" i="6"/>
  <c r="E12" i="6"/>
  <c r="F12" i="6"/>
  <c r="G12" i="6"/>
  <c r="H12" i="6"/>
  <c r="I12" i="6"/>
  <c r="J12" i="6"/>
  <c r="K12" i="6"/>
  <c r="L12" i="6"/>
  <c r="M12" i="6"/>
  <c r="N12" i="6"/>
  <c r="O12" i="6"/>
  <c r="P12" i="6"/>
  <c r="Q12" i="6"/>
  <c r="R12" i="6"/>
  <c r="S12" i="6"/>
  <c r="T12" i="6"/>
  <c r="U12" i="6"/>
  <c r="E13" i="6"/>
  <c r="F13" i="6"/>
  <c r="G13" i="6"/>
  <c r="H13" i="6"/>
  <c r="I13" i="6"/>
  <c r="J13" i="6"/>
  <c r="K13" i="6"/>
  <c r="L13" i="6"/>
  <c r="M13" i="6"/>
  <c r="N13" i="6"/>
  <c r="O13" i="6"/>
  <c r="P13" i="6"/>
  <c r="Q13" i="6"/>
  <c r="R13" i="6"/>
  <c r="S13" i="6"/>
  <c r="T13" i="6"/>
  <c r="U13" i="6"/>
  <c r="E14" i="6"/>
  <c r="F14" i="6"/>
  <c r="G14" i="6"/>
  <c r="H14" i="6"/>
  <c r="I14" i="6"/>
  <c r="J14" i="6"/>
  <c r="K14" i="6"/>
  <c r="L14" i="6"/>
  <c r="M14" i="6"/>
  <c r="N14" i="6"/>
  <c r="O14" i="6"/>
  <c r="P14" i="6"/>
  <c r="Q14" i="6"/>
  <c r="R14" i="6"/>
  <c r="S14" i="6"/>
  <c r="T14" i="6"/>
  <c r="U14" i="6"/>
  <c r="E15" i="6"/>
  <c r="F15" i="6"/>
  <c r="G15" i="6"/>
  <c r="H15" i="6"/>
  <c r="I15" i="6"/>
  <c r="J15" i="6"/>
  <c r="K15" i="6"/>
  <c r="L15" i="6"/>
  <c r="M15" i="6"/>
  <c r="N15" i="6"/>
  <c r="O15" i="6"/>
  <c r="P15" i="6"/>
  <c r="Q15" i="6"/>
  <c r="R15" i="6"/>
  <c r="S15" i="6"/>
  <c r="T15" i="6"/>
  <c r="U15" i="6"/>
  <c r="E16" i="6"/>
  <c r="F16" i="6"/>
  <c r="G16" i="6"/>
  <c r="H16" i="6"/>
  <c r="I16" i="6"/>
  <c r="J16" i="6"/>
  <c r="K16" i="6"/>
  <c r="L16" i="6"/>
  <c r="M16" i="6"/>
  <c r="N16" i="6"/>
  <c r="O16" i="6"/>
  <c r="P16" i="6"/>
  <c r="Q16" i="6"/>
  <c r="R16" i="6"/>
  <c r="S16" i="6"/>
  <c r="T16" i="6"/>
  <c r="U16" i="6"/>
  <c r="E17" i="6"/>
  <c r="F17" i="6"/>
  <c r="G17" i="6"/>
  <c r="H17" i="6"/>
  <c r="I17" i="6"/>
  <c r="J17" i="6"/>
  <c r="K17" i="6"/>
  <c r="L17" i="6"/>
  <c r="M17" i="6"/>
  <c r="N17" i="6"/>
  <c r="O17" i="6"/>
  <c r="P17" i="6"/>
  <c r="Q17" i="6"/>
  <c r="R17" i="6"/>
  <c r="S17" i="6"/>
  <c r="T17" i="6"/>
  <c r="U17" i="6"/>
  <c r="E18" i="6"/>
  <c r="F18" i="6"/>
  <c r="G18" i="6"/>
  <c r="H18" i="6"/>
  <c r="I18" i="6"/>
  <c r="J18" i="6"/>
  <c r="K18" i="6"/>
  <c r="L18" i="6"/>
  <c r="M18" i="6"/>
  <c r="N18" i="6"/>
  <c r="O18" i="6"/>
  <c r="P18" i="6"/>
  <c r="Q18" i="6"/>
  <c r="R18" i="6"/>
  <c r="S18" i="6"/>
  <c r="T18" i="6"/>
  <c r="U18" i="6"/>
  <c r="E19" i="6"/>
  <c r="F19" i="6"/>
  <c r="G19" i="6"/>
  <c r="H19" i="6"/>
  <c r="I19" i="6"/>
  <c r="J19" i="6"/>
  <c r="K19" i="6"/>
  <c r="L19" i="6"/>
  <c r="M19" i="6"/>
  <c r="N19" i="6"/>
  <c r="O19" i="6"/>
  <c r="P19" i="6"/>
  <c r="Q19" i="6"/>
  <c r="R19" i="6"/>
  <c r="S19" i="6"/>
  <c r="T19" i="6"/>
  <c r="U19" i="6"/>
  <c r="E20" i="6"/>
  <c r="F20" i="6"/>
  <c r="G20" i="6"/>
  <c r="H20" i="6"/>
  <c r="I20" i="6"/>
  <c r="J20" i="6"/>
  <c r="K20" i="6"/>
  <c r="L20" i="6"/>
  <c r="M20" i="6"/>
  <c r="N20" i="6"/>
  <c r="O20" i="6"/>
  <c r="P20" i="6"/>
  <c r="Q20" i="6"/>
  <c r="R20" i="6"/>
  <c r="S20" i="6"/>
  <c r="T20" i="6"/>
  <c r="U20" i="6"/>
  <c r="E21" i="6"/>
  <c r="F21" i="6"/>
  <c r="G21" i="6"/>
  <c r="H21" i="6"/>
  <c r="I21" i="6"/>
  <c r="J21" i="6"/>
  <c r="K21" i="6"/>
  <c r="L21" i="6"/>
  <c r="M21" i="6"/>
  <c r="N21" i="6"/>
  <c r="O21" i="6"/>
  <c r="P21" i="6"/>
  <c r="Q21" i="6"/>
  <c r="R21" i="6"/>
  <c r="S21" i="6"/>
  <c r="T21" i="6"/>
  <c r="U21" i="6"/>
  <c r="E22" i="6"/>
  <c r="F22" i="6"/>
  <c r="G22" i="6"/>
  <c r="H22" i="6"/>
  <c r="I22" i="6"/>
  <c r="J22" i="6"/>
  <c r="K22" i="6"/>
  <c r="L22" i="6"/>
  <c r="M22" i="6"/>
  <c r="N22" i="6"/>
  <c r="O22" i="6"/>
  <c r="P22" i="6"/>
  <c r="Q22" i="6"/>
  <c r="R22" i="6"/>
  <c r="S22" i="6"/>
  <c r="T22" i="6"/>
  <c r="U22" i="6"/>
  <c r="E23" i="6"/>
  <c r="F23" i="6"/>
  <c r="G23" i="6"/>
  <c r="H23" i="6"/>
  <c r="I23" i="6"/>
  <c r="J23" i="6"/>
  <c r="K23" i="6"/>
  <c r="L23" i="6"/>
  <c r="M23" i="6"/>
  <c r="N23" i="6"/>
  <c r="O23" i="6"/>
  <c r="P23" i="6"/>
  <c r="Q23" i="6"/>
  <c r="R23" i="6"/>
  <c r="S23" i="6"/>
  <c r="T23" i="6"/>
  <c r="U23" i="6"/>
  <c r="E24" i="6"/>
  <c r="F24" i="6"/>
  <c r="G24" i="6"/>
  <c r="H24" i="6"/>
  <c r="I24" i="6"/>
  <c r="J24" i="6"/>
  <c r="K24" i="6"/>
  <c r="L24" i="6"/>
  <c r="M24" i="6"/>
  <c r="N24" i="6"/>
  <c r="O24" i="6"/>
  <c r="P24" i="6"/>
  <c r="Q24" i="6"/>
  <c r="R24" i="6"/>
  <c r="S24" i="6"/>
  <c r="T24" i="6"/>
  <c r="U24" i="6"/>
  <c r="E25" i="6"/>
  <c r="F25" i="6"/>
  <c r="G25" i="6"/>
  <c r="H25" i="6"/>
  <c r="I25" i="6"/>
  <c r="J25" i="6"/>
  <c r="K25" i="6"/>
  <c r="L25" i="6"/>
  <c r="M25" i="6"/>
  <c r="N25" i="6"/>
  <c r="O25" i="6"/>
  <c r="P25" i="6"/>
  <c r="Q25" i="6"/>
  <c r="R25" i="6"/>
  <c r="S25" i="6"/>
  <c r="T25" i="6"/>
  <c r="U25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R26" i="6"/>
  <c r="S26" i="6"/>
  <c r="T26" i="6"/>
  <c r="U26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R27" i="6"/>
  <c r="S27" i="6"/>
  <c r="T27" i="6"/>
  <c r="U27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S28" i="6"/>
  <c r="T28" i="6"/>
  <c r="U28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S29" i="6"/>
  <c r="T29" i="6"/>
  <c r="U29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S30" i="6"/>
  <c r="T30" i="6"/>
  <c r="U30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R31" i="6"/>
  <c r="S31" i="6"/>
  <c r="T31" i="6"/>
  <c r="U31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S32" i="6"/>
  <c r="T32" i="6"/>
  <c r="U32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S33" i="6"/>
  <c r="T33" i="6"/>
  <c r="U33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R34" i="6"/>
  <c r="S34" i="6"/>
  <c r="T34" i="6"/>
  <c r="U34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S35" i="6"/>
  <c r="T35" i="6"/>
  <c r="U35" i="6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R36" i="6"/>
  <c r="S36" i="6"/>
  <c r="T36" i="6"/>
  <c r="U36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S37" i="6"/>
  <c r="T37" i="6"/>
  <c r="U37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S38" i="6"/>
  <c r="T38" i="6"/>
  <c r="U38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R39" i="6"/>
  <c r="S39" i="6"/>
  <c r="T39" i="6"/>
  <c r="U39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R40" i="6"/>
  <c r="S40" i="6"/>
  <c r="T40" i="6"/>
  <c r="U40" i="6"/>
  <c r="E41" i="6"/>
  <c r="F41" i="6"/>
  <c r="G41" i="6"/>
  <c r="H41" i="6"/>
  <c r="I41" i="6"/>
  <c r="J41" i="6"/>
  <c r="K41" i="6"/>
  <c r="L41" i="6"/>
  <c r="M41" i="6"/>
  <c r="N41" i="6"/>
  <c r="O41" i="6"/>
  <c r="P41" i="6"/>
  <c r="Q41" i="6"/>
  <c r="R41" i="6"/>
  <c r="S41" i="6"/>
  <c r="T41" i="6"/>
  <c r="U41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S42" i="6"/>
  <c r="T42" i="6"/>
  <c r="U42" i="6"/>
  <c r="E43" i="6"/>
  <c r="F43" i="6"/>
  <c r="G43" i="6"/>
  <c r="H43" i="6"/>
  <c r="I43" i="6"/>
  <c r="J43" i="6"/>
  <c r="K43" i="6"/>
  <c r="L43" i="6"/>
  <c r="M43" i="6"/>
  <c r="N43" i="6"/>
  <c r="O43" i="6"/>
  <c r="P43" i="6"/>
  <c r="Q43" i="6"/>
  <c r="R43" i="6"/>
  <c r="S43" i="6"/>
  <c r="T43" i="6"/>
  <c r="U43" i="6"/>
  <c r="E44" i="6"/>
  <c r="F44" i="6"/>
  <c r="G44" i="6"/>
  <c r="H44" i="6"/>
  <c r="I44" i="6"/>
  <c r="J44" i="6"/>
  <c r="K44" i="6"/>
  <c r="L44" i="6"/>
  <c r="M44" i="6"/>
  <c r="N44" i="6"/>
  <c r="O44" i="6"/>
  <c r="P44" i="6"/>
  <c r="Q44" i="6"/>
  <c r="R44" i="6"/>
  <c r="S44" i="6"/>
  <c r="T44" i="6"/>
  <c r="U44" i="6"/>
  <c r="E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S45" i="6"/>
  <c r="T45" i="6"/>
  <c r="U45" i="6"/>
  <c r="E46" i="6"/>
  <c r="F46" i="6"/>
  <c r="G46" i="6"/>
  <c r="H46" i="6"/>
  <c r="I46" i="6"/>
  <c r="J46" i="6"/>
  <c r="K46" i="6"/>
  <c r="L46" i="6"/>
  <c r="M46" i="6"/>
  <c r="N46" i="6"/>
  <c r="O46" i="6"/>
  <c r="P46" i="6"/>
  <c r="Q46" i="6"/>
  <c r="R46" i="6"/>
  <c r="S46" i="6"/>
  <c r="T46" i="6"/>
  <c r="U46" i="6"/>
  <c r="E47" i="6"/>
  <c r="F47" i="6"/>
  <c r="G47" i="6"/>
  <c r="H47" i="6"/>
  <c r="I47" i="6"/>
  <c r="J47" i="6"/>
  <c r="K47" i="6"/>
  <c r="L47" i="6"/>
  <c r="M47" i="6"/>
  <c r="N47" i="6"/>
  <c r="O47" i="6"/>
  <c r="P47" i="6"/>
  <c r="Q47" i="6"/>
  <c r="R47" i="6"/>
  <c r="S47" i="6"/>
  <c r="T47" i="6"/>
  <c r="U47" i="6"/>
  <c r="E48" i="6"/>
  <c r="F48" i="6"/>
  <c r="G48" i="6"/>
  <c r="H48" i="6"/>
  <c r="I48" i="6"/>
  <c r="J48" i="6"/>
  <c r="K48" i="6"/>
  <c r="L48" i="6"/>
  <c r="M48" i="6"/>
  <c r="N48" i="6"/>
  <c r="O48" i="6"/>
  <c r="P48" i="6"/>
  <c r="Q48" i="6"/>
  <c r="R48" i="6"/>
  <c r="S48" i="6"/>
  <c r="T48" i="6"/>
  <c r="U48" i="6"/>
  <c r="E49" i="6"/>
  <c r="F49" i="6"/>
  <c r="G49" i="6"/>
  <c r="H49" i="6"/>
  <c r="I49" i="6"/>
  <c r="J49" i="6"/>
  <c r="K49" i="6"/>
  <c r="L49" i="6"/>
  <c r="M49" i="6"/>
  <c r="N49" i="6"/>
  <c r="O49" i="6"/>
  <c r="P49" i="6"/>
  <c r="Q49" i="6"/>
  <c r="R49" i="6"/>
  <c r="S49" i="6"/>
  <c r="T49" i="6"/>
  <c r="U49" i="6"/>
  <c r="E50" i="6"/>
  <c r="F50" i="6"/>
  <c r="G50" i="6"/>
  <c r="H50" i="6"/>
  <c r="I50" i="6"/>
  <c r="J50" i="6"/>
  <c r="K50" i="6"/>
  <c r="L50" i="6"/>
  <c r="M50" i="6"/>
  <c r="N50" i="6"/>
  <c r="O50" i="6"/>
  <c r="P50" i="6"/>
  <c r="Q50" i="6"/>
  <c r="R50" i="6"/>
  <c r="S50" i="6"/>
  <c r="T50" i="6"/>
  <c r="U50" i="6"/>
  <c r="E51" i="6"/>
  <c r="F51" i="6"/>
  <c r="G51" i="6"/>
  <c r="H51" i="6"/>
  <c r="I51" i="6"/>
  <c r="J51" i="6"/>
  <c r="K51" i="6"/>
  <c r="L51" i="6"/>
  <c r="M51" i="6"/>
  <c r="N51" i="6"/>
  <c r="O51" i="6"/>
  <c r="P51" i="6"/>
  <c r="Q51" i="6"/>
  <c r="R51" i="6"/>
  <c r="S51" i="6"/>
  <c r="T51" i="6"/>
  <c r="U51" i="6"/>
  <c r="E52" i="6"/>
  <c r="F52" i="6"/>
  <c r="G52" i="6"/>
  <c r="H52" i="6"/>
  <c r="I52" i="6"/>
  <c r="J52" i="6"/>
  <c r="K52" i="6"/>
  <c r="L52" i="6"/>
  <c r="M52" i="6"/>
  <c r="N52" i="6"/>
  <c r="O52" i="6"/>
  <c r="P52" i="6"/>
  <c r="Q52" i="6"/>
  <c r="R52" i="6"/>
  <c r="S52" i="6"/>
  <c r="T52" i="6"/>
  <c r="U52" i="6"/>
  <c r="E53" i="6"/>
  <c r="F53" i="6"/>
  <c r="G53" i="6"/>
  <c r="H53" i="6"/>
  <c r="I53" i="6"/>
  <c r="J53" i="6"/>
  <c r="K53" i="6"/>
  <c r="L53" i="6"/>
  <c r="M53" i="6"/>
  <c r="N53" i="6"/>
  <c r="O53" i="6"/>
  <c r="P53" i="6"/>
  <c r="Q53" i="6"/>
  <c r="R53" i="6"/>
  <c r="S53" i="6"/>
  <c r="T53" i="6"/>
  <c r="U53" i="6"/>
  <c r="E54" i="6"/>
  <c r="F54" i="6"/>
  <c r="G54" i="6"/>
  <c r="H54" i="6"/>
  <c r="I54" i="6"/>
  <c r="J54" i="6"/>
  <c r="K54" i="6"/>
  <c r="L54" i="6"/>
  <c r="M54" i="6"/>
  <c r="N54" i="6"/>
  <c r="O54" i="6"/>
  <c r="P54" i="6"/>
  <c r="Q54" i="6"/>
  <c r="R54" i="6"/>
  <c r="S54" i="6"/>
  <c r="T54" i="6"/>
  <c r="U54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S55" i="6"/>
  <c r="T55" i="6"/>
  <c r="U55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S56" i="6"/>
  <c r="T56" i="6"/>
  <c r="U56" i="6"/>
  <c r="E57" i="6"/>
  <c r="F57" i="6"/>
  <c r="G57" i="6"/>
  <c r="H57" i="6"/>
  <c r="I57" i="6"/>
  <c r="J57" i="6"/>
  <c r="K57" i="6"/>
  <c r="L57" i="6"/>
  <c r="M57" i="6"/>
  <c r="N57" i="6"/>
  <c r="O57" i="6"/>
  <c r="P57" i="6"/>
  <c r="Q57" i="6"/>
  <c r="R57" i="6"/>
  <c r="S57" i="6"/>
  <c r="T57" i="6"/>
  <c r="U57" i="6"/>
  <c r="E58" i="6"/>
  <c r="F58" i="6"/>
  <c r="G58" i="6"/>
  <c r="H58" i="6"/>
  <c r="I58" i="6"/>
  <c r="J58" i="6"/>
  <c r="K58" i="6"/>
  <c r="L58" i="6"/>
  <c r="M58" i="6"/>
  <c r="N58" i="6"/>
  <c r="O58" i="6"/>
  <c r="P58" i="6"/>
  <c r="Q58" i="6"/>
  <c r="R58" i="6"/>
  <c r="S58" i="6"/>
  <c r="T58" i="6"/>
  <c r="U58" i="6"/>
  <c r="E59" i="6"/>
  <c r="F59" i="6"/>
  <c r="G59" i="6"/>
  <c r="H59" i="6"/>
  <c r="I59" i="6"/>
  <c r="J59" i="6"/>
  <c r="K59" i="6"/>
  <c r="L59" i="6"/>
  <c r="M59" i="6"/>
  <c r="N59" i="6"/>
  <c r="O59" i="6"/>
  <c r="P59" i="6"/>
  <c r="Q59" i="6"/>
  <c r="R59" i="6"/>
  <c r="S59" i="6"/>
  <c r="T59" i="6"/>
  <c r="U59" i="6"/>
  <c r="E60" i="6"/>
  <c r="F60" i="6"/>
  <c r="G60" i="6"/>
  <c r="H60" i="6"/>
  <c r="I60" i="6"/>
  <c r="J60" i="6"/>
  <c r="K60" i="6"/>
  <c r="L60" i="6"/>
  <c r="M60" i="6"/>
  <c r="N60" i="6"/>
  <c r="O60" i="6"/>
  <c r="P60" i="6"/>
  <c r="Q60" i="6"/>
  <c r="R60" i="6"/>
  <c r="S60" i="6"/>
  <c r="T60" i="6"/>
  <c r="U60" i="6"/>
  <c r="E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S61" i="6"/>
  <c r="T61" i="6"/>
  <c r="U61" i="6"/>
  <c r="E62" i="6"/>
  <c r="F62" i="6"/>
  <c r="G62" i="6"/>
  <c r="H62" i="6"/>
  <c r="I62" i="6"/>
  <c r="J62" i="6"/>
  <c r="K62" i="6"/>
  <c r="L62" i="6"/>
  <c r="M62" i="6"/>
  <c r="N62" i="6"/>
  <c r="O62" i="6"/>
  <c r="P62" i="6"/>
  <c r="Q62" i="6"/>
  <c r="R62" i="6"/>
  <c r="S62" i="6"/>
  <c r="T62" i="6"/>
  <c r="U62" i="6"/>
  <c r="E63" i="6"/>
  <c r="F63" i="6"/>
  <c r="G63" i="6"/>
  <c r="H63" i="6"/>
  <c r="I63" i="6"/>
  <c r="J63" i="6"/>
  <c r="K63" i="6"/>
  <c r="L63" i="6"/>
  <c r="M63" i="6"/>
  <c r="N63" i="6"/>
  <c r="O63" i="6"/>
  <c r="P63" i="6"/>
  <c r="Q63" i="6"/>
  <c r="R63" i="6"/>
  <c r="S63" i="6"/>
  <c r="T63" i="6"/>
  <c r="U63" i="6"/>
  <c r="E64" i="6"/>
  <c r="F64" i="6"/>
  <c r="G64" i="6"/>
  <c r="H64" i="6"/>
  <c r="I64" i="6"/>
  <c r="J64" i="6"/>
  <c r="K64" i="6"/>
  <c r="L64" i="6"/>
  <c r="M64" i="6"/>
  <c r="N64" i="6"/>
  <c r="O64" i="6"/>
  <c r="P64" i="6"/>
  <c r="Q64" i="6"/>
  <c r="R64" i="6"/>
  <c r="S64" i="6"/>
  <c r="T64" i="6"/>
  <c r="U64" i="6"/>
  <c r="E65" i="6"/>
  <c r="F65" i="6"/>
  <c r="G65" i="6"/>
  <c r="H65" i="6"/>
  <c r="I65" i="6"/>
  <c r="J65" i="6"/>
  <c r="K65" i="6"/>
  <c r="L65" i="6"/>
  <c r="M65" i="6"/>
  <c r="N65" i="6"/>
  <c r="O65" i="6"/>
  <c r="P65" i="6"/>
  <c r="Q65" i="6"/>
  <c r="R65" i="6"/>
  <c r="S65" i="6"/>
  <c r="T65" i="6"/>
  <c r="U65" i="6"/>
  <c r="E66" i="6"/>
  <c r="F66" i="6"/>
  <c r="G66" i="6"/>
  <c r="H66" i="6"/>
  <c r="I66" i="6"/>
  <c r="J66" i="6"/>
  <c r="K66" i="6"/>
  <c r="L66" i="6"/>
  <c r="M66" i="6"/>
  <c r="N66" i="6"/>
  <c r="O66" i="6"/>
  <c r="P66" i="6"/>
  <c r="Q66" i="6"/>
  <c r="R66" i="6"/>
  <c r="S66" i="6"/>
  <c r="T66" i="6"/>
  <c r="U66" i="6"/>
  <c r="E67" i="6"/>
  <c r="F67" i="6"/>
  <c r="G67" i="6"/>
  <c r="H67" i="6"/>
  <c r="I67" i="6"/>
  <c r="J67" i="6"/>
  <c r="K67" i="6"/>
  <c r="L67" i="6"/>
  <c r="M67" i="6"/>
  <c r="N67" i="6"/>
  <c r="O67" i="6"/>
  <c r="P67" i="6"/>
  <c r="Q67" i="6"/>
  <c r="R67" i="6"/>
  <c r="S67" i="6"/>
  <c r="T67" i="6"/>
  <c r="U67" i="6"/>
  <c r="E68" i="6"/>
  <c r="F68" i="6"/>
  <c r="G68" i="6"/>
  <c r="H68" i="6"/>
  <c r="I68" i="6"/>
  <c r="J68" i="6"/>
  <c r="K68" i="6"/>
  <c r="L68" i="6"/>
  <c r="M68" i="6"/>
  <c r="N68" i="6"/>
  <c r="O68" i="6"/>
  <c r="P68" i="6"/>
  <c r="Q68" i="6"/>
  <c r="R68" i="6"/>
  <c r="S68" i="6"/>
  <c r="T68" i="6"/>
  <c r="U68" i="6"/>
  <c r="E69" i="6"/>
  <c r="F69" i="6"/>
  <c r="G69" i="6"/>
  <c r="H69" i="6"/>
  <c r="I69" i="6"/>
  <c r="J69" i="6"/>
  <c r="K69" i="6"/>
  <c r="L69" i="6"/>
  <c r="M69" i="6"/>
  <c r="N69" i="6"/>
  <c r="O69" i="6"/>
  <c r="P69" i="6"/>
  <c r="Q69" i="6"/>
  <c r="R69" i="6"/>
  <c r="S69" i="6"/>
  <c r="T69" i="6"/>
  <c r="U69" i="6"/>
  <c r="E70" i="6"/>
  <c r="F70" i="6"/>
  <c r="G70" i="6"/>
  <c r="H70" i="6"/>
  <c r="I70" i="6"/>
  <c r="J70" i="6"/>
  <c r="K70" i="6"/>
  <c r="L70" i="6"/>
  <c r="M70" i="6"/>
  <c r="N70" i="6"/>
  <c r="O70" i="6"/>
  <c r="P70" i="6"/>
  <c r="Q70" i="6"/>
  <c r="R70" i="6"/>
  <c r="S70" i="6"/>
  <c r="T70" i="6"/>
  <c r="U70" i="6"/>
  <c r="E71" i="6"/>
  <c r="F71" i="6"/>
  <c r="G71" i="6"/>
  <c r="H71" i="6"/>
  <c r="I71" i="6"/>
  <c r="J71" i="6"/>
  <c r="K71" i="6"/>
  <c r="L71" i="6"/>
  <c r="M71" i="6"/>
  <c r="N71" i="6"/>
  <c r="O71" i="6"/>
  <c r="P71" i="6"/>
  <c r="Q71" i="6"/>
  <c r="R71" i="6"/>
  <c r="S71" i="6"/>
  <c r="T71" i="6"/>
  <c r="U71" i="6"/>
  <c r="E72" i="6"/>
  <c r="F72" i="6"/>
  <c r="G72" i="6"/>
  <c r="H72" i="6"/>
  <c r="I72" i="6"/>
  <c r="J72" i="6"/>
  <c r="K72" i="6"/>
  <c r="L72" i="6"/>
  <c r="M72" i="6"/>
  <c r="N72" i="6"/>
  <c r="O72" i="6"/>
  <c r="P72" i="6"/>
  <c r="Q72" i="6"/>
  <c r="R72" i="6"/>
  <c r="S72" i="6"/>
  <c r="T72" i="6"/>
  <c r="U72" i="6"/>
  <c r="E73" i="6"/>
  <c r="F73" i="6"/>
  <c r="G73" i="6"/>
  <c r="H73" i="6"/>
  <c r="I73" i="6"/>
  <c r="J73" i="6"/>
  <c r="K73" i="6"/>
  <c r="L73" i="6"/>
  <c r="M73" i="6"/>
  <c r="N73" i="6"/>
  <c r="O73" i="6"/>
  <c r="P73" i="6"/>
  <c r="Q73" i="6"/>
  <c r="R73" i="6"/>
  <c r="S73" i="6"/>
  <c r="T73" i="6"/>
  <c r="U73" i="6"/>
  <c r="E74" i="6"/>
  <c r="F74" i="6"/>
  <c r="G74" i="6"/>
  <c r="H74" i="6"/>
  <c r="I74" i="6"/>
  <c r="J74" i="6"/>
  <c r="K74" i="6"/>
  <c r="L74" i="6"/>
  <c r="M74" i="6"/>
  <c r="N74" i="6"/>
  <c r="O74" i="6"/>
  <c r="P74" i="6"/>
  <c r="Q74" i="6"/>
  <c r="R74" i="6"/>
  <c r="S74" i="6"/>
  <c r="T74" i="6"/>
  <c r="U74" i="6"/>
  <c r="E75" i="6"/>
  <c r="F75" i="6"/>
  <c r="G75" i="6"/>
  <c r="H75" i="6"/>
  <c r="I75" i="6"/>
  <c r="J75" i="6"/>
  <c r="K75" i="6"/>
  <c r="L75" i="6"/>
  <c r="M75" i="6"/>
  <c r="N75" i="6"/>
  <c r="O75" i="6"/>
  <c r="P75" i="6"/>
  <c r="Q75" i="6"/>
  <c r="R75" i="6"/>
  <c r="S75" i="6"/>
  <c r="T75" i="6"/>
  <c r="U75" i="6"/>
  <c r="E76" i="6"/>
  <c r="F76" i="6"/>
  <c r="G76" i="6"/>
  <c r="H76" i="6"/>
  <c r="I76" i="6"/>
  <c r="J76" i="6"/>
  <c r="K76" i="6"/>
  <c r="L76" i="6"/>
  <c r="M76" i="6"/>
  <c r="N76" i="6"/>
  <c r="O76" i="6"/>
  <c r="P76" i="6"/>
  <c r="Q76" i="6"/>
  <c r="R76" i="6"/>
  <c r="S76" i="6"/>
  <c r="T76" i="6"/>
  <c r="U76" i="6"/>
  <c r="E77" i="6"/>
  <c r="F77" i="6"/>
  <c r="G77" i="6"/>
  <c r="H77" i="6"/>
  <c r="I77" i="6"/>
  <c r="J77" i="6"/>
  <c r="K77" i="6"/>
  <c r="L77" i="6"/>
  <c r="M77" i="6"/>
  <c r="N77" i="6"/>
  <c r="O77" i="6"/>
  <c r="P77" i="6"/>
  <c r="Q77" i="6"/>
  <c r="R77" i="6"/>
  <c r="S77" i="6"/>
  <c r="T77" i="6"/>
  <c r="U77" i="6"/>
  <c r="E78" i="6"/>
  <c r="F78" i="6"/>
  <c r="G78" i="6"/>
  <c r="H78" i="6"/>
  <c r="I78" i="6"/>
  <c r="J78" i="6"/>
  <c r="K78" i="6"/>
  <c r="L78" i="6"/>
  <c r="M78" i="6"/>
  <c r="N78" i="6"/>
  <c r="O78" i="6"/>
  <c r="P78" i="6"/>
  <c r="Q78" i="6"/>
  <c r="R78" i="6"/>
  <c r="S78" i="6"/>
  <c r="T78" i="6"/>
  <c r="U78" i="6"/>
  <c r="E79" i="6"/>
  <c r="F79" i="6"/>
  <c r="G79" i="6"/>
  <c r="H79" i="6"/>
  <c r="I79" i="6"/>
  <c r="J79" i="6"/>
  <c r="K79" i="6"/>
  <c r="L79" i="6"/>
  <c r="M79" i="6"/>
  <c r="N79" i="6"/>
  <c r="O79" i="6"/>
  <c r="P79" i="6"/>
  <c r="Q79" i="6"/>
  <c r="R79" i="6"/>
  <c r="S79" i="6"/>
  <c r="T79" i="6"/>
  <c r="U79" i="6"/>
  <c r="E80" i="6"/>
  <c r="F80" i="6"/>
  <c r="G80" i="6"/>
  <c r="H80" i="6"/>
  <c r="I80" i="6"/>
  <c r="J80" i="6"/>
  <c r="K80" i="6"/>
  <c r="L80" i="6"/>
  <c r="M80" i="6"/>
  <c r="N80" i="6"/>
  <c r="O80" i="6"/>
  <c r="P80" i="6"/>
  <c r="Q80" i="6"/>
  <c r="R80" i="6"/>
  <c r="S80" i="6"/>
  <c r="T80" i="6"/>
  <c r="U80" i="6"/>
  <c r="E81" i="6"/>
  <c r="F81" i="6"/>
  <c r="G81" i="6"/>
  <c r="H81" i="6"/>
  <c r="I81" i="6"/>
  <c r="J81" i="6"/>
  <c r="K81" i="6"/>
  <c r="L81" i="6"/>
  <c r="M81" i="6"/>
  <c r="N81" i="6"/>
  <c r="O81" i="6"/>
  <c r="P81" i="6"/>
  <c r="Q81" i="6"/>
  <c r="R81" i="6"/>
  <c r="S81" i="6"/>
  <c r="T81" i="6"/>
  <c r="U81" i="6"/>
  <c r="E82" i="6"/>
  <c r="F82" i="6"/>
  <c r="G82" i="6"/>
  <c r="H82" i="6"/>
  <c r="I82" i="6"/>
  <c r="J82" i="6"/>
  <c r="K82" i="6"/>
  <c r="L82" i="6"/>
  <c r="M82" i="6"/>
  <c r="N82" i="6"/>
  <c r="O82" i="6"/>
  <c r="P82" i="6"/>
  <c r="Q82" i="6"/>
  <c r="R82" i="6"/>
  <c r="S82" i="6"/>
  <c r="T82" i="6"/>
  <c r="U82" i="6"/>
  <c r="E83" i="6"/>
  <c r="F83" i="6"/>
  <c r="G83" i="6"/>
  <c r="H83" i="6"/>
  <c r="I83" i="6"/>
  <c r="J83" i="6"/>
  <c r="K83" i="6"/>
  <c r="L83" i="6"/>
  <c r="M83" i="6"/>
  <c r="N83" i="6"/>
  <c r="O83" i="6"/>
  <c r="P83" i="6"/>
  <c r="Q83" i="6"/>
  <c r="R83" i="6"/>
  <c r="S83" i="6"/>
  <c r="T83" i="6"/>
  <c r="U83" i="6"/>
  <c r="E84" i="6"/>
  <c r="F84" i="6"/>
  <c r="G84" i="6"/>
  <c r="H84" i="6"/>
  <c r="I84" i="6"/>
  <c r="J84" i="6"/>
  <c r="K84" i="6"/>
  <c r="L84" i="6"/>
  <c r="M84" i="6"/>
  <c r="N84" i="6"/>
  <c r="O84" i="6"/>
  <c r="P84" i="6"/>
  <c r="Q84" i="6"/>
  <c r="R84" i="6"/>
  <c r="S84" i="6"/>
  <c r="T84" i="6"/>
  <c r="U84" i="6"/>
  <c r="E85" i="6"/>
  <c r="F85" i="6"/>
  <c r="G85" i="6"/>
  <c r="H85" i="6"/>
  <c r="I85" i="6"/>
  <c r="J85" i="6"/>
  <c r="K85" i="6"/>
  <c r="L85" i="6"/>
  <c r="M85" i="6"/>
  <c r="N85" i="6"/>
  <c r="O85" i="6"/>
  <c r="P85" i="6"/>
  <c r="Q85" i="6"/>
  <c r="R85" i="6"/>
  <c r="S85" i="6"/>
  <c r="T85" i="6"/>
  <c r="U85" i="6"/>
  <c r="E86" i="6"/>
  <c r="F86" i="6"/>
  <c r="G86" i="6"/>
  <c r="H86" i="6"/>
  <c r="I86" i="6"/>
  <c r="J86" i="6"/>
  <c r="K86" i="6"/>
  <c r="L86" i="6"/>
  <c r="M86" i="6"/>
  <c r="N86" i="6"/>
  <c r="O86" i="6"/>
  <c r="P86" i="6"/>
  <c r="Q86" i="6"/>
  <c r="R86" i="6"/>
  <c r="S86" i="6"/>
  <c r="T86" i="6"/>
  <c r="U86" i="6"/>
  <c r="E87" i="6"/>
  <c r="F87" i="6"/>
  <c r="G87" i="6"/>
  <c r="H87" i="6"/>
  <c r="I87" i="6"/>
  <c r="J87" i="6"/>
  <c r="K87" i="6"/>
  <c r="L87" i="6"/>
  <c r="M87" i="6"/>
  <c r="N87" i="6"/>
  <c r="O87" i="6"/>
  <c r="P87" i="6"/>
  <c r="Q87" i="6"/>
  <c r="R87" i="6"/>
  <c r="S87" i="6"/>
  <c r="T87" i="6"/>
  <c r="U87" i="6"/>
  <c r="E88" i="6"/>
  <c r="F88" i="6"/>
  <c r="G88" i="6"/>
  <c r="H88" i="6"/>
  <c r="I88" i="6"/>
  <c r="J88" i="6"/>
  <c r="K88" i="6"/>
  <c r="L88" i="6"/>
  <c r="M88" i="6"/>
  <c r="N88" i="6"/>
  <c r="O88" i="6"/>
  <c r="P88" i="6"/>
  <c r="Q88" i="6"/>
  <c r="R88" i="6"/>
  <c r="S88" i="6"/>
  <c r="T88" i="6"/>
  <c r="U88" i="6"/>
  <c r="E89" i="6"/>
  <c r="F89" i="6"/>
  <c r="G89" i="6"/>
  <c r="H89" i="6"/>
  <c r="I89" i="6"/>
  <c r="J89" i="6"/>
  <c r="K89" i="6"/>
  <c r="L89" i="6"/>
  <c r="M89" i="6"/>
  <c r="N89" i="6"/>
  <c r="O89" i="6"/>
  <c r="P89" i="6"/>
  <c r="Q89" i="6"/>
  <c r="R89" i="6"/>
  <c r="S89" i="6"/>
  <c r="T89" i="6"/>
  <c r="U89" i="6"/>
  <c r="E90" i="6"/>
  <c r="F90" i="6"/>
  <c r="G90" i="6"/>
  <c r="H90" i="6"/>
  <c r="I90" i="6"/>
  <c r="J90" i="6"/>
  <c r="K90" i="6"/>
  <c r="L90" i="6"/>
  <c r="M90" i="6"/>
  <c r="N90" i="6"/>
  <c r="O90" i="6"/>
  <c r="P90" i="6"/>
  <c r="Q90" i="6"/>
  <c r="R90" i="6"/>
  <c r="S90" i="6"/>
  <c r="T90" i="6"/>
  <c r="U90" i="6"/>
  <c r="E91" i="6"/>
  <c r="F91" i="6"/>
  <c r="G91" i="6"/>
  <c r="H91" i="6"/>
  <c r="I91" i="6"/>
  <c r="J91" i="6"/>
  <c r="K91" i="6"/>
  <c r="L91" i="6"/>
  <c r="M91" i="6"/>
  <c r="N91" i="6"/>
  <c r="O91" i="6"/>
  <c r="P91" i="6"/>
  <c r="Q91" i="6"/>
  <c r="R91" i="6"/>
  <c r="S91" i="6"/>
  <c r="T91" i="6"/>
  <c r="U91" i="6"/>
  <c r="E92" i="6"/>
  <c r="F92" i="6"/>
  <c r="G92" i="6"/>
  <c r="H92" i="6"/>
  <c r="I92" i="6"/>
  <c r="J92" i="6"/>
  <c r="K92" i="6"/>
  <c r="L92" i="6"/>
  <c r="M92" i="6"/>
  <c r="N92" i="6"/>
  <c r="O92" i="6"/>
  <c r="P92" i="6"/>
  <c r="Q92" i="6"/>
  <c r="R92" i="6"/>
  <c r="S92" i="6"/>
  <c r="T92" i="6"/>
  <c r="U92" i="6"/>
  <c r="E93" i="6"/>
  <c r="F93" i="6"/>
  <c r="G93" i="6"/>
  <c r="H93" i="6"/>
  <c r="I93" i="6"/>
  <c r="J93" i="6"/>
  <c r="K93" i="6"/>
  <c r="L93" i="6"/>
  <c r="M93" i="6"/>
  <c r="N93" i="6"/>
  <c r="O93" i="6"/>
  <c r="P93" i="6"/>
  <c r="Q93" i="6"/>
  <c r="R93" i="6"/>
  <c r="S93" i="6"/>
  <c r="T93" i="6"/>
  <c r="U93" i="6"/>
  <c r="E94" i="6"/>
  <c r="F94" i="6"/>
  <c r="G94" i="6"/>
  <c r="H94" i="6"/>
  <c r="I94" i="6"/>
  <c r="J94" i="6"/>
  <c r="K94" i="6"/>
  <c r="L94" i="6"/>
  <c r="M94" i="6"/>
  <c r="N94" i="6"/>
  <c r="O94" i="6"/>
  <c r="P94" i="6"/>
  <c r="Q94" i="6"/>
  <c r="R94" i="6"/>
  <c r="S94" i="6"/>
  <c r="T94" i="6"/>
  <c r="U94" i="6"/>
  <c r="E95" i="6"/>
  <c r="F95" i="6"/>
  <c r="G95" i="6"/>
  <c r="H95" i="6"/>
  <c r="I95" i="6"/>
  <c r="J95" i="6"/>
  <c r="K95" i="6"/>
  <c r="L95" i="6"/>
  <c r="M95" i="6"/>
  <c r="N95" i="6"/>
  <c r="O95" i="6"/>
  <c r="P95" i="6"/>
  <c r="Q95" i="6"/>
  <c r="R95" i="6"/>
  <c r="S95" i="6"/>
  <c r="T95" i="6"/>
  <c r="U95" i="6"/>
  <c r="E96" i="6"/>
  <c r="F96" i="6"/>
  <c r="G96" i="6"/>
  <c r="H96" i="6"/>
  <c r="I96" i="6"/>
  <c r="J96" i="6"/>
  <c r="K96" i="6"/>
  <c r="L96" i="6"/>
  <c r="M96" i="6"/>
  <c r="N96" i="6"/>
  <c r="O96" i="6"/>
  <c r="P96" i="6"/>
  <c r="Q96" i="6"/>
  <c r="R96" i="6"/>
  <c r="S96" i="6"/>
  <c r="T96" i="6"/>
  <c r="U96" i="6"/>
  <c r="E97" i="6"/>
  <c r="F97" i="6"/>
  <c r="G97" i="6"/>
  <c r="H97" i="6"/>
  <c r="I97" i="6"/>
  <c r="J97" i="6"/>
  <c r="K97" i="6"/>
  <c r="L97" i="6"/>
  <c r="M97" i="6"/>
  <c r="N97" i="6"/>
  <c r="O97" i="6"/>
  <c r="P97" i="6"/>
  <c r="Q97" i="6"/>
  <c r="R97" i="6"/>
  <c r="S97" i="6"/>
  <c r="T97" i="6"/>
  <c r="U97" i="6"/>
  <c r="E98" i="6"/>
  <c r="F98" i="6"/>
  <c r="G98" i="6"/>
  <c r="H98" i="6"/>
  <c r="I98" i="6"/>
  <c r="J98" i="6"/>
  <c r="K98" i="6"/>
  <c r="L98" i="6"/>
  <c r="M98" i="6"/>
  <c r="N98" i="6"/>
  <c r="O98" i="6"/>
  <c r="P98" i="6"/>
  <c r="Q98" i="6"/>
  <c r="R98" i="6"/>
  <c r="S98" i="6"/>
  <c r="T98" i="6"/>
  <c r="U98" i="6"/>
  <c r="E99" i="6"/>
  <c r="F99" i="6"/>
  <c r="G99" i="6"/>
  <c r="H99" i="6"/>
  <c r="I99" i="6"/>
  <c r="J99" i="6"/>
  <c r="K99" i="6"/>
  <c r="L99" i="6"/>
  <c r="M99" i="6"/>
  <c r="N99" i="6"/>
  <c r="O99" i="6"/>
  <c r="P99" i="6"/>
  <c r="Q99" i="6"/>
  <c r="R99" i="6"/>
  <c r="S99" i="6"/>
  <c r="T99" i="6"/>
  <c r="U99" i="6"/>
  <c r="E100" i="6"/>
  <c r="F100" i="6"/>
  <c r="G100" i="6"/>
  <c r="H100" i="6"/>
  <c r="I100" i="6"/>
  <c r="J100" i="6"/>
  <c r="K100" i="6"/>
  <c r="L100" i="6"/>
  <c r="M100" i="6"/>
  <c r="N100" i="6"/>
  <c r="O100" i="6"/>
  <c r="P100" i="6"/>
  <c r="Q100" i="6"/>
  <c r="R100" i="6"/>
  <c r="S100" i="6"/>
  <c r="T100" i="6"/>
  <c r="U100" i="6"/>
  <c r="E101" i="6"/>
  <c r="F101" i="6"/>
  <c r="G101" i="6"/>
  <c r="H101" i="6"/>
  <c r="I101" i="6"/>
  <c r="J101" i="6"/>
  <c r="K101" i="6"/>
  <c r="L101" i="6"/>
  <c r="M101" i="6"/>
  <c r="N101" i="6"/>
  <c r="O101" i="6"/>
  <c r="P101" i="6"/>
  <c r="Q101" i="6"/>
  <c r="R101" i="6"/>
  <c r="S101" i="6"/>
  <c r="T101" i="6"/>
  <c r="U101" i="6"/>
  <c r="E102" i="6"/>
  <c r="F102" i="6"/>
  <c r="G102" i="6"/>
  <c r="H102" i="6"/>
  <c r="I102" i="6"/>
  <c r="J102" i="6"/>
  <c r="K102" i="6"/>
  <c r="L102" i="6"/>
  <c r="M102" i="6"/>
  <c r="N102" i="6"/>
  <c r="O102" i="6"/>
  <c r="P102" i="6"/>
  <c r="Q102" i="6"/>
  <c r="R102" i="6"/>
  <c r="S102" i="6"/>
  <c r="T102" i="6"/>
  <c r="U102" i="6"/>
  <c r="E103" i="6"/>
  <c r="F103" i="6"/>
  <c r="G103" i="6"/>
  <c r="H103" i="6"/>
  <c r="I103" i="6"/>
  <c r="J103" i="6"/>
  <c r="K103" i="6"/>
  <c r="L103" i="6"/>
  <c r="M103" i="6"/>
  <c r="N103" i="6"/>
  <c r="O103" i="6"/>
  <c r="P103" i="6"/>
  <c r="Q103" i="6"/>
  <c r="R103" i="6"/>
  <c r="S103" i="6"/>
  <c r="T103" i="6"/>
  <c r="U103" i="6"/>
  <c r="E104" i="6"/>
  <c r="F104" i="6"/>
  <c r="G104" i="6"/>
  <c r="H104" i="6"/>
  <c r="I104" i="6"/>
  <c r="J104" i="6"/>
  <c r="K104" i="6"/>
  <c r="L104" i="6"/>
  <c r="M104" i="6"/>
  <c r="N104" i="6"/>
  <c r="O104" i="6"/>
  <c r="P104" i="6"/>
  <c r="Q104" i="6"/>
  <c r="R104" i="6"/>
  <c r="S104" i="6"/>
  <c r="T104" i="6"/>
  <c r="U104" i="6"/>
  <c r="E105" i="6"/>
  <c r="F105" i="6"/>
  <c r="G105" i="6"/>
  <c r="H105" i="6"/>
  <c r="I105" i="6"/>
  <c r="J105" i="6"/>
  <c r="K105" i="6"/>
  <c r="L105" i="6"/>
  <c r="M105" i="6"/>
  <c r="N105" i="6"/>
  <c r="O105" i="6"/>
  <c r="P105" i="6"/>
  <c r="Q105" i="6"/>
  <c r="R105" i="6"/>
  <c r="S105" i="6"/>
  <c r="T105" i="6"/>
  <c r="U105" i="6"/>
  <c r="E106" i="6"/>
  <c r="F106" i="6"/>
  <c r="G106" i="6"/>
  <c r="H106" i="6"/>
  <c r="I106" i="6"/>
  <c r="J106" i="6"/>
  <c r="K106" i="6"/>
  <c r="L106" i="6"/>
  <c r="M106" i="6"/>
  <c r="N106" i="6"/>
  <c r="O106" i="6"/>
  <c r="P106" i="6"/>
  <c r="Q106" i="6"/>
  <c r="R106" i="6"/>
  <c r="S106" i="6"/>
  <c r="T106" i="6"/>
  <c r="U106" i="6"/>
  <c r="E107" i="6"/>
  <c r="F107" i="6"/>
  <c r="G107" i="6"/>
  <c r="H107" i="6"/>
  <c r="I107" i="6"/>
  <c r="J107" i="6"/>
  <c r="K107" i="6"/>
  <c r="L107" i="6"/>
  <c r="M107" i="6"/>
  <c r="N107" i="6"/>
  <c r="O107" i="6"/>
  <c r="P107" i="6"/>
  <c r="Q107" i="6"/>
  <c r="R107" i="6"/>
  <c r="S107" i="6"/>
  <c r="T107" i="6"/>
  <c r="U107" i="6"/>
  <c r="E108" i="6"/>
  <c r="F108" i="6"/>
  <c r="G108" i="6"/>
  <c r="H108" i="6"/>
  <c r="I108" i="6"/>
  <c r="J108" i="6"/>
  <c r="K108" i="6"/>
  <c r="L108" i="6"/>
  <c r="M108" i="6"/>
  <c r="N108" i="6"/>
  <c r="O108" i="6"/>
  <c r="P108" i="6"/>
  <c r="Q108" i="6"/>
  <c r="R108" i="6"/>
  <c r="S108" i="6"/>
  <c r="T108" i="6"/>
  <c r="U108" i="6"/>
  <c r="E109" i="6"/>
  <c r="F109" i="6"/>
  <c r="G109" i="6"/>
  <c r="H109" i="6"/>
  <c r="I109" i="6"/>
  <c r="J109" i="6"/>
  <c r="K109" i="6"/>
  <c r="L109" i="6"/>
  <c r="M109" i="6"/>
  <c r="N109" i="6"/>
  <c r="O109" i="6"/>
  <c r="P109" i="6"/>
  <c r="Q109" i="6"/>
  <c r="R109" i="6"/>
  <c r="S109" i="6"/>
  <c r="T109" i="6"/>
  <c r="U109" i="6"/>
  <c r="E110" i="6"/>
  <c r="F110" i="6"/>
  <c r="G110" i="6"/>
  <c r="H110" i="6"/>
  <c r="I110" i="6"/>
  <c r="J110" i="6"/>
  <c r="K110" i="6"/>
  <c r="L110" i="6"/>
  <c r="M110" i="6"/>
  <c r="N110" i="6"/>
  <c r="O110" i="6"/>
  <c r="P110" i="6"/>
  <c r="Q110" i="6"/>
  <c r="R110" i="6"/>
  <c r="S110" i="6"/>
  <c r="T110" i="6"/>
  <c r="U110" i="6"/>
  <c r="E111" i="6"/>
  <c r="F111" i="6"/>
  <c r="G111" i="6"/>
  <c r="H111" i="6"/>
  <c r="I111" i="6"/>
  <c r="J111" i="6"/>
  <c r="K111" i="6"/>
  <c r="L111" i="6"/>
  <c r="M111" i="6"/>
  <c r="N111" i="6"/>
  <c r="O111" i="6"/>
  <c r="P111" i="6"/>
  <c r="Q111" i="6"/>
  <c r="R111" i="6"/>
  <c r="S111" i="6"/>
  <c r="T111" i="6"/>
  <c r="U111" i="6"/>
  <c r="E112" i="6"/>
  <c r="F112" i="6"/>
  <c r="G112" i="6"/>
  <c r="H112" i="6"/>
  <c r="I112" i="6"/>
  <c r="J112" i="6"/>
  <c r="K112" i="6"/>
  <c r="L112" i="6"/>
  <c r="M112" i="6"/>
  <c r="N112" i="6"/>
  <c r="O112" i="6"/>
  <c r="P112" i="6"/>
  <c r="Q112" i="6"/>
  <c r="R112" i="6"/>
  <c r="S112" i="6"/>
  <c r="T112" i="6"/>
  <c r="U112" i="6"/>
  <c r="E113" i="6"/>
  <c r="F113" i="6"/>
  <c r="G113" i="6"/>
  <c r="H113" i="6"/>
  <c r="I113" i="6"/>
  <c r="J113" i="6"/>
  <c r="K113" i="6"/>
  <c r="L113" i="6"/>
  <c r="M113" i="6"/>
  <c r="N113" i="6"/>
  <c r="O113" i="6"/>
  <c r="P113" i="6"/>
  <c r="Q113" i="6"/>
  <c r="R113" i="6"/>
  <c r="S113" i="6"/>
  <c r="T113" i="6"/>
  <c r="U113" i="6"/>
  <c r="E114" i="6"/>
  <c r="F114" i="6"/>
  <c r="G114" i="6"/>
  <c r="H114" i="6"/>
  <c r="I114" i="6"/>
  <c r="J114" i="6"/>
  <c r="K114" i="6"/>
  <c r="L114" i="6"/>
  <c r="M114" i="6"/>
  <c r="N114" i="6"/>
  <c r="O114" i="6"/>
  <c r="P114" i="6"/>
  <c r="Q114" i="6"/>
  <c r="R114" i="6"/>
  <c r="S114" i="6"/>
  <c r="T114" i="6"/>
  <c r="U114" i="6"/>
  <c r="E115" i="6"/>
  <c r="F115" i="6"/>
  <c r="G115" i="6"/>
  <c r="H115" i="6"/>
  <c r="I115" i="6"/>
  <c r="J115" i="6"/>
  <c r="K115" i="6"/>
  <c r="L115" i="6"/>
  <c r="M115" i="6"/>
  <c r="N115" i="6"/>
  <c r="O115" i="6"/>
  <c r="P115" i="6"/>
  <c r="Q115" i="6"/>
  <c r="R115" i="6"/>
  <c r="S115" i="6"/>
  <c r="T115" i="6"/>
  <c r="U115" i="6"/>
  <c r="E116" i="6"/>
  <c r="F116" i="6"/>
  <c r="G116" i="6"/>
  <c r="H116" i="6"/>
  <c r="I116" i="6"/>
  <c r="J116" i="6"/>
  <c r="K116" i="6"/>
  <c r="L116" i="6"/>
  <c r="M116" i="6"/>
  <c r="N116" i="6"/>
  <c r="O116" i="6"/>
  <c r="P116" i="6"/>
  <c r="Q116" i="6"/>
  <c r="R116" i="6"/>
  <c r="S116" i="6"/>
  <c r="T116" i="6"/>
  <c r="U116" i="6"/>
  <c r="E117" i="6"/>
  <c r="F117" i="6"/>
  <c r="G117" i="6"/>
  <c r="H117" i="6"/>
  <c r="I117" i="6"/>
  <c r="J117" i="6"/>
  <c r="K117" i="6"/>
  <c r="L117" i="6"/>
  <c r="M117" i="6"/>
  <c r="N117" i="6"/>
  <c r="O117" i="6"/>
  <c r="P117" i="6"/>
  <c r="Q117" i="6"/>
  <c r="R117" i="6"/>
  <c r="S117" i="6"/>
  <c r="T117" i="6"/>
  <c r="U117" i="6"/>
  <c r="E118" i="6"/>
  <c r="F118" i="6"/>
  <c r="G118" i="6"/>
  <c r="H118" i="6"/>
  <c r="I118" i="6"/>
  <c r="J118" i="6"/>
  <c r="K118" i="6"/>
  <c r="L118" i="6"/>
  <c r="M118" i="6"/>
  <c r="N118" i="6"/>
  <c r="O118" i="6"/>
  <c r="P118" i="6"/>
  <c r="Q118" i="6"/>
  <c r="R118" i="6"/>
  <c r="S118" i="6"/>
  <c r="T118" i="6"/>
  <c r="U118" i="6"/>
  <c r="E119" i="6"/>
  <c r="F119" i="6"/>
  <c r="G119" i="6"/>
  <c r="H119" i="6"/>
  <c r="I119" i="6"/>
  <c r="J119" i="6"/>
  <c r="K119" i="6"/>
  <c r="L119" i="6"/>
  <c r="M119" i="6"/>
  <c r="N119" i="6"/>
  <c r="O119" i="6"/>
  <c r="P119" i="6"/>
  <c r="Q119" i="6"/>
  <c r="R119" i="6"/>
  <c r="S119" i="6"/>
  <c r="T119" i="6"/>
  <c r="U119" i="6"/>
  <c r="E120" i="6"/>
  <c r="F120" i="6"/>
  <c r="G120" i="6"/>
  <c r="H120" i="6"/>
  <c r="I120" i="6"/>
  <c r="J120" i="6"/>
  <c r="K120" i="6"/>
  <c r="L120" i="6"/>
  <c r="M120" i="6"/>
  <c r="N120" i="6"/>
  <c r="O120" i="6"/>
  <c r="P120" i="6"/>
  <c r="Q120" i="6"/>
  <c r="R120" i="6"/>
  <c r="S120" i="6"/>
  <c r="T120" i="6"/>
  <c r="U120" i="6"/>
  <c r="E121" i="6"/>
  <c r="F121" i="6"/>
  <c r="G121" i="6"/>
  <c r="H121" i="6"/>
  <c r="I121" i="6"/>
  <c r="J121" i="6"/>
  <c r="K121" i="6"/>
  <c r="L121" i="6"/>
  <c r="M121" i="6"/>
  <c r="N121" i="6"/>
  <c r="O121" i="6"/>
  <c r="P121" i="6"/>
  <c r="Q121" i="6"/>
  <c r="R121" i="6"/>
  <c r="S121" i="6"/>
  <c r="T121" i="6"/>
  <c r="U121" i="6"/>
  <c r="E122" i="6"/>
  <c r="F122" i="6"/>
  <c r="G122" i="6"/>
  <c r="H122" i="6"/>
  <c r="I122" i="6"/>
  <c r="J122" i="6"/>
  <c r="K122" i="6"/>
  <c r="L122" i="6"/>
  <c r="M122" i="6"/>
  <c r="N122" i="6"/>
  <c r="O122" i="6"/>
  <c r="P122" i="6"/>
  <c r="Q122" i="6"/>
  <c r="R122" i="6"/>
  <c r="S122" i="6"/>
  <c r="T122" i="6"/>
  <c r="U122" i="6"/>
  <c r="E123" i="6"/>
  <c r="F123" i="6"/>
  <c r="G123" i="6"/>
  <c r="H123" i="6"/>
  <c r="I123" i="6"/>
  <c r="J123" i="6"/>
  <c r="K123" i="6"/>
  <c r="L123" i="6"/>
  <c r="M123" i="6"/>
  <c r="N123" i="6"/>
  <c r="O123" i="6"/>
  <c r="P123" i="6"/>
  <c r="Q123" i="6"/>
  <c r="R123" i="6"/>
  <c r="S123" i="6"/>
  <c r="T123" i="6"/>
  <c r="U123" i="6"/>
  <c r="E124" i="6"/>
  <c r="F124" i="6"/>
  <c r="G124" i="6"/>
  <c r="H124" i="6"/>
  <c r="I124" i="6"/>
  <c r="J124" i="6"/>
  <c r="K124" i="6"/>
  <c r="L124" i="6"/>
  <c r="M124" i="6"/>
  <c r="N124" i="6"/>
  <c r="O124" i="6"/>
  <c r="P124" i="6"/>
  <c r="Q124" i="6"/>
  <c r="R124" i="6"/>
  <c r="S124" i="6"/>
  <c r="T124" i="6"/>
  <c r="U124" i="6"/>
  <c r="E125" i="6"/>
  <c r="F125" i="6"/>
  <c r="G125" i="6"/>
  <c r="H125" i="6"/>
  <c r="I125" i="6"/>
  <c r="J125" i="6"/>
  <c r="K125" i="6"/>
  <c r="L125" i="6"/>
  <c r="M125" i="6"/>
  <c r="N125" i="6"/>
  <c r="O125" i="6"/>
  <c r="P125" i="6"/>
  <c r="Q125" i="6"/>
  <c r="R125" i="6"/>
  <c r="S125" i="6"/>
  <c r="T125" i="6"/>
  <c r="U125" i="6"/>
  <c r="E126" i="6"/>
  <c r="F126" i="6"/>
  <c r="G126" i="6"/>
  <c r="H126" i="6"/>
  <c r="I126" i="6"/>
  <c r="J126" i="6"/>
  <c r="K126" i="6"/>
  <c r="L126" i="6"/>
  <c r="M126" i="6"/>
  <c r="N126" i="6"/>
  <c r="O126" i="6"/>
  <c r="P126" i="6"/>
  <c r="Q126" i="6"/>
  <c r="R126" i="6"/>
  <c r="S126" i="6"/>
  <c r="T126" i="6"/>
  <c r="U126" i="6"/>
  <c r="E127" i="6"/>
  <c r="F127" i="6"/>
  <c r="G127" i="6"/>
  <c r="H127" i="6"/>
  <c r="I127" i="6"/>
  <c r="J127" i="6"/>
  <c r="K127" i="6"/>
  <c r="L127" i="6"/>
  <c r="M127" i="6"/>
  <c r="N127" i="6"/>
  <c r="O127" i="6"/>
  <c r="P127" i="6"/>
  <c r="Q127" i="6"/>
  <c r="R127" i="6"/>
  <c r="S127" i="6"/>
  <c r="T127" i="6"/>
  <c r="U127" i="6"/>
  <c r="E128" i="6"/>
  <c r="F128" i="6"/>
  <c r="G128" i="6"/>
  <c r="H128" i="6"/>
  <c r="I128" i="6"/>
  <c r="J128" i="6"/>
  <c r="K128" i="6"/>
  <c r="L128" i="6"/>
  <c r="M128" i="6"/>
  <c r="N128" i="6"/>
  <c r="O128" i="6"/>
  <c r="P128" i="6"/>
  <c r="Q128" i="6"/>
  <c r="R128" i="6"/>
  <c r="S128" i="6"/>
  <c r="T128" i="6"/>
  <c r="U128" i="6"/>
  <c r="E129" i="6"/>
  <c r="F129" i="6"/>
  <c r="G129" i="6"/>
  <c r="H129" i="6"/>
  <c r="I129" i="6"/>
  <c r="J129" i="6"/>
  <c r="K129" i="6"/>
  <c r="L129" i="6"/>
  <c r="M129" i="6"/>
  <c r="N129" i="6"/>
  <c r="O129" i="6"/>
  <c r="P129" i="6"/>
  <c r="Q129" i="6"/>
  <c r="R129" i="6"/>
  <c r="S129" i="6"/>
  <c r="T129" i="6"/>
  <c r="U129" i="6"/>
  <c r="E130" i="6"/>
  <c r="F130" i="6"/>
  <c r="G130" i="6"/>
  <c r="H130" i="6"/>
  <c r="I130" i="6"/>
  <c r="J130" i="6"/>
  <c r="K130" i="6"/>
  <c r="L130" i="6"/>
  <c r="M130" i="6"/>
  <c r="N130" i="6"/>
  <c r="O130" i="6"/>
  <c r="P130" i="6"/>
  <c r="Q130" i="6"/>
  <c r="R130" i="6"/>
  <c r="S130" i="6"/>
  <c r="T130" i="6"/>
  <c r="U130" i="6"/>
  <c r="E131" i="6"/>
  <c r="F131" i="6"/>
  <c r="G131" i="6"/>
  <c r="H131" i="6"/>
  <c r="I131" i="6"/>
  <c r="J131" i="6"/>
  <c r="K131" i="6"/>
  <c r="L131" i="6"/>
  <c r="M131" i="6"/>
  <c r="N131" i="6"/>
  <c r="O131" i="6"/>
  <c r="P131" i="6"/>
  <c r="Q131" i="6"/>
  <c r="R131" i="6"/>
  <c r="S131" i="6"/>
  <c r="T131" i="6"/>
  <c r="U131" i="6"/>
  <c r="E132" i="6"/>
  <c r="F132" i="6"/>
  <c r="G132" i="6"/>
  <c r="H132" i="6"/>
  <c r="I132" i="6"/>
  <c r="J132" i="6"/>
  <c r="K132" i="6"/>
  <c r="L132" i="6"/>
  <c r="M132" i="6"/>
  <c r="N132" i="6"/>
  <c r="O132" i="6"/>
  <c r="P132" i="6"/>
  <c r="Q132" i="6"/>
  <c r="R132" i="6"/>
  <c r="S132" i="6"/>
  <c r="T132" i="6"/>
  <c r="U132" i="6"/>
  <c r="E133" i="6"/>
  <c r="F133" i="6"/>
  <c r="G133" i="6"/>
  <c r="H133" i="6"/>
  <c r="I133" i="6"/>
  <c r="J133" i="6"/>
  <c r="K133" i="6"/>
  <c r="L133" i="6"/>
  <c r="M133" i="6"/>
  <c r="N133" i="6"/>
  <c r="O133" i="6"/>
  <c r="P133" i="6"/>
  <c r="Q133" i="6"/>
  <c r="R133" i="6"/>
  <c r="S133" i="6"/>
  <c r="T133" i="6"/>
  <c r="U133" i="6"/>
  <c r="E134" i="6"/>
  <c r="F134" i="6"/>
  <c r="G134" i="6"/>
  <c r="H134" i="6"/>
  <c r="I134" i="6"/>
  <c r="J134" i="6"/>
  <c r="K134" i="6"/>
  <c r="L134" i="6"/>
  <c r="M134" i="6"/>
  <c r="N134" i="6"/>
  <c r="O134" i="6"/>
  <c r="P134" i="6"/>
  <c r="Q134" i="6"/>
  <c r="R134" i="6"/>
  <c r="S134" i="6"/>
  <c r="T134" i="6"/>
  <c r="U134" i="6"/>
  <c r="E135" i="6"/>
  <c r="F135" i="6"/>
  <c r="G135" i="6"/>
  <c r="H135" i="6"/>
  <c r="I135" i="6"/>
  <c r="J135" i="6"/>
  <c r="K135" i="6"/>
  <c r="L135" i="6"/>
  <c r="M135" i="6"/>
  <c r="N135" i="6"/>
  <c r="O135" i="6"/>
  <c r="P135" i="6"/>
  <c r="Q135" i="6"/>
  <c r="R135" i="6"/>
  <c r="S135" i="6"/>
  <c r="T135" i="6"/>
  <c r="U135" i="6"/>
  <c r="E136" i="6"/>
  <c r="F136" i="6"/>
  <c r="G136" i="6"/>
  <c r="H136" i="6"/>
  <c r="I136" i="6"/>
  <c r="J136" i="6"/>
  <c r="K136" i="6"/>
  <c r="L136" i="6"/>
  <c r="M136" i="6"/>
  <c r="N136" i="6"/>
  <c r="O136" i="6"/>
  <c r="P136" i="6"/>
  <c r="Q136" i="6"/>
  <c r="R136" i="6"/>
  <c r="S136" i="6"/>
  <c r="T136" i="6"/>
  <c r="U136" i="6"/>
  <c r="E137" i="6"/>
  <c r="F137" i="6"/>
  <c r="G137" i="6"/>
  <c r="H137" i="6"/>
  <c r="I137" i="6"/>
  <c r="J137" i="6"/>
  <c r="K137" i="6"/>
  <c r="L137" i="6"/>
  <c r="M137" i="6"/>
  <c r="N137" i="6"/>
  <c r="O137" i="6"/>
  <c r="P137" i="6"/>
  <c r="Q137" i="6"/>
  <c r="R137" i="6"/>
  <c r="S137" i="6"/>
  <c r="T137" i="6"/>
  <c r="U137" i="6"/>
  <c r="E138" i="6"/>
  <c r="F138" i="6"/>
  <c r="G138" i="6"/>
  <c r="H138" i="6"/>
  <c r="I138" i="6"/>
  <c r="J138" i="6"/>
  <c r="K138" i="6"/>
  <c r="L138" i="6"/>
  <c r="M138" i="6"/>
  <c r="N138" i="6"/>
  <c r="O138" i="6"/>
  <c r="P138" i="6"/>
  <c r="Q138" i="6"/>
  <c r="R138" i="6"/>
  <c r="S138" i="6"/>
  <c r="T138" i="6"/>
  <c r="U138" i="6"/>
  <c r="E139" i="6"/>
  <c r="F139" i="6"/>
  <c r="G139" i="6"/>
  <c r="H139" i="6"/>
  <c r="I139" i="6"/>
  <c r="J139" i="6"/>
  <c r="K139" i="6"/>
  <c r="L139" i="6"/>
  <c r="M139" i="6"/>
  <c r="N139" i="6"/>
  <c r="O139" i="6"/>
  <c r="P139" i="6"/>
  <c r="Q139" i="6"/>
  <c r="R139" i="6"/>
  <c r="S139" i="6"/>
  <c r="T139" i="6"/>
  <c r="U139" i="6"/>
  <c r="E140" i="6"/>
  <c r="F140" i="6"/>
  <c r="G140" i="6"/>
  <c r="H140" i="6"/>
  <c r="I140" i="6"/>
  <c r="J140" i="6"/>
  <c r="K140" i="6"/>
  <c r="L140" i="6"/>
  <c r="M140" i="6"/>
  <c r="N140" i="6"/>
  <c r="O140" i="6"/>
  <c r="P140" i="6"/>
  <c r="Q140" i="6"/>
  <c r="R140" i="6"/>
  <c r="S140" i="6"/>
  <c r="T140" i="6"/>
  <c r="U140" i="6"/>
  <c r="E141" i="6"/>
  <c r="F141" i="6"/>
  <c r="G141" i="6"/>
  <c r="H141" i="6"/>
  <c r="I141" i="6"/>
  <c r="J141" i="6"/>
  <c r="K141" i="6"/>
  <c r="L141" i="6"/>
  <c r="M141" i="6"/>
  <c r="N141" i="6"/>
  <c r="O141" i="6"/>
  <c r="P141" i="6"/>
  <c r="Q141" i="6"/>
  <c r="R141" i="6"/>
  <c r="S141" i="6"/>
  <c r="T141" i="6"/>
  <c r="U141" i="6"/>
  <c r="E142" i="6"/>
  <c r="F142" i="6"/>
  <c r="G142" i="6"/>
  <c r="H142" i="6"/>
  <c r="I142" i="6"/>
  <c r="J142" i="6"/>
  <c r="K142" i="6"/>
  <c r="L142" i="6"/>
  <c r="M142" i="6"/>
  <c r="N142" i="6"/>
  <c r="O142" i="6"/>
  <c r="P142" i="6"/>
  <c r="Q142" i="6"/>
  <c r="R142" i="6"/>
  <c r="S142" i="6"/>
  <c r="T142" i="6"/>
  <c r="U142" i="6"/>
  <c r="E143" i="6"/>
  <c r="F143" i="6"/>
  <c r="G143" i="6"/>
  <c r="H143" i="6"/>
  <c r="I143" i="6"/>
  <c r="J143" i="6"/>
  <c r="K143" i="6"/>
  <c r="L143" i="6"/>
  <c r="M143" i="6"/>
  <c r="N143" i="6"/>
  <c r="O143" i="6"/>
  <c r="P143" i="6"/>
  <c r="Q143" i="6"/>
  <c r="R143" i="6"/>
  <c r="S143" i="6"/>
  <c r="T143" i="6"/>
  <c r="U143" i="6"/>
  <c r="E144" i="6"/>
  <c r="F144" i="6"/>
  <c r="G144" i="6"/>
  <c r="H144" i="6"/>
  <c r="I144" i="6"/>
  <c r="J144" i="6"/>
  <c r="K144" i="6"/>
  <c r="L144" i="6"/>
  <c r="M144" i="6"/>
  <c r="N144" i="6"/>
  <c r="O144" i="6"/>
  <c r="P144" i="6"/>
  <c r="Q144" i="6"/>
  <c r="R144" i="6"/>
  <c r="S144" i="6"/>
  <c r="T144" i="6"/>
  <c r="U144" i="6"/>
  <c r="E145" i="6"/>
  <c r="F145" i="6"/>
  <c r="G145" i="6"/>
  <c r="H145" i="6"/>
  <c r="I145" i="6"/>
  <c r="J145" i="6"/>
  <c r="K145" i="6"/>
  <c r="L145" i="6"/>
  <c r="M145" i="6"/>
  <c r="N145" i="6"/>
  <c r="O145" i="6"/>
  <c r="P145" i="6"/>
  <c r="Q145" i="6"/>
  <c r="R145" i="6"/>
  <c r="S145" i="6"/>
  <c r="T145" i="6"/>
  <c r="U145" i="6"/>
  <c r="E146" i="6"/>
  <c r="F146" i="6"/>
  <c r="G146" i="6"/>
  <c r="H146" i="6"/>
  <c r="I146" i="6"/>
  <c r="J146" i="6"/>
  <c r="K146" i="6"/>
  <c r="L146" i="6"/>
  <c r="M146" i="6"/>
  <c r="N146" i="6"/>
  <c r="O146" i="6"/>
  <c r="P146" i="6"/>
  <c r="Q146" i="6"/>
  <c r="R146" i="6"/>
  <c r="S146" i="6"/>
  <c r="T146" i="6"/>
  <c r="U146" i="6"/>
  <c r="E147" i="6"/>
  <c r="F147" i="6"/>
  <c r="G147" i="6"/>
  <c r="H147" i="6"/>
  <c r="I147" i="6"/>
  <c r="J147" i="6"/>
  <c r="K147" i="6"/>
  <c r="L147" i="6"/>
  <c r="M147" i="6"/>
  <c r="N147" i="6"/>
  <c r="O147" i="6"/>
  <c r="P147" i="6"/>
  <c r="Q147" i="6"/>
  <c r="R147" i="6"/>
  <c r="S147" i="6"/>
  <c r="T147" i="6"/>
  <c r="U147" i="6"/>
  <c r="E148" i="6"/>
  <c r="F148" i="6"/>
  <c r="G148" i="6"/>
  <c r="H148" i="6"/>
  <c r="I148" i="6"/>
  <c r="J148" i="6"/>
  <c r="K148" i="6"/>
  <c r="L148" i="6"/>
  <c r="M148" i="6"/>
  <c r="N148" i="6"/>
  <c r="O148" i="6"/>
  <c r="P148" i="6"/>
  <c r="Q148" i="6"/>
  <c r="R148" i="6"/>
  <c r="S148" i="6"/>
  <c r="T148" i="6"/>
  <c r="U148" i="6"/>
  <c r="E149" i="6"/>
  <c r="F149" i="6"/>
  <c r="G149" i="6"/>
  <c r="H149" i="6"/>
  <c r="I149" i="6"/>
  <c r="J149" i="6"/>
  <c r="K149" i="6"/>
  <c r="L149" i="6"/>
  <c r="M149" i="6"/>
  <c r="N149" i="6"/>
  <c r="O149" i="6"/>
  <c r="P149" i="6"/>
  <c r="Q149" i="6"/>
  <c r="R149" i="6"/>
  <c r="S149" i="6"/>
  <c r="T149" i="6"/>
  <c r="U149" i="6"/>
  <c r="E150" i="6"/>
  <c r="F150" i="6"/>
  <c r="G150" i="6"/>
  <c r="H150" i="6"/>
  <c r="I150" i="6"/>
  <c r="J150" i="6"/>
  <c r="K150" i="6"/>
  <c r="L150" i="6"/>
  <c r="M150" i="6"/>
  <c r="N150" i="6"/>
  <c r="O150" i="6"/>
  <c r="P150" i="6"/>
  <c r="Q150" i="6"/>
  <c r="R150" i="6"/>
  <c r="S150" i="6"/>
  <c r="T150" i="6"/>
  <c r="U150" i="6"/>
  <c r="E151" i="6"/>
  <c r="F151" i="6"/>
  <c r="G151" i="6"/>
  <c r="H151" i="6"/>
  <c r="I151" i="6"/>
  <c r="J151" i="6"/>
  <c r="K151" i="6"/>
  <c r="L151" i="6"/>
  <c r="M151" i="6"/>
  <c r="N151" i="6"/>
  <c r="O151" i="6"/>
  <c r="P151" i="6"/>
  <c r="Q151" i="6"/>
  <c r="R151" i="6"/>
  <c r="S151" i="6"/>
  <c r="T151" i="6"/>
  <c r="U151" i="6"/>
  <c r="E152" i="6"/>
  <c r="F152" i="6"/>
  <c r="G152" i="6"/>
  <c r="H152" i="6"/>
  <c r="I152" i="6"/>
  <c r="J152" i="6"/>
  <c r="K152" i="6"/>
  <c r="L152" i="6"/>
  <c r="M152" i="6"/>
  <c r="N152" i="6"/>
  <c r="O152" i="6"/>
  <c r="P152" i="6"/>
  <c r="Q152" i="6"/>
  <c r="R152" i="6"/>
  <c r="S152" i="6"/>
  <c r="T152" i="6"/>
  <c r="U152" i="6"/>
  <c r="E153" i="6"/>
  <c r="F153" i="6"/>
  <c r="G153" i="6"/>
  <c r="H153" i="6"/>
  <c r="I153" i="6"/>
  <c r="J153" i="6"/>
  <c r="K153" i="6"/>
  <c r="L153" i="6"/>
  <c r="M153" i="6"/>
  <c r="N153" i="6"/>
  <c r="O153" i="6"/>
  <c r="P153" i="6"/>
  <c r="Q153" i="6"/>
  <c r="R153" i="6"/>
  <c r="S153" i="6"/>
  <c r="T153" i="6"/>
  <c r="U153" i="6"/>
  <c r="E154" i="6"/>
  <c r="F154" i="6"/>
  <c r="G154" i="6"/>
  <c r="H154" i="6"/>
  <c r="I154" i="6"/>
  <c r="J154" i="6"/>
  <c r="K154" i="6"/>
  <c r="L154" i="6"/>
  <c r="M154" i="6"/>
  <c r="N154" i="6"/>
  <c r="O154" i="6"/>
  <c r="P154" i="6"/>
  <c r="Q154" i="6"/>
  <c r="R154" i="6"/>
  <c r="S154" i="6"/>
  <c r="T154" i="6"/>
  <c r="U154" i="6"/>
  <c r="E155" i="6"/>
  <c r="F155" i="6"/>
  <c r="G155" i="6"/>
  <c r="H155" i="6"/>
  <c r="I155" i="6"/>
  <c r="J155" i="6"/>
  <c r="K155" i="6"/>
  <c r="L155" i="6"/>
  <c r="M155" i="6"/>
  <c r="N155" i="6"/>
  <c r="O155" i="6"/>
  <c r="P155" i="6"/>
  <c r="Q155" i="6"/>
  <c r="R155" i="6"/>
  <c r="S155" i="6"/>
  <c r="T155" i="6"/>
  <c r="U155" i="6"/>
  <c r="E156" i="6"/>
  <c r="F156" i="6"/>
  <c r="G156" i="6"/>
  <c r="H156" i="6"/>
  <c r="I156" i="6"/>
  <c r="J156" i="6"/>
  <c r="K156" i="6"/>
  <c r="L156" i="6"/>
  <c r="M156" i="6"/>
  <c r="N156" i="6"/>
  <c r="O156" i="6"/>
  <c r="P156" i="6"/>
  <c r="Q156" i="6"/>
  <c r="R156" i="6"/>
  <c r="S156" i="6"/>
  <c r="T156" i="6"/>
  <c r="U156" i="6"/>
  <c r="E157" i="6"/>
  <c r="F157" i="6"/>
  <c r="G157" i="6"/>
  <c r="H157" i="6"/>
  <c r="I157" i="6"/>
  <c r="J157" i="6"/>
  <c r="K157" i="6"/>
  <c r="L157" i="6"/>
  <c r="M157" i="6"/>
  <c r="N157" i="6"/>
  <c r="O157" i="6"/>
  <c r="P157" i="6"/>
  <c r="Q157" i="6"/>
  <c r="R157" i="6"/>
  <c r="S157" i="6"/>
  <c r="T157" i="6"/>
  <c r="U157" i="6"/>
  <c r="E158" i="6"/>
  <c r="F158" i="6"/>
  <c r="G158" i="6"/>
  <c r="H158" i="6"/>
  <c r="I158" i="6"/>
  <c r="J158" i="6"/>
  <c r="K158" i="6"/>
  <c r="L158" i="6"/>
  <c r="M158" i="6"/>
  <c r="N158" i="6"/>
  <c r="O158" i="6"/>
  <c r="P158" i="6"/>
  <c r="Q158" i="6"/>
  <c r="R158" i="6"/>
  <c r="S158" i="6"/>
  <c r="T158" i="6"/>
  <c r="U158" i="6"/>
  <c r="E159" i="6"/>
  <c r="F159" i="6"/>
  <c r="G159" i="6"/>
  <c r="H159" i="6"/>
  <c r="I159" i="6"/>
  <c r="J159" i="6"/>
  <c r="K159" i="6"/>
  <c r="L159" i="6"/>
  <c r="M159" i="6"/>
  <c r="N159" i="6"/>
  <c r="O159" i="6"/>
  <c r="P159" i="6"/>
  <c r="Q159" i="6"/>
  <c r="R159" i="6"/>
  <c r="S159" i="6"/>
  <c r="T159" i="6"/>
  <c r="U159" i="6"/>
  <c r="E160" i="6"/>
  <c r="F160" i="6"/>
  <c r="G160" i="6"/>
  <c r="H160" i="6"/>
  <c r="I160" i="6"/>
  <c r="J160" i="6"/>
  <c r="K160" i="6"/>
  <c r="L160" i="6"/>
  <c r="M160" i="6"/>
  <c r="N160" i="6"/>
  <c r="O160" i="6"/>
  <c r="P160" i="6"/>
  <c r="Q160" i="6"/>
  <c r="R160" i="6"/>
  <c r="S160" i="6"/>
  <c r="T160" i="6"/>
  <c r="U160" i="6"/>
  <c r="E161" i="6"/>
  <c r="F161" i="6"/>
  <c r="G161" i="6"/>
  <c r="H161" i="6"/>
  <c r="I161" i="6"/>
  <c r="J161" i="6"/>
  <c r="K161" i="6"/>
  <c r="L161" i="6"/>
  <c r="M161" i="6"/>
  <c r="N161" i="6"/>
  <c r="O161" i="6"/>
  <c r="P161" i="6"/>
  <c r="Q161" i="6"/>
  <c r="R161" i="6"/>
  <c r="S161" i="6"/>
  <c r="T161" i="6"/>
  <c r="U161" i="6"/>
  <c r="E162" i="6"/>
  <c r="F162" i="6"/>
  <c r="G162" i="6"/>
  <c r="H162" i="6"/>
  <c r="I162" i="6"/>
  <c r="J162" i="6"/>
  <c r="K162" i="6"/>
  <c r="L162" i="6"/>
  <c r="M162" i="6"/>
  <c r="N162" i="6"/>
  <c r="O162" i="6"/>
  <c r="P162" i="6"/>
  <c r="Q162" i="6"/>
  <c r="R162" i="6"/>
  <c r="S162" i="6"/>
  <c r="T162" i="6"/>
  <c r="U162" i="6"/>
  <c r="E163" i="6"/>
  <c r="F163" i="6"/>
  <c r="G163" i="6"/>
  <c r="H163" i="6"/>
  <c r="I163" i="6"/>
  <c r="J163" i="6"/>
  <c r="K163" i="6"/>
  <c r="L163" i="6"/>
  <c r="M163" i="6"/>
  <c r="N163" i="6"/>
  <c r="O163" i="6"/>
  <c r="P163" i="6"/>
  <c r="Q163" i="6"/>
  <c r="R163" i="6"/>
  <c r="S163" i="6"/>
  <c r="T163" i="6"/>
  <c r="U163" i="6"/>
  <c r="E164" i="6"/>
  <c r="F164" i="6"/>
  <c r="G164" i="6"/>
  <c r="H164" i="6"/>
  <c r="I164" i="6"/>
  <c r="J164" i="6"/>
  <c r="K164" i="6"/>
  <c r="L164" i="6"/>
  <c r="M164" i="6"/>
  <c r="N164" i="6"/>
  <c r="O164" i="6"/>
  <c r="P164" i="6"/>
  <c r="Q164" i="6"/>
  <c r="R164" i="6"/>
  <c r="S164" i="6"/>
  <c r="T164" i="6"/>
  <c r="U164" i="6"/>
  <c r="E165" i="6"/>
  <c r="F165" i="6"/>
  <c r="G165" i="6"/>
  <c r="H165" i="6"/>
  <c r="I165" i="6"/>
  <c r="J165" i="6"/>
  <c r="K165" i="6"/>
  <c r="L165" i="6"/>
  <c r="M165" i="6"/>
  <c r="N165" i="6"/>
  <c r="O165" i="6"/>
  <c r="P165" i="6"/>
  <c r="Q165" i="6"/>
  <c r="R165" i="6"/>
  <c r="S165" i="6"/>
  <c r="T165" i="6"/>
  <c r="U165" i="6"/>
  <c r="E166" i="6"/>
  <c r="F166" i="6"/>
  <c r="G166" i="6"/>
  <c r="H166" i="6"/>
  <c r="I166" i="6"/>
  <c r="J166" i="6"/>
  <c r="K166" i="6"/>
  <c r="L166" i="6"/>
  <c r="M166" i="6"/>
  <c r="N166" i="6"/>
  <c r="O166" i="6"/>
  <c r="P166" i="6"/>
  <c r="Q166" i="6"/>
  <c r="R166" i="6"/>
  <c r="S166" i="6"/>
  <c r="T166" i="6"/>
  <c r="U166" i="6"/>
  <c r="E167" i="6"/>
  <c r="F167" i="6"/>
  <c r="G167" i="6"/>
  <c r="H167" i="6"/>
  <c r="I167" i="6"/>
  <c r="J167" i="6"/>
  <c r="K167" i="6"/>
  <c r="L167" i="6"/>
  <c r="M167" i="6"/>
  <c r="N167" i="6"/>
  <c r="O167" i="6"/>
  <c r="P167" i="6"/>
  <c r="Q167" i="6"/>
  <c r="R167" i="6"/>
  <c r="S167" i="6"/>
  <c r="T167" i="6"/>
  <c r="U167" i="6"/>
  <c r="E168" i="6"/>
  <c r="F168" i="6"/>
  <c r="G168" i="6"/>
  <c r="H168" i="6"/>
  <c r="I168" i="6"/>
  <c r="J168" i="6"/>
  <c r="K168" i="6"/>
  <c r="L168" i="6"/>
  <c r="M168" i="6"/>
  <c r="N168" i="6"/>
  <c r="O168" i="6"/>
  <c r="P168" i="6"/>
  <c r="Q168" i="6"/>
  <c r="R168" i="6"/>
  <c r="S168" i="6"/>
  <c r="T168" i="6"/>
  <c r="U168" i="6"/>
  <c r="E169" i="6"/>
  <c r="F169" i="6"/>
  <c r="G169" i="6"/>
  <c r="H169" i="6"/>
  <c r="I169" i="6"/>
  <c r="J169" i="6"/>
  <c r="K169" i="6"/>
  <c r="L169" i="6"/>
  <c r="M169" i="6"/>
  <c r="N169" i="6"/>
  <c r="O169" i="6"/>
  <c r="P169" i="6"/>
  <c r="Q169" i="6"/>
  <c r="R169" i="6"/>
  <c r="S169" i="6"/>
  <c r="T169" i="6"/>
  <c r="U169" i="6"/>
  <c r="E170" i="6"/>
  <c r="F170" i="6"/>
  <c r="G170" i="6"/>
  <c r="H170" i="6"/>
  <c r="I170" i="6"/>
  <c r="J170" i="6"/>
  <c r="K170" i="6"/>
  <c r="L170" i="6"/>
  <c r="M170" i="6"/>
  <c r="N170" i="6"/>
  <c r="O170" i="6"/>
  <c r="P170" i="6"/>
  <c r="Q170" i="6"/>
  <c r="R170" i="6"/>
  <c r="S170" i="6"/>
  <c r="T170" i="6"/>
  <c r="U170" i="6"/>
  <c r="E171" i="6"/>
  <c r="F171" i="6"/>
  <c r="G171" i="6"/>
  <c r="H171" i="6"/>
  <c r="I171" i="6"/>
  <c r="J171" i="6"/>
  <c r="K171" i="6"/>
  <c r="L171" i="6"/>
  <c r="M171" i="6"/>
  <c r="N171" i="6"/>
  <c r="O171" i="6"/>
  <c r="P171" i="6"/>
  <c r="Q171" i="6"/>
  <c r="R171" i="6"/>
  <c r="S171" i="6"/>
  <c r="T171" i="6"/>
  <c r="U171" i="6"/>
  <c r="E172" i="6"/>
  <c r="F172" i="6"/>
  <c r="G172" i="6"/>
  <c r="H172" i="6"/>
  <c r="I172" i="6"/>
  <c r="J172" i="6"/>
  <c r="K172" i="6"/>
  <c r="L172" i="6"/>
  <c r="M172" i="6"/>
  <c r="N172" i="6"/>
  <c r="O172" i="6"/>
  <c r="P172" i="6"/>
  <c r="Q172" i="6"/>
  <c r="R172" i="6"/>
  <c r="S172" i="6"/>
  <c r="T172" i="6"/>
  <c r="U172" i="6"/>
  <c r="E173" i="6"/>
  <c r="F173" i="6"/>
  <c r="G173" i="6"/>
  <c r="H173" i="6"/>
  <c r="I173" i="6"/>
  <c r="J173" i="6"/>
  <c r="K173" i="6"/>
  <c r="L173" i="6"/>
  <c r="M173" i="6"/>
  <c r="N173" i="6"/>
  <c r="O173" i="6"/>
  <c r="P173" i="6"/>
  <c r="Q173" i="6"/>
  <c r="R173" i="6"/>
  <c r="S173" i="6"/>
  <c r="T173" i="6"/>
  <c r="U173" i="6"/>
  <c r="E174" i="6"/>
  <c r="F174" i="6"/>
  <c r="G174" i="6"/>
  <c r="H174" i="6"/>
  <c r="I174" i="6"/>
  <c r="J174" i="6"/>
  <c r="K174" i="6"/>
  <c r="L174" i="6"/>
  <c r="M174" i="6"/>
  <c r="N174" i="6"/>
  <c r="O174" i="6"/>
  <c r="P174" i="6"/>
  <c r="Q174" i="6"/>
  <c r="R174" i="6"/>
  <c r="S174" i="6"/>
  <c r="T174" i="6"/>
  <c r="U174" i="6"/>
  <c r="E175" i="6"/>
  <c r="F175" i="6"/>
  <c r="G175" i="6"/>
  <c r="H175" i="6"/>
  <c r="I175" i="6"/>
  <c r="J175" i="6"/>
  <c r="K175" i="6"/>
  <c r="L175" i="6"/>
  <c r="M175" i="6"/>
  <c r="N175" i="6"/>
  <c r="O175" i="6"/>
  <c r="P175" i="6"/>
  <c r="Q175" i="6"/>
  <c r="R175" i="6"/>
  <c r="S175" i="6"/>
  <c r="T175" i="6"/>
  <c r="U175" i="6"/>
  <c r="E176" i="6"/>
  <c r="F176" i="6"/>
  <c r="G176" i="6"/>
  <c r="H176" i="6"/>
  <c r="I176" i="6"/>
  <c r="J176" i="6"/>
  <c r="K176" i="6"/>
  <c r="L176" i="6"/>
  <c r="M176" i="6"/>
  <c r="N176" i="6"/>
  <c r="O176" i="6"/>
  <c r="P176" i="6"/>
  <c r="Q176" i="6"/>
  <c r="R176" i="6"/>
  <c r="S176" i="6"/>
  <c r="T176" i="6"/>
  <c r="U176" i="6"/>
  <c r="E177" i="6"/>
  <c r="F177" i="6"/>
  <c r="G177" i="6"/>
  <c r="H177" i="6"/>
  <c r="I177" i="6"/>
  <c r="J177" i="6"/>
  <c r="K177" i="6"/>
  <c r="L177" i="6"/>
  <c r="M177" i="6"/>
  <c r="N177" i="6"/>
  <c r="O177" i="6"/>
  <c r="P177" i="6"/>
  <c r="Q177" i="6"/>
  <c r="R177" i="6"/>
  <c r="S177" i="6"/>
  <c r="T177" i="6"/>
  <c r="U177" i="6"/>
  <c r="E178" i="6"/>
  <c r="F178" i="6"/>
  <c r="G178" i="6"/>
  <c r="H178" i="6"/>
  <c r="I178" i="6"/>
  <c r="J178" i="6"/>
  <c r="K178" i="6"/>
  <c r="L178" i="6"/>
  <c r="M178" i="6"/>
  <c r="N178" i="6"/>
  <c r="O178" i="6"/>
  <c r="P178" i="6"/>
  <c r="Q178" i="6"/>
  <c r="R178" i="6"/>
  <c r="S178" i="6"/>
  <c r="T178" i="6"/>
  <c r="U178" i="6"/>
  <c r="E179" i="6"/>
  <c r="F179" i="6"/>
  <c r="G179" i="6"/>
  <c r="H179" i="6"/>
  <c r="I179" i="6"/>
  <c r="J179" i="6"/>
  <c r="K179" i="6"/>
  <c r="L179" i="6"/>
  <c r="M179" i="6"/>
  <c r="N179" i="6"/>
  <c r="O179" i="6"/>
  <c r="P179" i="6"/>
  <c r="Q179" i="6"/>
  <c r="R179" i="6"/>
  <c r="S179" i="6"/>
  <c r="T179" i="6"/>
  <c r="U179" i="6"/>
  <c r="E180" i="6"/>
  <c r="F180" i="6"/>
  <c r="G180" i="6"/>
  <c r="H180" i="6"/>
  <c r="I180" i="6"/>
  <c r="J180" i="6"/>
  <c r="K180" i="6"/>
  <c r="L180" i="6"/>
  <c r="M180" i="6"/>
  <c r="N180" i="6"/>
  <c r="O180" i="6"/>
  <c r="P180" i="6"/>
  <c r="Q180" i="6"/>
  <c r="R180" i="6"/>
  <c r="S180" i="6"/>
  <c r="T180" i="6"/>
  <c r="U180" i="6"/>
  <c r="E181" i="6"/>
  <c r="F181" i="6"/>
  <c r="G181" i="6"/>
  <c r="H181" i="6"/>
  <c r="I181" i="6"/>
  <c r="J181" i="6"/>
  <c r="K181" i="6"/>
  <c r="L181" i="6"/>
  <c r="M181" i="6"/>
  <c r="N181" i="6"/>
  <c r="O181" i="6"/>
  <c r="P181" i="6"/>
  <c r="Q181" i="6"/>
  <c r="R181" i="6"/>
  <c r="S181" i="6"/>
  <c r="T181" i="6"/>
  <c r="U181" i="6"/>
  <c r="E182" i="6"/>
  <c r="F182" i="6"/>
  <c r="G182" i="6"/>
  <c r="H182" i="6"/>
  <c r="I182" i="6"/>
  <c r="J182" i="6"/>
  <c r="K182" i="6"/>
  <c r="L182" i="6"/>
  <c r="M182" i="6"/>
  <c r="N182" i="6"/>
  <c r="O182" i="6"/>
  <c r="P182" i="6"/>
  <c r="Q182" i="6"/>
  <c r="R182" i="6"/>
  <c r="S182" i="6"/>
  <c r="T182" i="6"/>
  <c r="U182" i="6"/>
  <c r="E183" i="6"/>
  <c r="F183" i="6"/>
  <c r="G183" i="6"/>
  <c r="H183" i="6"/>
  <c r="I183" i="6"/>
  <c r="J183" i="6"/>
  <c r="K183" i="6"/>
  <c r="L183" i="6"/>
  <c r="M183" i="6"/>
  <c r="N183" i="6"/>
  <c r="O183" i="6"/>
  <c r="P183" i="6"/>
  <c r="Q183" i="6"/>
  <c r="R183" i="6"/>
  <c r="S183" i="6"/>
  <c r="T183" i="6"/>
  <c r="U183" i="6"/>
  <c r="E184" i="6"/>
  <c r="F184" i="6"/>
  <c r="G184" i="6"/>
  <c r="H184" i="6"/>
  <c r="I184" i="6"/>
  <c r="J184" i="6"/>
  <c r="K184" i="6"/>
  <c r="L184" i="6"/>
  <c r="M184" i="6"/>
  <c r="N184" i="6"/>
  <c r="O184" i="6"/>
  <c r="P184" i="6"/>
  <c r="Q184" i="6"/>
  <c r="R184" i="6"/>
  <c r="S184" i="6"/>
  <c r="T184" i="6"/>
  <c r="U184" i="6"/>
  <c r="E185" i="6"/>
  <c r="F185" i="6"/>
  <c r="G185" i="6"/>
  <c r="H185" i="6"/>
  <c r="I185" i="6"/>
  <c r="J185" i="6"/>
  <c r="K185" i="6"/>
  <c r="L185" i="6"/>
  <c r="M185" i="6"/>
  <c r="N185" i="6"/>
  <c r="O185" i="6"/>
  <c r="P185" i="6"/>
  <c r="Q185" i="6"/>
  <c r="R185" i="6"/>
  <c r="S185" i="6"/>
  <c r="T185" i="6"/>
  <c r="U185" i="6"/>
  <c r="E186" i="6"/>
  <c r="F186" i="6"/>
  <c r="G186" i="6"/>
  <c r="H186" i="6"/>
  <c r="I186" i="6"/>
  <c r="J186" i="6"/>
  <c r="K186" i="6"/>
  <c r="L186" i="6"/>
  <c r="M186" i="6"/>
  <c r="N186" i="6"/>
  <c r="O186" i="6"/>
  <c r="P186" i="6"/>
  <c r="Q186" i="6"/>
  <c r="R186" i="6"/>
  <c r="S186" i="6"/>
  <c r="T186" i="6"/>
  <c r="U186" i="6"/>
  <c r="E187" i="6"/>
  <c r="F187" i="6"/>
  <c r="G187" i="6"/>
  <c r="H187" i="6"/>
  <c r="I187" i="6"/>
  <c r="J187" i="6"/>
  <c r="K187" i="6"/>
  <c r="L187" i="6"/>
  <c r="M187" i="6"/>
  <c r="N187" i="6"/>
  <c r="O187" i="6"/>
  <c r="P187" i="6"/>
  <c r="Q187" i="6"/>
  <c r="R187" i="6"/>
  <c r="S187" i="6"/>
  <c r="T187" i="6"/>
  <c r="U187" i="6"/>
  <c r="E188" i="6"/>
  <c r="F188" i="6"/>
  <c r="G188" i="6"/>
  <c r="H188" i="6"/>
  <c r="I188" i="6"/>
  <c r="J188" i="6"/>
  <c r="K188" i="6"/>
  <c r="L188" i="6"/>
  <c r="M188" i="6"/>
  <c r="N188" i="6"/>
  <c r="O188" i="6"/>
  <c r="P188" i="6"/>
  <c r="Q188" i="6"/>
  <c r="R188" i="6"/>
  <c r="S188" i="6"/>
  <c r="T188" i="6"/>
  <c r="U188" i="6"/>
  <c r="E189" i="6"/>
  <c r="F189" i="6"/>
  <c r="G189" i="6"/>
  <c r="H189" i="6"/>
  <c r="I189" i="6"/>
  <c r="J189" i="6"/>
  <c r="K189" i="6"/>
  <c r="L189" i="6"/>
  <c r="M189" i="6"/>
  <c r="N189" i="6"/>
  <c r="O189" i="6"/>
  <c r="P189" i="6"/>
  <c r="Q189" i="6"/>
  <c r="R189" i="6"/>
  <c r="S189" i="6"/>
  <c r="T189" i="6"/>
  <c r="U189" i="6"/>
  <c r="E190" i="6"/>
  <c r="F190" i="6"/>
  <c r="G190" i="6"/>
  <c r="H190" i="6"/>
  <c r="I190" i="6"/>
  <c r="J190" i="6"/>
  <c r="K190" i="6"/>
  <c r="L190" i="6"/>
  <c r="M190" i="6"/>
  <c r="N190" i="6"/>
  <c r="O190" i="6"/>
  <c r="P190" i="6"/>
  <c r="Q190" i="6"/>
  <c r="R190" i="6"/>
  <c r="S190" i="6"/>
  <c r="T190" i="6"/>
  <c r="U190" i="6"/>
  <c r="E191" i="6"/>
  <c r="F191" i="6"/>
  <c r="G191" i="6"/>
  <c r="H191" i="6"/>
  <c r="I191" i="6"/>
  <c r="J191" i="6"/>
  <c r="K191" i="6"/>
  <c r="L191" i="6"/>
  <c r="M191" i="6"/>
  <c r="N191" i="6"/>
  <c r="O191" i="6"/>
  <c r="P191" i="6"/>
  <c r="Q191" i="6"/>
  <c r="R191" i="6"/>
  <c r="S191" i="6"/>
  <c r="T191" i="6"/>
  <c r="U191" i="6"/>
  <c r="E192" i="6"/>
  <c r="F192" i="6"/>
  <c r="G192" i="6"/>
  <c r="H192" i="6"/>
  <c r="I192" i="6"/>
  <c r="J192" i="6"/>
  <c r="K192" i="6"/>
  <c r="L192" i="6"/>
  <c r="M192" i="6"/>
  <c r="N192" i="6"/>
  <c r="O192" i="6"/>
  <c r="P192" i="6"/>
  <c r="Q192" i="6"/>
  <c r="R192" i="6"/>
  <c r="S192" i="6"/>
  <c r="T192" i="6"/>
  <c r="U192" i="6"/>
  <c r="E193" i="6"/>
  <c r="F193" i="6"/>
  <c r="G193" i="6"/>
  <c r="H193" i="6"/>
  <c r="I193" i="6"/>
  <c r="J193" i="6"/>
  <c r="K193" i="6"/>
  <c r="L193" i="6"/>
  <c r="M193" i="6"/>
  <c r="N193" i="6"/>
  <c r="O193" i="6"/>
  <c r="P193" i="6"/>
  <c r="Q193" i="6"/>
  <c r="R193" i="6"/>
  <c r="S193" i="6"/>
  <c r="T193" i="6"/>
  <c r="U193" i="6"/>
  <c r="E194" i="6"/>
  <c r="F194" i="6"/>
  <c r="G194" i="6"/>
  <c r="H194" i="6"/>
  <c r="I194" i="6"/>
  <c r="J194" i="6"/>
  <c r="K194" i="6"/>
  <c r="L194" i="6"/>
  <c r="M194" i="6"/>
  <c r="N194" i="6"/>
  <c r="O194" i="6"/>
  <c r="P194" i="6"/>
  <c r="Q194" i="6"/>
  <c r="R194" i="6"/>
  <c r="S194" i="6"/>
  <c r="T194" i="6"/>
  <c r="U194" i="6"/>
  <c r="E195" i="6"/>
  <c r="F195" i="6"/>
  <c r="G195" i="6"/>
  <c r="H195" i="6"/>
  <c r="I195" i="6"/>
  <c r="J195" i="6"/>
  <c r="K195" i="6"/>
  <c r="L195" i="6"/>
  <c r="M195" i="6"/>
  <c r="N195" i="6"/>
  <c r="O195" i="6"/>
  <c r="P195" i="6"/>
  <c r="Q195" i="6"/>
  <c r="R195" i="6"/>
  <c r="S195" i="6"/>
  <c r="T195" i="6"/>
  <c r="U195" i="6"/>
  <c r="E196" i="6"/>
  <c r="F196" i="6"/>
  <c r="G196" i="6"/>
  <c r="H196" i="6"/>
  <c r="I196" i="6"/>
  <c r="J196" i="6"/>
  <c r="K196" i="6"/>
  <c r="L196" i="6"/>
  <c r="M196" i="6"/>
  <c r="N196" i="6"/>
  <c r="O196" i="6"/>
  <c r="P196" i="6"/>
  <c r="Q196" i="6"/>
  <c r="R196" i="6"/>
  <c r="S196" i="6"/>
  <c r="T196" i="6"/>
  <c r="U196" i="6"/>
  <c r="E197" i="6"/>
  <c r="F197" i="6"/>
  <c r="G197" i="6"/>
  <c r="H197" i="6"/>
  <c r="I197" i="6"/>
  <c r="J197" i="6"/>
  <c r="K197" i="6"/>
  <c r="L197" i="6"/>
  <c r="M197" i="6"/>
  <c r="N197" i="6"/>
  <c r="O197" i="6"/>
  <c r="P197" i="6"/>
  <c r="Q197" i="6"/>
  <c r="R197" i="6"/>
  <c r="S197" i="6"/>
  <c r="T197" i="6"/>
  <c r="U197" i="6"/>
</calcChain>
</file>

<file path=xl/sharedStrings.xml><?xml version="1.0" encoding="utf-8"?>
<sst xmlns="http://schemas.openxmlformats.org/spreadsheetml/2006/main" count="2357" uniqueCount="408">
  <si>
    <t>BTN</t>
  </si>
  <si>
    <t>ROU</t>
  </si>
  <si>
    <t>Afghanistan</t>
  </si>
  <si>
    <t>Nicaragua</t>
  </si>
  <si>
    <t>SYR</t>
  </si>
  <si>
    <t>JPN</t>
  </si>
  <si>
    <t>Bangladesh</t>
  </si>
  <si>
    <t>UZB</t>
  </si>
  <si>
    <t>IND</t>
  </si>
  <si>
    <t>SYC</t>
  </si>
  <si>
    <t>ARE</t>
  </si>
  <si>
    <t>ARG</t>
  </si>
  <si>
    <t>Uzbekistan</t>
  </si>
  <si>
    <t>Country</t>
  </si>
  <si>
    <t>ARM</t>
  </si>
  <si>
    <t>Guyana</t>
  </si>
  <si>
    <t>Kiribati</t>
  </si>
  <si>
    <t>GEO</t>
  </si>
  <si>
    <t>Côte d'Ivoire</t>
  </si>
  <si>
    <t>Barbados</t>
  </si>
  <si>
    <t>El Salvador</t>
  </si>
  <si>
    <t>Liechtenstein</t>
  </si>
  <si>
    <t>ATG</t>
  </si>
  <si>
    <t>Central African Republic</t>
  </si>
  <si>
    <t>Congo, the Democratic Republic of the</t>
  </si>
  <si>
    <t>CUB</t>
  </si>
  <si>
    <t>KWT</t>
  </si>
  <si>
    <t>JOR</t>
  </si>
  <si>
    <t>PHL</t>
  </si>
  <si>
    <t>ZMB</t>
  </si>
  <si>
    <t>NAM</t>
  </si>
  <si>
    <t>SUR</t>
  </si>
  <si>
    <t>AUS</t>
  </si>
  <si>
    <t>Maldives</t>
  </si>
  <si>
    <t>TZA</t>
  </si>
  <si>
    <t>Ukraine</t>
  </si>
  <si>
    <t>Italy</t>
  </si>
  <si>
    <t>GHA</t>
  </si>
  <si>
    <t>Papua New Guinea</t>
  </si>
  <si>
    <t>Cyprus</t>
  </si>
  <si>
    <t>GIN</t>
  </si>
  <si>
    <t>MYS</t>
  </si>
  <si>
    <t>BWA</t>
  </si>
  <si>
    <t>Armenia</t>
  </si>
  <si>
    <t>Equatorial Guinea</t>
  </si>
  <si>
    <t>AUT</t>
  </si>
  <si>
    <t>Croatia</t>
  </si>
  <si>
    <t>HND</t>
  </si>
  <si>
    <t>STP</t>
  </si>
  <si>
    <t>Sweden</t>
  </si>
  <si>
    <t>SWZ</t>
  </si>
  <si>
    <t>Nigeria</t>
  </si>
  <si>
    <t>DZA</t>
  </si>
  <si>
    <t>SWE</t>
  </si>
  <si>
    <t>CZE</t>
  </si>
  <si>
    <t>Peru</t>
  </si>
  <si>
    <t>Sao Tome and Principe</t>
  </si>
  <si>
    <t>Gambia</t>
  </si>
  <si>
    <t>Seychelles</t>
  </si>
  <si>
    <t>Togo</t>
  </si>
  <si>
    <t>Uganda</t>
  </si>
  <si>
    <t>Sudan</t>
  </si>
  <si>
    <t>CYP</t>
  </si>
  <si>
    <t>Bahamas</t>
  </si>
  <si>
    <t>Trinidad and Tobago</t>
  </si>
  <si>
    <t>Zambia</t>
  </si>
  <si>
    <t>Iran, Islamic Republic of</t>
  </si>
  <si>
    <t>Dominican Republic</t>
  </si>
  <si>
    <t>Congo</t>
  </si>
  <si>
    <t>SVK</t>
  </si>
  <si>
    <t>Mean</t>
  </si>
  <si>
    <t>SVN</t>
  </si>
  <si>
    <t>PLW</t>
  </si>
  <si>
    <t>Portugal</t>
  </si>
  <si>
    <t>Tanzania, United Republic of</t>
  </si>
  <si>
    <t>Ecuador</t>
  </si>
  <si>
    <t>Lao People's Democratic Republic</t>
  </si>
  <si>
    <t>Libyan Arab Jamahiriya</t>
  </si>
  <si>
    <t>UGA</t>
  </si>
  <si>
    <t>YEM</t>
  </si>
  <si>
    <t>Sierra Leone</t>
  </si>
  <si>
    <t>FIN</t>
  </si>
  <si>
    <t>TCD</t>
  </si>
  <si>
    <t>MEX</t>
  </si>
  <si>
    <t>IDN</t>
  </si>
  <si>
    <t>Samoa</t>
  </si>
  <si>
    <t>Turkey</t>
  </si>
  <si>
    <t>AZE</t>
  </si>
  <si>
    <t>Chad</t>
  </si>
  <si>
    <t>Benin</t>
  </si>
  <si>
    <t>Romania</t>
  </si>
  <si>
    <t>NGA</t>
  </si>
  <si>
    <t>Madagascar</t>
  </si>
  <si>
    <t>Bolivia, Plurinational State of</t>
  </si>
  <si>
    <t>PAN</t>
  </si>
  <si>
    <t>Comoros</t>
  </si>
  <si>
    <t>Saudi Arabia</t>
  </si>
  <si>
    <t>Paraguay</t>
  </si>
  <si>
    <t>MDV</t>
  </si>
  <si>
    <t>PAK</t>
  </si>
  <si>
    <t>Ireland</t>
  </si>
  <si>
    <t>MDG</t>
  </si>
  <si>
    <t>Roads, paved (% of total roads)</t>
  </si>
  <si>
    <t>Russian Federation</t>
  </si>
  <si>
    <t>VEN</t>
  </si>
  <si>
    <t>EGY</t>
  </si>
  <si>
    <t>MDA</t>
  </si>
  <si>
    <t>Malaysia</t>
  </si>
  <si>
    <t>Albania</t>
  </si>
  <si>
    <t>South Africa</t>
  </si>
  <si>
    <t>San Marino</t>
  </si>
  <si>
    <t>Data reporting</t>
  </si>
  <si>
    <t>Monaco</t>
  </si>
  <si>
    <t>Net energy imports are estimated as energy use less production, both measured in oil equivalents. A negative value indicates that the country is a net exporter. Energy use refers to use of primary energy before transformation to other end-use fuels, which is equal to indigenous production plus imports and stock changes, minus exports and fuels supplied to ships and aircraft engaged in international transport.</t>
  </si>
  <si>
    <t>Mauritania</t>
  </si>
  <si>
    <t>VCT</t>
  </si>
  <si>
    <t xml:space="preserve">Bangladesh </t>
  </si>
  <si>
    <t>NZL</t>
  </si>
  <si>
    <t>LAO</t>
  </si>
  <si>
    <t>Poland</t>
  </si>
  <si>
    <t>Georgia</t>
  </si>
  <si>
    <t>Bulgaria</t>
  </si>
  <si>
    <t>Germany</t>
  </si>
  <si>
    <t>Norway</t>
  </si>
  <si>
    <t>International Energy Agency (IEA Statistics © OECD/IEA, http://www.iea.org/stats/index.asp) and United Nations, Energy Statistics Yearbook.</t>
  </si>
  <si>
    <t>NIC</t>
  </si>
  <si>
    <t>Cuba</t>
  </si>
  <si>
    <t>CAF</t>
  </si>
  <si>
    <t>Costa Rica</t>
  </si>
  <si>
    <t>KAZ</t>
  </si>
  <si>
    <t>ISO3</t>
  </si>
  <si>
    <t>Tajikistan</t>
  </si>
  <si>
    <t>India</t>
  </si>
  <si>
    <t>DEU</t>
  </si>
  <si>
    <t>Senegal</t>
  </si>
  <si>
    <t>LBN</t>
  </si>
  <si>
    <t>Eritrea</t>
  </si>
  <si>
    <t>Namibia</t>
  </si>
  <si>
    <t>CAN</t>
  </si>
  <si>
    <t>LBR</t>
  </si>
  <si>
    <t>Korea, Republic of</t>
  </si>
  <si>
    <t>LBY</t>
  </si>
  <si>
    <t>QAT</t>
  </si>
  <si>
    <t>LCA</t>
  </si>
  <si>
    <t>Uruguay</t>
  </si>
  <si>
    <t>Andorra</t>
  </si>
  <si>
    <t>MCO</t>
  </si>
  <si>
    <t>Saint Lucia</t>
  </si>
  <si>
    <t>GAB</t>
  </si>
  <si>
    <t>Cap min</t>
  </si>
  <si>
    <t>Tuvalu</t>
  </si>
  <si>
    <t>Spain</t>
  </si>
  <si>
    <t>ECU</t>
  </si>
  <si>
    <t>PER</t>
  </si>
  <si>
    <t>Brunei Darussalam</t>
  </si>
  <si>
    <t>Azerbaijan</t>
  </si>
  <si>
    <t>Nepal</t>
  </si>
  <si>
    <t>GBR</t>
  </si>
  <si>
    <t>Honduras</t>
  </si>
  <si>
    <t>Max</t>
  </si>
  <si>
    <t>Viet Nam</t>
  </si>
  <si>
    <t>Somalia</t>
  </si>
  <si>
    <t>Antigua and Barbuda</t>
  </si>
  <si>
    <t>NER</t>
  </si>
  <si>
    <t>Jamaica</t>
  </si>
  <si>
    <t>MAR</t>
  </si>
  <si>
    <t>United Kingdom</t>
  </si>
  <si>
    <t>Botswana</t>
  </si>
  <si>
    <t>Kazakhstan</t>
  </si>
  <si>
    <t>Belarus</t>
  </si>
  <si>
    <t>FSM</t>
  </si>
  <si>
    <t>Philippines</t>
  </si>
  <si>
    <t>JAM</t>
  </si>
  <si>
    <t>Morocco</t>
  </si>
  <si>
    <t>Kyrgyzstan</t>
  </si>
  <si>
    <t>TLS</t>
  </si>
  <si>
    <t>DJI</t>
  </si>
  <si>
    <t>KGZ</t>
  </si>
  <si>
    <t>Haiti</t>
  </si>
  <si>
    <t>France</t>
  </si>
  <si>
    <t>MOZ</t>
  </si>
  <si>
    <t>NOR</t>
  </si>
  <si>
    <t>Cape Verde</t>
  </si>
  <si>
    <t>Latvia</t>
  </si>
  <si>
    <t>Djibouti</t>
  </si>
  <si>
    <t>International Road Federation, World Road Statistics and electronic files, except where noted.</t>
  </si>
  <si>
    <t>Bosnia and Herzegovina</t>
  </si>
  <si>
    <t>Panama</t>
  </si>
  <si>
    <t>Syrian Arab Republic</t>
  </si>
  <si>
    <t>Burundi</t>
  </si>
  <si>
    <t>MNG</t>
  </si>
  <si>
    <t>MNE</t>
  </si>
  <si>
    <t>Mexico</t>
  </si>
  <si>
    <t>Canada</t>
  </si>
  <si>
    <t>Marshall Islands</t>
  </si>
  <si>
    <t>Iceland</t>
  </si>
  <si>
    <t>KEN</t>
  </si>
  <si>
    <t>TJK</t>
  </si>
  <si>
    <t>GUY</t>
  </si>
  <si>
    <t>Lebanon</t>
  </si>
  <si>
    <t>Lesotho</t>
  </si>
  <si>
    <t>LIE</t>
  </si>
  <si>
    <t>BDI</t>
  </si>
  <si>
    <t>DMA</t>
  </si>
  <si>
    <t>SAU</t>
  </si>
  <si>
    <t>MMR</t>
  </si>
  <si>
    <t>TKM</t>
  </si>
  <si>
    <t>Slovenia</t>
  </si>
  <si>
    <t>MLI</t>
  </si>
  <si>
    <t>Burkina Faso</t>
  </si>
  <si>
    <t>Mongolia</t>
  </si>
  <si>
    <t>Guatemala</t>
  </si>
  <si>
    <t>NPL</t>
  </si>
  <si>
    <t>GTM</t>
  </si>
  <si>
    <t>BFA</t>
  </si>
  <si>
    <t>Timor-Leste</t>
  </si>
  <si>
    <t>Egypt</t>
  </si>
  <si>
    <t>MLT</t>
  </si>
  <si>
    <t>BEN</t>
  </si>
  <si>
    <t>BEL</t>
  </si>
  <si>
    <t>New Zealand</t>
  </si>
  <si>
    <t>UKR</t>
  </si>
  <si>
    <t>Angola</t>
  </si>
  <si>
    <t>Slovakia</t>
  </si>
  <si>
    <t>Greece</t>
  </si>
  <si>
    <t>BGD</t>
  </si>
  <si>
    <t>Thailand</t>
  </si>
  <si>
    <t>MKD</t>
  </si>
  <si>
    <t>SDN</t>
  </si>
  <si>
    <t>Iraq</t>
  </si>
  <si>
    <t>Tonga</t>
  </si>
  <si>
    <t>THA</t>
  </si>
  <si>
    <t>Guinea</t>
  </si>
  <si>
    <t>LKA</t>
  </si>
  <si>
    <t>Denmark</t>
  </si>
  <si>
    <t>Kuwait</t>
  </si>
  <si>
    <t>Min</t>
  </si>
  <si>
    <t>Moldova, Republic of</t>
  </si>
  <si>
    <t>Ghana</t>
  </si>
  <si>
    <t>Pakistan</t>
  </si>
  <si>
    <t>Gabon</t>
  </si>
  <si>
    <t>SEN</t>
  </si>
  <si>
    <t>Montenegro</t>
  </si>
  <si>
    <t>BGR</t>
  </si>
  <si>
    <t>Cameroon</t>
  </si>
  <si>
    <t>Zimbabwe</t>
  </si>
  <si>
    <t>Serbia</t>
  </si>
  <si>
    <t>Estonia</t>
  </si>
  <si>
    <t>ZAF</t>
  </si>
  <si>
    <t>KIR</t>
  </si>
  <si>
    <t>Saint Vincent and the Grenadines</t>
  </si>
  <si>
    <t>Solomon Islands</t>
  </si>
  <si>
    <t>BHR</t>
  </si>
  <si>
    <t>Liberia</t>
  </si>
  <si>
    <t>CHE</t>
  </si>
  <si>
    <t>VNM</t>
  </si>
  <si>
    <t>BHS</t>
  </si>
  <si>
    <t>AGO</t>
  </si>
  <si>
    <t>Turkmenistan</t>
  </si>
  <si>
    <t>Kenya</t>
  </si>
  <si>
    <t>CHL</t>
  </si>
  <si>
    <t>CHN</t>
  </si>
  <si>
    <t>Dominica</t>
  </si>
  <si>
    <t>Malawi</t>
  </si>
  <si>
    <t>Tunisia</t>
  </si>
  <si>
    <t>China</t>
  </si>
  <si>
    <t>TGO</t>
  </si>
  <si>
    <t>CIV</t>
  </si>
  <si>
    <t>STDEV</t>
  </si>
  <si>
    <t>Malta</t>
  </si>
  <si>
    <t>NLD</t>
  </si>
  <si>
    <t>SGP</t>
  </si>
  <si>
    <t>KHM</t>
  </si>
  <si>
    <t>Cambodia</t>
  </si>
  <si>
    <t>Belgium</t>
  </si>
  <si>
    <t>MHL</t>
  </si>
  <si>
    <t>AFG</t>
  </si>
  <si>
    <t>BIH</t>
  </si>
  <si>
    <t>Mali</t>
  </si>
  <si>
    <t>Indonesia</t>
  </si>
  <si>
    <t>Luxembourg</t>
  </si>
  <si>
    <t>Chile</t>
  </si>
  <si>
    <t>KOR</t>
  </si>
  <si>
    <t>TTO</t>
  </si>
  <si>
    <t>Bahrain</t>
  </si>
  <si>
    <t>COG</t>
  </si>
  <si>
    <t>COD</t>
  </si>
  <si>
    <t>HTI</t>
  </si>
  <si>
    <t>Fiji</t>
  </si>
  <si>
    <t>PNG</t>
  </si>
  <si>
    <t>RWA</t>
  </si>
  <si>
    <t>HRV</t>
  </si>
  <si>
    <t>MWI</t>
  </si>
  <si>
    <t>Micronesia, Federated States of</t>
  </si>
  <si>
    <t>Korea, Democratic People's Republic of</t>
  </si>
  <si>
    <t>Oman</t>
  </si>
  <si>
    <t>COM</t>
  </si>
  <si>
    <t>COL</t>
  </si>
  <si>
    <t>TUN</t>
  </si>
  <si>
    <t>VUT</t>
  </si>
  <si>
    <t>Niger</t>
  </si>
  <si>
    <t>TUR</t>
  </si>
  <si>
    <t>POL</t>
  </si>
  <si>
    <t>Czech Republic</t>
  </si>
  <si>
    <t>TUV</t>
  </si>
  <si>
    <t>FJI</t>
  </si>
  <si>
    <t>GNQ</t>
  </si>
  <si>
    <t>Mozambique</t>
  </si>
  <si>
    <t>stddev</t>
  </si>
  <si>
    <t>Algeria</t>
  </si>
  <si>
    <t>GNB</t>
  </si>
  <si>
    <t>United States</t>
  </si>
  <si>
    <t>Belize</t>
  </si>
  <si>
    <t>SRB</t>
  </si>
  <si>
    <t>WSM</t>
  </si>
  <si>
    <t>Colombia</t>
  </si>
  <si>
    <t>HUN</t>
  </si>
  <si>
    <t>Switzerland</t>
  </si>
  <si>
    <t>URY</t>
  </si>
  <si>
    <t>BLR</t>
  </si>
  <si>
    <t>ALB</t>
  </si>
  <si>
    <t>MUS</t>
  </si>
  <si>
    <t>BLZ</t>
  </si>
  <si>
    <t>Vanuatu</t>
  </si>
  <si>
    <t>Yemen</t>
  </si>
  <si>
    <t>KNA</t>
  </si>
  <si>
    <t>Cap max</t>
  </si>
  <si>
    <t>CMR</t>
  </si>
  <si>
    <t>GMB</t>
  </si>
  <si>
    <t>OMN</t>
  </si>
  <si>
    <t>Austria</t>
  </si>
  <si>
    <t>Hungary</t>
  </si>
  <si>
    <t>USA</t>
  </si>
  <si>
    <t>Mauritius</t>
  </si>
  <si>
    <t>Argentina</t>
  </si>
  <si>
    <t>Japan</t>
  </si>
  <si>
    <t>United Arab Emirates</t>
  </si>
  <si>
    <t>Nauru</t>
  </si>
  <si>
    <t>PRY</t>
  </si>
  <si>
    <t>Venezuela, Bolivarian Republic of</t>
  </si>
  <si>
    <t>PRT</t>
  </si>
  <si>
    <t>ISR</t>
  </si>
  <si>
    <t>SLE</t>
  </si>
  <si>
    <t>ISL</t>
  </si>
  <si>
    <t>Sri Lanka</t>
  </si>
  <si>
    <t>LSO</t>
  </si>
  <si>
    <t>SLB</t>
  </si>
  <si>
    <t>DNK</t>
  </si>
  <si>
    <t>Macedonia</t>
  </si>
  <si>
    <t>BOL</t>
  </si>
  <si>
    <t>Paved roads are those surfaced with crushed stone (macadam) and hydrocarbon binder or bituminized agents, with concrete, or with cobblestones, as a percentage of all the country's roads, measured in length.</t>
  </si>
  <si>
    <t>Energy imports, net (% of energy use)</t>
  </si>
  <si>
    <t>Jordan</t>
  </si>
  <si>
    <t>AND</t>
  </si>
  <si>
    <t>ITA</t>
  </si>
  <si>
    <t>SLV</t>
  </si>
  <si>
    <t>PRK</t>
  </si>
  <si>
    <t>Myanmar</t>
  </si>
  <si>
    <t>IRQ</t>
  </si>
  <si>
    <t>ETH</t>
  </si>
  <si>
    <t>IRN</t>
  </si>
  <si>
    <t>NRU</t>
  </si>
  <si>
    <t>IRL</t>
  </si>
  <si>
    <t>Rwanda</t>
  </si>
  <si>
    <t>Saint Kitts and Nevis</t>
  </si>
  <si>
    <t>DOM</t>
  </si>
  <si>
    <t>Swaziland</t>
  </si>
  <si>
    <t>Brazil</t>
  </si>
  <si>
    <t>EST</t>
  </si>
  <si>
    <t>SMR</t>
  </si>
  <si>
    <t>MRT</t>
  </si>
  <si>
    <t>ESP</t>
  </si>
  <si>
    <t>Qatar</t>
  </si>
  <si>
    <t>Count</t>
  </si>
  <si>
    <t>Palau</t>
  </si>
  <si>
    <t>GRC</t>
  </si>
  <si>
    <t>Israel</t>
  </si>
  <si>
    <t>GRD</t>
  </si>
  <si>
    <t>FRA</t>
  </si>
  <si>
    <t>Bhutan</t>
  </si>
  <si>
    <t>CPV</t>
  </si>
  <si>
    <t>LUX</t>
  </si>
  <si>
    <t>ZWE</t>
  </si>
  <si>
    <t>Ethiopia</t>
  </si>
  <si>
    <t>LVA</t>
  </si>
  <si>
    <t>Australia</t>
  </si>
  <si>
    <t>Netherlands</t>
  </si>
  <si>
    <t>ERI</t>
  </si>
  <si>
    <t>Finland</t>
  </si>
  <si>
    <t>Lithuania</t>
  </si>
  <si>
    <t>Suriname</t>
  </si>
  <si>
    <t>LTU</t>
  </si>
  <si>
    <t>Name</t>
  </si>
  <si>
    <t>Grenada</t>
  </si>
  <si>
    <t>SOM</t>
  </si>
  <si>
    <t>BRN</t>
  </si>
  <si>
    <t>Singapore</t>
  </si>
  <si>
    <t>Guinea-Bissau</t>
  </si>
  <si>
    <t>RUS</t>
  </si>
  <si>
    <t>CRI</t>
  </si>
  <si>
    <t>BRA</t>
  </si>
  <si>
    <t>BRB</t>
  </si>
  <si>
    <t>TON</t>
  </si>
  <si>
    <t>Raw Reporting</t>
  </si>
  <si>
    <t>Input Reporting</t>
  </si>
  <si>
    <t>Most recent datum</t>
  </si>
  <si>
    <t>Year</t>
  </si>
  <si>
    <t>Data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</si>
</sst>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###############"/>
    <numFmt numFmtId="165" formatCode="0.0"/>
  </numFmts>
  <fonts count="7" x14ac:knownFonts="1">
    <font>
      <sz val="10"/>
      <name val="Arial"/>
    </font>
    <font>
      <sz val="11"/>
      <color indexed="8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sz val="10"/>
      <color indexed="14"/>
      <name val="Arial"/>
    </font>
    <font>
      <sz val="10"/>
      <color indexed="48"/>
      <name val="Arial"/>
    </font>
    <font>
      <sz val="11"/>
      <name val="Arial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99"/>
        <bgColor rgb="FF000000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1" fillId="2" borderId="0" xfId="0" applyNumberFormat="1" applyFont="1" applyFill="1" applyAlignment="1"/>
    <xf numFmtId="0" fontId="0" fillId="2" borderId="0" xfId="0" applyNumberFormat="1" applyFont="1" applyFill="1" applyAlignment="1">
      <alignment wrapText="1"/>
    </xf>
    <xf numFmtId="164" fontId="1" fillId="2" borderId="0" xfId="0" applyNumberFormat="1" applyFont="1" applyFill="1" applyAlignment="1"/>
    <xf numFmtId="0" fontId="0" fillId="0" borderId="0" xfId="0" applyNumberFormat="1" applyFont="1" applyFill="1" applyAlignment="1">
      <alignment wrapText="1"/>
    </xf>
    <xf numFmtId="0" fontId="1" fillId="0" borderId="0" xfId="0" applyNumberFormat="1" applyFont="1" applyFill="1" applyAlignment="1"/>
    <xf numFmtId="0" fontId="2" fillId="2" borderId="0" xfId="0" applyNumberFormat="1" applyFont="1" applyFill="1" applyAlignment="1">
      <alignment wrapText="1"/>
    </xf>
    <xf numFmtId="0" fontId="1" fillId="0" borderId="0" xfId="0" applyNumberFormat="1" applyFont="1" applyFill="1" applyAlignment="1">
      <alignment wrapText="1"/>
    </xf>
    <xf numFmtId="0" fontId="0" fillId="2" borderId="0" xfId="0" applyNumberFormat="1" applyFont="1" applyFill="1" applyAlignment="1"/>
    <xf numFmtId="4" fontId="0" fillId="2" borderId="0" xfId="0" applyNumberFormat="1" applyFont="1" applyFill="1" applyAlignment="1">
      <alignment wrapText="1"/>
    </xf>
    <xf numFmtId="0" fontId="2" fillId="0" borderId="0" xfId="0" applyNumberFormat="1" applyFont="1" applyFill="1" applyAlignment="1">
      <alignment wrapText="1"/>
    </xf>
    <xf numFmtId="0" fontId="2" fillId="0" borderId="0" xfId="0" applyNumberFormat="1" applyFont="1" applyFill="1" applyAlignment="1"/>
    <xf numFmtId="0" fontId="0" fillId="0" borderId="0" xfId="0" applyNumberFormat="1" applyFont="1" applyFill="1" applyAlignment="1"/>
    <xf numFmtId="4" fontId="1" fillId="2" borderId="0" xfId="0" applyNumberFormat="1" applyFont="1" applyFill="1" applyAlignment="1"/>
    <xf numFmtId="164" fontId="0" fillId="0" borderId="0" xfId="0" applyNumberFormat="1" applyFont="1" applyFill="1" applyAlignment="1">
      <alignment wrapText="1"/>
    </xf>
    <xf numFmtId="164" fontId="0" fillId="0" borderId="0" xfId="0" applyNumberFormat="1" applyFont="1" applyFill="1" applyAlignment="1"/>
    <xf numFmtId="164" fontId="0" fillId="2" borderId="0" xfId="0" applyNumberFormat="1" applyFont="1" applyFill="1" applyAlignment="1">
      <alignment wrapText="1"/>
    </xf>
    <xf numFmtId="4" fontId="0" fillId="0" borderId="0" xfId="0" applyNumberFormat="1" applyFont="1" applyFill="1" applyAlignment="1">
      <alignment wrapText="1"/>
    </xf>
    <xf numFmtId="4" fontId="1" fillId="0" borderId="0" xfId="0" applyNumberFormat="1" applyFont="1" applyFill="1" applyAlignment="1"/>
    <xf numFmtId="4" fontId="0" fillId="3" borderId="0" xfId="0" applyNumberFormat="1" applyFont="1" applyFill="1" applyAlignment="1">
      <alignment wrapText="1"/>
    </xf>
    <xf numFmtId="4" fontId="1" fillId="3" borderId="0" xfId="0" applyNumberFormat="1" applyFont="1" applyFill="1" applyAlignment="1"/>
    <xf numFmtId="4" fontId="1" fillId="0" borderId="0" xfId="0" applyNumberFormat="1" applyFont="1" applyFill="1" applyAlignment="1">
      <alignment wrapText="1"/>
    </xf>
    <xf numFmtId="3" fontId="0" fillId="0" borderId="0" xfId="0" applyNumberFormat="1" applyFont="1" applyFill="1" applyAlignment="1"/>
    <xf numFmtId="3" fontId="1" fillId="2" borderId="0" xfId="0" applyNumberFormat="1" applyFont="1" applyFill="1" applyAlignment="1"/>
    <xf numFmtId="0" fontId="2" fillId="2" borderId="0" xfId="0" applyNumberFormat="1" applyFont="1" applyFill="1" applyAlignment="1"/>
    <xf numFmtId="3" fontId="0" fillId="0" borderId="0" xfId="0" applyNumberFormat="1" applyFont="1" applyFill="1" applyAlignment="1">
      <alignment wrapText="1"/>
    </xf>
    <xf numFmtId="2" fontId="0" fillId="0" borderId="0" xfId="0" applyNumberFormat="1" applyAlignment="1">
      <alignment wrapText="1"/>
    </xf>
    <xf numFmtId="2" fontId="0" fillId="0" borderId="0" xfId="0" applyNumberFormat="1">
      <alignment vertical="center"/>
    </xf>
    <xf numFmtId="2" fontId="3" fillId="0" borderId="0" xfId="0" applyNumberFormat="1" applyFont="1" applyAlignment="1">
      <alignment wrapText="1"/>
    </xf>
    <xf numFmtId="2" fontId="3" fillId="0" borderId="0" xfId="0" applyNumberFormat="1" applyFont="1">
      <alignment vertical="center"/>
    </xf>
    <xf numFmtId="2" fontId="0" fillId="4" borderId="0" xfId="0" applyNumberFormat="1" applyFill="1" applyAlignment="1">
      <alignment wrapText="1"/>
    </xf>
    <xf numFmtId="165" fontId="0" fillId="0" borderId="0" xfId="0" applyNumberFormat="1">
      <alignment vertical="center"/>
    </xf>
    <xf numFmtId="165" fontId="0" fillId="0" borderId="0" xfId="0" applyNumberFormat="1" applyFont="1" applyFill="1" applyAlignment="1">
      <alignment wrapText="1"/>
    </xf>
    <xf numFmtId="165" fontId="1" fillId="0" borderId="0" xfId="0" applyNumberFormat="1" applyFont="1" applyFill="1" applyAlignment="1"/>
    <xf numFmtId="165" fontId="4" fillId="0" borderId="0" xfId="0" applyNumberFormat="1" applyFont="1">
      <alignment vertical="center"/>
    </xf>
    <xf numFmtId="165" fontId="5" fillId="0" borderId="0" xfId="0" applyNumberFormat="1" applyFont="1">
      <alignment vertical="center"/>
    </xf>
    <xf numFmtId="165" fontId="0" fillId="0" borderId="0" xfId="0" applyNumberFormat="1" applyFont="1">
      <alignment vertical="center"/>
    </xf>
    <xf numFmtId="0" fontId="6" fillId="0" borderId="0" xfId="0" applyNumberFormat="1" applyFont="1" applyFill="1" applyAlignment="1"/>
    <xf numFmtId="0" fontId="0" fillId="0" borderId="0" xfId="0" applyFont="1">
      <alignment vertical="center"/>
    </xf>
    <xf numFmtId="165" fontId="6" fillId="0" borderId="0" xfId="0" applyNumberFormat="1" applyFont="1" applyFill="1" applyAlignment="1"/>
    <xf numFmtId="0" fontId="1" fillId="2" borderId="0" xfId="0" applyNumberFormat="1" applyFont="1" applyFill="1" applyAlignment="1"/>
    <xf numFmtId="0" fontId="0" fillId="2" borderId="0" xfId="0" applyNumberFormat="1" applyFont="1" applyFill="1" applyAlignment="1">
      <alignment wrapText="1"/>
    </xf>
    <xf numFmtId="0" fontId="0" fillId="2" borderId="0" xfId="0" applyNumberFormat="1" applyFont="1" applyFill="1" applyAlignment="1"/>
  </cellXfs>
  <cellStyles count="1">
    <cellStyle name="Normal" xfId="0" builtinId="0"/>
  </cellStyles>
  <dxfs count="2"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99CC00"/>
      <rgbColor rgb="00FFFFFF"/>
      <rgbColor rgb="00FFFF99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C201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H3" sqref="H3"/>
    </sheetView>
  </sheetViews>
  <sheetFormatPr baseColWidth="10" defaultColWidth="17.1640625" defaultRowHeight="12.75" customHeight="1" x14ac:dyDescent="0"/>
  <cols>
    <col min="1" max="4" width="8.83203125" customWidth="1"/>
    <col min="5" max="19" width="11.5" customWidth="1"/>
    <col min="20" max="20" width="5" customWidth="1"/>
    <col min="21" max="21" width="8.83203125" customWidth="1"/>
    <col min="22" max="22" width="6.83203125" customWidth="1"/>
    <col min="23" max="26" width="2.33203125" customWidth="1"/>
    <col min="27" max="27" width="12" customWidth="1"/>
    <col min="28" max="28" width="9.33203125" customWidth="1"/>
    <col min="29" max="29" width="7.1640625" customWidth="1"/>
  </cols>
  <sheetData>
    <row r="1" spans="1:29" ht="13">
      <c r="A1" s="40" t="s">
        <v>102</v>
      </c>
      <c r="B1" s="41"/>
      <c r="C1" s="41"/>
      <c r="D1" s="41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spans="1:29" ht="13">
      <c r="A2" s="40" t="s">
        <v>350</v>
      </c>
      <c r="B2" s="41"/>
      <c r="C2" s="41"/>
      <c r="D2" s="41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1:29" ht="13">
      <c r="A3" s="40" t="s">
        <v>185</v>
      </c>
      <c r="B3" s="41"/>
      <c r="C3" s="41"/>
      <c r="D3" s="4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1:29" ht="13">
      <c r="A4" s="2"/>
      <c r="B4" s="2"/>
      <c r="C4" s="2"/>
      <c r="D4" s="2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2"/>
    </row>
    <row r="5" spans="1:29" ht="13">
      <c r="C5" s="1" t="s">
        <v>130</v>
      </c>
      <c r="D5" s="1" t="s">
        <v>392</v>
      </c>
      <c r="F5" s="1">
        <v>1996</v>
      </c>
      <c r="G5" s="1">
        <v>1997</v>
      </c>
      <c r="H5" s="1">
        <v>1998</v>
      </c>
      <c r="I5" s="1">
        <v>1999</v>
      </c>
      <c r="J5" s="1">
        <v>2000</v>
      </c>
      <c r="K5" s="1">
        <v>2001</v>
      </c>
      <c r="L5" s="1">
        <v>2002</v>
      </c>
      <c r="M5" s="1">
        <v>2003</v>
      </c>
      <c r="N5" s="1">
        <v>2004</v>
      </c>
      <c r="O5" s="1">
        <v>2005</v>
      </c>
      <c r="P5" s="1">
        <v>2006</v>
      </c>
      <c r="Q5" s="1">
        <v>2007</v>
      </c>
      <c r="R5" s="1">
        <v>2008</v>
      </c>
      <c r="S5" s="1">
        <v>2009</v>
      </c>
      <c r="T5" s="1">
        <v>2010</v>
      </c>
      <c r="U5" s="2">
        <v>2011</v>
      </c>
      <c r="V5" t="s">
        <v>405</v>
      </c>
      <c r="AA5" t="s">
        <v>405</v>
      </c>
      <c r="AB5" t="s">
        <v>406</v>
      </c>
      <c r="AC5" t="s">
        <v>407</v>
      </c>
    </row>
    <row r="6" spans="1:29" ht="13">
      <c r="C6" s="1" t="s">
        <v>276</v>
      </c>
      <c r="D6" s="1" t="s">
        <v>2</v>
      </c>
      <c r="G6">
        <v>25</v>
      </c>
      <c r="I6">
        <v>27</v>
      </c>
      <c r="K6">
        <v>28</v>
      </c>
      <c r="N6" s="32">
        <v>23.659999849999998</v>
      </c>
      <c r="O6" s="32">
        <v>27.45942879</v>
      </c>
      <c r="P6" s="32">
        <v>29.3</v>
      </c>
      <c r="Q6" s="36"/>
      <c r="R6" s="36"/>
      <c r="S6" s="36"/>
      <c r="T6" s="36"/>
      <c r="U6" s="37"/>
      <c r="V6" s="38"/>
      <c r="W6" s="38"/>
      <c r="X6" s="38"/>
      <c r="Y6" s="38"/>
      <c r="Z6" s="38"/>
      <c r="AA6" s="33">
        <v>29.3</v>
      </c>
      <c r="AB6">
        <v>2006</v>
      </c>
      <c r="AC6">
        <v>3</v>
      </c>
    </row>
    <row r="7" spans="1:29" ht="13">
      <c r="C7" s="1" t="s">
        <v>320</v>
      </c>
      <c r="D7" s="1" t="s">
        <v>108</v>
      </c>
      <c r="E7" s="39">
        <v>39</v>
      </c>
      <c r="F7" s="39">
        <v>39</v>
      </c>
      <c r="G7" s="39">
        <v>39</v>
      </c>
      <c r="H7" s="39"/>
      <c r="I7" s="39"/>
      <c r="J7" s="39"/>
      <c r="K7" s="39"/>
      <c r="L7" s="39"/>
      <c r="P7">
        <v>44</v>
      </c>
      <c r="V7" s="38"/>
      <c r="W7" s="38"/>
      <c r="X7" s="38"/>
      <c r="Y7" s="38"/>
      <c r="Z7" s="38"/>
      <c r="AA7" s="33">
        <v>39</v>
      </c>
      <c r="AB7">
        <v>2002</v>
      </c>
      <c r="AC7">
        <v>8</v>
      </c>
    </row>
    <row r="8" spans="1:29" ht="13">
      <c r="C8" s="1" t="s">
        <v>52</v>
      </c>
      <c r="D8" s="1" t="s">
        <v>309</v>
      </c>
      <c r="E8" s="39"/>
      <c r="F8" s="39"/>
      <c r="G8" s="39">
        <v>68.900001529999997</v>
      </c>
      <c r="H8" s="39">
        <v>68.900001529999997</v>
      </c>
      <c r="I8" s="39">
        <v>68.900001529999997</v>
      </c>
      <c r="J8" s="39">
        <v>68.900001529999997</v>
      </c>
      <c r="K8" s="39"/>
      <c r="L8" s="39"/>
      <c r="M8" s="39"/>
      <c r="N8" s="39">
        <v>70.199996949999999</v>
      </c>
      <c r="O8" s="39"/>
      <c r="P8" s="39"/>
      <c r="Q8" s="39"/>
      <c r="R8" s="39">
        <v>73.459999999999994</v>
      </c>
      <c r="S8" s="36"/>
      <c r="T8" s="36"/>
      <c r="U8" s="37"/>
      <c r="V8" s="38"/>
      <c r="W8" s="38"/>
      <c r="X8" s="38"/>
      <c r="Y8" s="38"/>
      <c r="Z8" s="38"/>
      <c r="AA8" s="33">
        <v>73.459999999999994</v>
      </c>
      <c r="AB8">
        <v>2008</v>
      </c>
      <c r="AC8">
        <v>8</v>
      </c>
    </row>
    <row r="9" spans="1:29" ht="13">
      <c r="C9" s="1" t="s">
        <v>353</v>
      </c>
      <c r="D9" s="1" t="s">
        <v>145</v>
      </c>
      <c r="E9" s="36">
        <v>0</v>
      </c>
      <c r="F9" s="36">
        <v>0</v>
      </c>
      <c r="G9" s="36">
        <v>0</v>
      </c>
      <c r="H9" s="36">
        <v>0</v>
      </c>
      <c r="I9" s="36">
        <v>0</v>
      </c>
      <c r="J9" s="36">
        <v>0</v>
      </c>
      <c r="K9" s="36">
        <v>45</v>
      </c>
      <c r="L9" s="36">
        <v>0</v>
      </c>
      <c r="M9" s="36">
        <v>0</v>
      </c>
      <c r="N9" s="36">
        <v>56</v>
      </c>
      <c r="O9" s="36"/>
      <c r="P9" s="36"/>
      <c r="Q9" s="36"/>
      <c r="R9" s="36">
        <v>68</v>
      </c>
      <c r="S9" s="36">
        <v>0</v>
      </c>
      <c r="T9" s="36">
        <v>0</v>
      </c>
      <c r="U9" s="37"/>
      <c r="V9" s="38"/>
      <c r="W9" s="38"/>
      <c r="X9" s="38"/>
      <c r="Y9" s="38"/>
      <c r="Z9" s="38"/>
      <c r="AA9" s="33" t="e">
        <v>#N/A</v>
      </c>
      <c r="AC9">
        <v>0</v>
      </c>
    </row>
    <row r="10" spans="1:29" ht="13">
      <c r="C10" s="1" t="s">
        <v>257</v>
      </c>
      <c r="D10" s="1" t="s">
        <v>222</v>
      </c>
      <c r="E10" s="39"/>
      <c r="F10" s="39"/>
      <c r="G10" s="39"/>
      <c r="H10" s="39"/>
      <c r="I10" s="39">
        <v>10.399999619999999</v>
      </c>
      <c r="J10" s="39">
        <v>10.399999619999999</v>
      </c>
      <c r="K10" s="39">
        <v>10.399999619999999</v>
      </c>
      <c r="L10" s="39"/>
      <c r="M10" s="39"/>
      <c r="N10" s="39"/>
      <c r="O10" s="39"/>
      <c r="P10" s="39"/>
      <c r="Q10" s="39"/>
      <c r="R10" s="39"/>
      <c r="S10" s="36"/>
      <c r="T10" s="36"/>
      <c r="U10" s="37"/>
      <c r="V10" s="38"/>
      <c r="W10" s="38"/>
      <c r="X10" s="38"/>
      <c r="Y10" s="38"/>
      <c r="Z10" s="38"/>
      <c r="AA10" s="33">
        <v>10.399999619999999</v>
      </c>
      <c r="AB10">
        <v>2001</v>
      </c>
      <c r="AC10">
        <v>3</v>
      </c>
    </row>
    <row r="11" spans="1:29" ht="13">
      <c r="C11" s="1" t="s">
        <v>22</v>
      </c>
      <c r="D11" s="1" t="s">
        <v>162</v>
      </c>
      <c r="E11" s="36"/>
      <c r="F11" s="36"/>
      <c r="G11" s="36"/>
      <c r="H11" s="36"/>
      <c r="I11" s="36"/>
      <c r="J11" s="36"/>
      <c r="K11" s="36"/>
      <c r="L11" s="32">
        <v>32.959999080000003</v>
      </c>
      <c r="M11" s="36"/>
      <c r="N11" s="36"/>
      <c r="O11" s="36"/>
      <c r="P11" s="36"/>
      <c r="Q11" s="36"/>
      <c r="R11" s="36"/>
      <c r="S11" s="36"/>
      <c r="T11" s="36"/>
      <c r="U11" s="37"/>
      <c r="V11" s="38"/>
      <c r="W11" s="38"/>
      <c r="X11" s="38"/>
      <c r="Y11" s="38"/>
      <c r="Z11" s="38"/>
      <c r="AA11" s="33">
        <v>32.959999080000003</v>
      </c>
      <c r="AB11">
        <v>2002</v>
      </c>
      <c r="AC11">
        <v>1</v>
      </c>
    </row>
    <row r="12" spans="1:29" ht="13">
      <c r="C12" s="1" t="s">
        <v>11</v>
      </c>
      <c r="D12" s="1" t="s">
        <v>334</v>
      </c>
      <c r="E12" s="39">
        <v>29.100000380000001</v>
      </c>
      <c r="F12" s="39">
        <v>29.100000380000001</v>
      </c>
      <c r="G12" s="39">
        <v>29.5</v>
      </c>
      <c r="H12" s="39">
        <v>29.5</v>
      </c>
      <c r="I12" s="39">
        <v>29.399999619999999</v>
      </c>
      <c r="J12" s="39">
        <v>29.399999619999999</v>
      </c>
      <c r="K12" s="39"/>
      <c r="L12" s="39"/>
      <c r="M12" s="39">
        <v>30</v>
      </c>
      <c r="N12" s="39"/>
      <c r="O12" s="39"/>
      <c r="P12" s="39"/>
      <c r="Q12" s="39"/>
      <c r="R12" s="39"/>
      <c r="S12" s="36"/>
      <c r="T12" s="36"/>
      <c r="U12" s="37"/>
      <c r="V12" s="38"/>
      <c r="W12" s="38"/>
      <c r="X12" s="38"/>
      <c r="Y12" s="38"/>
      <c r="Z12" s="38"/>
      <c r="AA12" s="33">
        <v>30</v>
      </c>
      <c r="AB12">
        <v>2003</v>
      </c>
      <c r="AC12">
        <v>7</v>
      </c>
    </row>
    <row r="13" spans="1:29" ht="13">
      <c r="C13" s="1" t="s">
        <v>14</v>
      </c>
      <c r="D13" s="1" t="s">
        <v>43</v>
      </c>
      <c r="E13" s="39">
        <v>96.699996949999999</v>
      </c>
      <c r="F13" s="39">
        <v>96.699996949999999</v>
      </c>
      <c r="G13" s="39">
        <v>96.800003050000001</v>
      </c>
      <c r="H13" s="39">
        <v>96.800003050000001</v>
      </c>
      <c r="I13" s="39"/>
      <c r="J13" s="39"/>
      <c r="K13" s="39"/>
      <c r="L13" s="39"/>
      <c r="M13" s="39">
        <v>91.269996640000002</v>
      </c>
      <c r="N13" s="39">
        <v>90.120002749999998</v>
      </c>
      <c r="O13" s="39">
        <v>89.97000122</v>
      </c>
      <c r="P13" s="39">
        <v>88.978996280000004</v>
      </c>
      <c r="Q13" s="39">
        <v>89.04</v>
      </c>
      <c r="R13" s="39">
        <v>90.52</v>
      </c>
      <c r="S13" s="36"/>
      <c r="T13" s="36"/>
      <c r="U13" s="37"/>
      <c r="V13" s="38"/>
      <c r="W13" s="38"/>
      <c r="X13" s="38"/>
      <c r="Y13" s="38"/>
      <c r="Z13" s="38"/>
      <c r="AA13" s="33">
        <v>90.52</v>
      </c>
      <c r="AB13">
        <v>2008</v>
      </c>
      <c r="AC13">
        <v>10</v>
      </c>
    </row>
    <row r="14" spans="1:29" ht="13">
      <c r="C14" s="1" t="s">
        <v>32</v>
      </c>
      <c r="D14" s="1" t="s">
        <v>385</v>
      </c>
      <c r="E14" s="39">
        <v>38.599998470000003</v>
      </c>
      <c r="F14" s="39">
        <v>38.700000760000002</v>
      </c>
      <c r="G14" s="39"/>
      <c r="H14" s="39">
        <v>38.700000760000002</v>
      </c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6"/>
      <c r="U14" s="37"/>
      <c r="V14" s="38"/>
      <c r="W14" s="38"/>
      <c r="X14" s="38"/>
      <c r="Y14" s="38"/>
      <c r="Z14" s="38"/>
      <c r="AA14" s="33">
        <v>38.700000760000002</v>
      </c>
      <c r="AB14">
        <v>1998</v>
      </c>
      <c r="AC14">
        <v>3</v>
      </c>
    </row>
    <row r="15" spans="1:29" ht="13">
      <c r="C15" s="1" t="s">
        <v>45</v>
      </c>
      <c r="D15" s="1" t="s">
        <v>330</v>
      </c>
      <c r="E15" s="39">
        <v>100</v>
      </c>
      <c r="F15" s="39">
        <v>100</v>
      </c>
      <c r="G15" s="39">
        <v>100</v>
      </c>
      <c r="H15" s="39">
        <v>100</v>
      </c>
      <c r="I15" s="39"/>
      <c r="J15" s="39"/>
      <c r="K15" s="39">
        <v>90</v>
      </c>
      <c r="L15" s="39">
        <v>100</v>
      </c>
      <c r="M15" s="39">
        <v>80</v>
      </c>
      <c r="N15" s="39"/>
      <c r="O15" s="39">
        <v>100</v>
      </c>
      <c r="P15" s="39">
        <v>100</v>
      </c>
      <c r="Q15" s="39">
        <v>100</v>
      </c>
      <c r="R15" s="39">
        <v>100</v>
      </c>
      <c r="S15" s="39"/>
      <c r="T15" s="36"/>
      <c r="U15" s="37"/>
      <c r="V15" s="38"/>
      <c r="W15" s="38"/>
      <c r="X15" s="38"/>
      <c r="Y15" s="38"/>
      <c r="Z15" s="38"/>
      <c r="AA15" s="33">
        <v>100</v>
      </c>
      <c r="AB15">
        <v>2008</v>
      </c>
      <c r="AC15">
        <v>13</v>
      </c>
    </row>
    <row r="16" spans="1:29" ht="13">
      <c r="C16" s="1" t="s">
        <v>87</v>
      </c>
      <c r="D16" s="1" t="s">
        <v>155</v>
      </c>
      <c r="E16" s="39"/>
      <c r="F16" s="39"/>
      <c r="G16" s="39"/>
      <c r="H16" s="39"/>
      <c r="I16" s="39"/>
      <c r="J16" s="39"/>
      <c r="K16" s="39"/>
      <c r="L16" s="39"/>
      <c r="M16" s="39"/>
      <c r="N16" s="39">
        <v>49.38999939</v>
      </c>
      <c r="O16" s="39"/>
      <c r="P16" s="39">
        <v>50.602546179999997</v>
      </c>
      <c r="Q16" s="39"/>
      <c r="R16" s="39"/>
      <c r="S16" s="36"/>
      <c r="T16" s="36"/>
      <c r="U16" s="37"/>
      <c r="V16" s="38"/>
      <c r="W16" s="38"/>
      <c r="X16" s="38"/>
      <c r="Y16" s="38"/>
      <c r="Z16" s="38"/>
      <c r="AA16" s="33">
        <v>50.602546179999997</v>
      </c>
      <c r="AB16">
        <v>2006</v>
      </c>
      <c r="AC16">
        <v>2</v>
      </c>
    </row>
    <row r="17" spans="3:29" ht="13">
      <c r="C17" s="1" t="s">
        <v>256</v>
      </c>
      <c r="D17" s="1" t="s">
        <v>63</v>
      </c>
      <c r="E17" s="32">
        <v>57.400001529999997</v>
      </c>
      <c r="F17" s="32">
        <v>57.400001529999997</v>
      </c>
      <c r="G17" s="32">
        <v>57.400001529999997</v>
      </c>
      <c r="H17" s="32">
        <v>57.400001529999997</v>
      </c>
      <c r="I17" s="32">
        <v>57.400001529999997</v>
      </c>
      <c r="J17" s="32">
        <v>57.400001529999997</v>
      </c>
      <c r="K17" s="32">
        <v>57.400001529999997</v>
      </c>
      <c r="L17" s="36"/>
      <c r="M17" s="36"/>
      <c r="N17" s="36"/>
      <c r="O17" s="36"/>
      <c r="P17" s="36"/>
      <c r="Q17" s="36"/>
      <c r="R17" s="36"/>
      <c r="S17" s="36"/>
      <c r="T17" s="36"/>
      <c r="U17" s="37"/>
      <c r="V17" s="38"/>
      <c r="W17" s="38"/>
      <c r="X17" s="38"/>
      <c r="Y17" s="38"/>
      <c r="Z17" s="38"/>
      <c r="AA17" s="33">
        <v>57.400001529999997</v>
      </c>
      <c r="AB17">
        <v>2001</v>
      </c>
      <c r="AC17">
        <v>7</v>
      </c>
    </row>
    <row r="18" spans="3:29" ht="13">
      <c r="C18" s="1" t="s">
        <v>252</v>
      </c>
      <c r="D18" s="1" t="s">
        <v>284</v>
      </c>
      <c r="E18" s="39"/>
      <c r="F18" s="39">
        <v>75.800003050000001</v>
      </c>
      <c r="G18" s="39">
        <v>76.5</v>
      </c>
      <c r="H18" s="39">
        <v>76.900001529999997</v>
      </c>
      <c r="I18" s="39">
        <v>77.400001529999997</v>
      </c>
      <c r="J18" s="39">
        <v>77.599998470000003</v>
      </c>
      <c r="K18" s="39">
        <v>75.300003050000001</v>
      </c>
      <c r="L18" s="39">
        <v>78.900001529999997</v>
      </c>
      <c r="M18" s="39">
        <v>79.129997250000002</v>
      </c>
      <c r="N18" s="39">
        <v>79.739106300000003</v>
      </c>
      <c r="O18" s="39">
        <v>80.312837110000004</v>
      </c>
      <c r="P18" s="39">
        <v>80.804627929999995</v>
      </c>
      <c r="Q18" s="39">
        <v>81.04388471</v>
      </c>
      <c r="R18" s="39">
        <v>81.481481479999999</v>
      </c>
      <c r="S18" s="36"/>
      <c r="T18" s="36"/>
      <c r="U18" s="37"/>
      <c r="V18" s="38"/>
      <c r="W18" s="38"/>
      <c r="X18" s="38"/>
      <c r="Y18" s="38"/>
      <c r="Z18" s="38"/>
      <c r="AA18" s="33">
        <v>81.481481479999999</v>
      </c>
      <c r="AB18">
        <v>2008</v>
      </c>
      <c r="AC18">
        <v>13</v>
      </c>
    </row>
    <row r="19" spans="3:29" ht="13">
      <c r="C19" s="1" t="s">
        <v>225</v>
      </c>
      <c r="D19" s="1" t="s">
        <v>116</v>
      </c>
      <c r="E19" s="39">
        <v>7.9000000950000002</v>
      </c>
      <c r="F19" s="39">
        <v>8.3999996190000008</v>
      </c>
      <c r="G19" s="39">
        <v>9.5</v>
      </c>
      <c r="H19" s="39">
        <v>9.5299997330000004</v>
      </c>
      <c r="I19" s="39">
        <v>9.5299997330000004</v>
      </c>
      <c r="J19" s="39">
        <v>9.5299997330000004</v>
      </c>
      <c r="K19" s="39"/>
      <c r="L19" s="39"/>
      <c r="M19" s="39">
        <v>9.5</v>
      </c>
      <c r="N19" s="39"/>
      <c r="O19" s="39"/>
      <c r="P19" s="39"/>
      <c r="Q19" s="39"/>
      <c r="R19" s="39"/>
      <c r="S19" s="36"/>
      <c r="T19" s="36"/>
      <c r="U19" s="37"/>
      <c r="V19" s="38"/>
      <c r="W19" s="38"/>
      <c r="X19" s="38"/>
      <c r="Y19" s="38"/>
      <c r="Z19" s="38"/>
      <c r="AA19" s="33">
        <v>9.5</v>
      </c>
      <c r="AB19">
        <v>2003</v>
      </c>
      <c r="AC19">
        <v>7</v>
      </c>
    </row>
    <row r="20" spans="3:29" ht="13">
      <c r="C20" s="1" t="s">
        <v>401</v>
      </c>
      <c r="D20" s="1" t="s">
        <v>19</v>
      </c>
      <c r="E20" s="32">
        <v>95.800003050000001</v>
      </c>
      <c r="F20" s="32">
        <v>95.900001529999997</v>
      </c>
      <c r="G20" s="36"/>
      <c r="H20" s="32">
        <v>98.599998470000003</v>
      </c>
      <c r="I20" s="32">
        <v>98.599998470000003</v>
      </c>
      <c r="J20" s="32">
        <v>98.599998470000003</v>
      </c>
      <c r="K20" s="32">
        <v>98.599998470000003</v>
      </c>
      <c r="L20" s="32">
        <v>98.599998470000003</v>
      </c>
      <c r="M20" s="32">
        <v>100</v>
      </c>
      <c r="N20" s="32">
        <v>100</v>
      </c>
      <c r="O20" s="36"/>
      <c r="P20" s="36"/>
      <c r="Q20" s="36"/>
      <c r="R20" s="36"/>
      <c r="S20" s="36"/>
      <c r="T20" s="36"/>
      <c r="U20" s="37"/>
      <c r="V20" s="38"/>
      <c r="W20" s="38"/>
      <c r="X20" s="38"/>
      <c r="Y20" s="38"/>
      <c r="Z20" s="38"/>
      <c r="AA20" s="33">
        <v>100</v>
      </c>
      <c r="AB20">
        <v>2004</v>
      </c>
      <c r="AC20">
        <v>9</v>
      </c>
    </row>
    <row r="21" spans="3:29" ht="13">
      <c r="C21" s="1" t="s">
        <v>319</v>
      </c>
      <c r="D21" s="1" t="s">
        <v>169</v>
      </c>
      <c r="E21" s="39">
        <v>98.599998470000003</v>
      </c>
      <c r="F21" s="39">
        <v>98.800003050000001</v>
      </c>
      <c r="G21" s="39">
        <v>98.199996949999999</v>
      </c>
      <c r="H21" s="39">
        <v>95.599998470000003</v>
      </c>
      <c r="I21" s="39"/>
      <c r="J21" s="39"/>
      <c r="K21" s="39"/>
      <c r="L21" s="39"/>
      <c r="M21" s="39">
        <v>86.400001529999997</v>
      </c>
      <c r="N21" s="39">
        <v>87</v>
      </c>
      <c r="O21" s="39">
        <v>88.63999939</v>
      </c>
      <c r="P21" s="39"/>
      <c r="Q21" s="39"/>
      <c r="R21" s="39"/>
      <c r="S21" s="36"/>
      <c r="T21" s="36"/>
      <c r="U21" s="37"/>
      <c r="V21" s="38"/>
      <c r="W21" s="38"/>
      <c r="X21" s="38"/>
      <c r="Y21" s="38"/>
      <c r="Z21" s="38"/>
      <c r="AA21" s="33">
        <v>88.63999939</v>
      </c>
      <c r="AB21">
        <v>2005</v>
      </c>
      <c r="AC21">
        <v>7</v>
      </c>
    </row>
    <row r="22" spans="3:29" ht="13">
      <c r="C22" s="1" t="s">
        <v>219</v>
      </c>
      <c r="D22" s="1" t="s">
        <v>274</v>
      </c>
      <c r="E22" s="39">
        <v>80.699996949999999</v>
      </c>
      <c r="F22" s="39">
        <v>80.699996949999999</v>
      </c>
      <c r="G22" s="39">
        <v>80.699996949999999</v>
      </c>
      <c r="H22" s="39">
        <v>78.199996949999999</v>
      </c>
      <c r="I22" s="39">
        <v>78.199996949999999</v>
      </c>
      <c r="J22" s="39">
        <v>78.199996949999999</v>
      </c>
      <c r="K22" s="39">
        <v>78.300003050000001</v>
      </c>
      <c r="L22" s="39">
        <v>78.199996949999999</v>
      </c>
      <c r="M22" s="39">
        <v>78</v>
      </c>
      <c r="N22" s="39">
        <v>78</v>
      </c>
      <c r="O22" s="39">
        <v>78.21199799</v>
      </c>
      <c r="P22" s="39">
        <v>78.208000179999999</v>
      </c>
      <c r="Q22" s="39">
        <v>78.2</v>
      </c>
      <c r="R22" s="39">
        <v>78.2</v>
      </c>
      <c r="S22" s="39"/>
      <c r="T22" s="36"/>
      <c r="U22" s="37"/>
      <c r="V22" s="38"/>
      <c r="W22" s="38"/>
      <c r="X22" s="38"/>
      <c r="Y22" s="38"/>
      <c r="Z22" s="38"/>
      <c r="AA22" s="33">
        <v>78.2</v>
      </c>
      <c r="AB22">
        <v>2008</v>
      </c>
      <c r="AC22">
        <v>14</v>
      </c>
    </row>
    <row r="23" spans="3:29" ht="13">
      <c r="C23" s="1" t="s">
        <v>322</v>
      </c>
      <c r="D23" s="1" t="s">
        <v>312</v>
      </c>
      <c r="E23" s="36"/>
      <c r="F23" s="32">
        <v>19</v>
      </c>
      <c r="G23" s="32">
        <v>16</v>
      </c>
      <c r="H23" s="32">
        <v>17</v>
      </c>
      <c r="I23" s="32">
        <v>17</v>
      </c>
      <c r="J23" s="32">
        <v>17</v>
      </c>
      <c r="K23" s="32">
        <v>17</v>
      </c>
      <c r="L23" s="36"/>
      <c r="M23" s="36"/>
      <c r="N23" s="36"/>
      <c r="O23" s="36"/>
      <c r="P23" s="36"/>
      <c r="Q23" s="36"/>
      <c r="R23" s="36"/>
      <c r="S23" s="36"/>
      <c r="T23" s="36"/>
      <c r="U23" s="37"/>
      <c r="V23" s="38"/>
      <c r="W23" s="38"/>
      <c r="X23" s="38"/>
      <c r="Y23" s="38"/>
      <c r="Z23" s="38"/>
      <c r="AA23" s="33">
        <v>17</v>
      </c>
      <c r="AB23">
        <v>2001</v>
      </c>
      <c r="AC23">
        <v>6</v>
      </c>
    </row>
    <row r="24" spans="3:29" ht="13">
      <c r="C24" s="1" t="s">
        <v>218</v>
      </c>
      <c r="D24" s="1" t="s">
        <v>89</v>
      </c>
      <c r="E24" s="39">
        <v>20</v>
      </c>
      <c r="F24" s="39">
        <v>20</v>
      </c>
      <c r="G24" s="39">
        <v>20</v>
      </c>
      <c r="H24" s="39">
        <v>20</v>
      </c>
      <c r="I24" s="39"/>
      <c r="J24" s="39"/>
      <c r="K24" s="39"/>
      <c r="L24" s="39"/>
      <c r="M24" s="39"/>
      <c r="N24" s="39">
        <v>9.5</v>
      </c>
      <c r="O24" s="39"/>
      <c r="P24" s="39"/>
      <c r="Q24" s="39"/>
      <c r="R24" s="39"/>
      <c r="S24" s="36"/>
      <c r="T24" s="36"/>
      <c r="U24" s="37"/>
      <c r="V24" s="38"/>
      <c r="W24" s="38"/>
      <c r="X24" s="38"/>
      <c r="Y24" s="38"/>
      <c r="Z24" s="38"/>
      <c r="AA24" s="33">
        <v>9.5</v>
      </c>
      <c r="AB24">
        <v>2004</v>
      </c>
      <c r="AC24">
        <v>5</v>
      </c>
    </row>
    <row r="25" spans="3:29" ht="13">
      <c r="C25" s="1" t="s">
        <v>0</v>
      </c>
      <c r="D25" s="1" t="s">
        <v>379</v>
      </c>
      <c r="E25" s="32">
        <v>63.700000760000002</v>
      </c>
      <c r="F25" s="32">
        <v>60.700000760000002</v>
      </c>
      <c r="G25" s="32">
        <v>60.700000760000002</v>
      </c>
      <c r="H25" s="36"/>
      <c r="I25" s="36"/>
      <c r="J25" s="36"/>
      <c r="K25" s="36"/>
      <c r="L25" s="36"/>
      <c r="M25" s="32">
        <v>62</v>
      </c>
      <c r="N25" s="36"/>
      <c r="O25" s="36"/>
      <c r="P25" s="36"/>
      <c r="Q25" s="36"/>
      <c r="R25" s="36"/>
      <c r="S25" s="36"/>
      <c r="T25" s="36"/>
      <c r="U25" s="37"/>
      <c r="V25" s="38"/>
      <c r="W25" s="38"/>
      <c r="X25" s="38"/>
      <c r="Y25" s="38"/>
      <c r="Z25" s="38"/>
      <c r="AA25" s="33">
        <v>62</v>
      </c>
      <c r="AB25">
        <v>2003</v>
      </c>
      <c r="AC25">
        <v>4</v>
      </c>
    </row>
    <row r="26" spans="3:29" ht="13">
      <c r="C26" s="1" t="s">
        <v>349</v>
      </c>
      <c r="D26" s="1" t="s">
        <v>93</v>
      </c>
      <c r="E26" s="39">
        <v>5.5</v>
      </c>
      <c r="F26" s="39">
        <v>5.5</v>
      </c>
      <c r="G26" s="39">
        <v>5.6999998090000004</v>
      </c>
      <c r="H26" s="39">
        <v>6</v>
      </c>
      <c r="I26" s="39">
        <v>6.4000000950000002</v>
      </c>
      <c r="J26" s="39">
        <v>6.5999999049999998</v>
      </c>
      <c r="K26" s="39">
        <v>6.6999998090000004</v>
      </c>
      <c r="L26" s="39">
        <v>6.6999998090000004</v>
      </c>
      <c r="M26" s="39">
        <v>7</v>
      </c>
      <c r="N26" s="39">
        <v>7</v>
      </c>
      <c r="O26" s="39"/>
      <c r="P26" s="39"/>
      <c r="Q26" s="39"/>
      <c r="R26" s="39"/>
      <c r="S26" s="36"/>
      <c r="T26" s="36"/>
      <c r="U26" s="37"/>
      <c r="V26" s="38"/>
      <c r="W26" s="38"/>
      <c r="X26" s="38"/>
      <c r="Y26" s="38"/>
      <c r="Z26" s="38"/>
      <c r="AA26" s="33">
        <v>7</v>
      </c>
      <c r="AB26">
        <v>2004</v>
      </c>
      <c r="AC26">
        <v>10</v>
      </c>
    </row>
    <row r="27" spans="3:29" ht="13">
      <c r="C27" s="1" t="s">
        <v>277</v>
      </c>
      <c r="D27" s="1" t="s">
        <v>186</v>
      </c>
      <c r="E27" s="39">
        <v>52.299999239999998</v>
      </c>
      <c r="F27" s="39">
        <v>52.299999239999998</v>
      </c>
      <c r="G27" s="39">
        <v>52.299999239999998</v>
      </c>
      <c r="H27" s="39">
        <v>52.299999239999998</v>
      </c>
      <c r="I27" s="39">
        <v>52.299999239999998</v>
      </c>
      <c r="J27" s="39"/>
      <c r="K27" s="39"/>
      <c r="L27" s="39"/>
      <c r="M27" s="39"/>
      <c r="N27" s="39"/>
      <c r="O27" s="39">
        <v>52.299999239999998</v>
      </c>
      <c r="P27" s="39"/>
      <c r="Q27" s="39"/>
      <c r="R27" s="39"/>
      <c r="S27" s="36"/>
      <c r="T27" s="36"/>
      <c r="U27" s="37"/>
      <c r="V27" s="38"/>
      <c r="W27" s="38"/>
      <c r="X27" s="38"/>
      <c r="Y27" s="38"/>
      <c r="Z27" s="38"/>
      <c r="AA27" s="33">
        <v>52.299999239999998</v>
      </c>
      <c r="AB27">
        <v>2005</v>
      </c>
      <c r="AC27">
        <v>6</v>
      </c>
    </row>
    <row r="28" spans="3:29" ht="13">
      <c r="C28" s="1" t="s">
        <v>42</v>
      </c>
      <c r="D28" s="1" t="s">
        <v>167</v>
      </c>
      <c r="E28" s="39"/>
      <c r="F28" s="39"/>
      <c r="G28" s="39"/>
      <c r="H28" s="39"/>
      <c r="I28" s="39"/>
      <c r="J28" s="39"/>
      <c r="K28" s="39"/>
      <c r="L28" s="39">
        <v>35.299999239999998</v>
      </c>
      <c r="M28" s="39">
        <v>35.13999939</v>
      </c>
      <c r="N28" s="39">
        <v>33.200000760000002</v>
      </c>
      <c r="O28" s="39">
        <v>32.599998470000003</v>
      </c>
      <c r="P28" s="39"/>
      <c r="Q28" s="39"/>
      <c r="R28" s="39"/>
      <c r="S28" s="36"/>
      <c r="T28" s="36"/>
      <c r="U28" s="37"/>
      <c r="V28" s="38"/>
      <c r="W28" s="38"/>
      <c r="X28" s="38"/>
      <c r="Y28" s="38"/>
      <c r="Z28" s="38"/>
      <c r="AA28" s="33">
        <v>32.599998470000003</v>
      </c>
      <c r="AB28">
        <v>2005</v>
      </c>
      <c r="AC28">
        <v>4</v>
      </c>
    </row>
    <row r="29" spans="3:29" ht="13">
      <c r="C29" s="1" t="s">
        <v>400</v>
      </c>
      <c r="D29" s="1" t="s">
        <v>367</v>
      </c>
      <c r="E29" s="39">
        <v>8.8999996190000008</v>
      </c>
      <c r="F29" s="39">
        <v>9.3000001910000005</v>
      </c>
      <c r="G29" s="39">
        <v>9.1000003809999992</v>
      </c>
      <c r="H29" s="39">
        <v>9.6000003809999992</v>
      </c>
      <c r="I29" s="39">
        <v>5.5999999049999998</v>
      </c>
      <c r="J29" s="39">
        <v>5.5</v>
      </c>
      <c r="K29" s="39"/>
      <c r="L29" s="39"/>
      <c r="M29" s="39"/>
      <c r="N29" s="39"/>
      <c r="O29" s="39"/>
      <c r="P29" s="39"/>
      <c r="Q29" s="39"/>
      <c r="R29" s="39"/>
      <c r="S29" s="36"/>
      <c r="T29" s="36"/>
      <c r="U29" s="37"/>
      <c r="V29" s="38"/>
      <c r="W29" s="38"/>
      <c r="X29" s="38"/>
      <c r="Y29" s="38"/>
      <c r="Z29" s="38"/>
      <c r="AA29" s="33">
        <v>5.5</v>
      </c>
      <c r="AB29">
        <v>2000</v>
      </c>
      <c r="AC29">
        <v>6</v>
      </c>
    </row>
    <row r="30" spans="3:29" ht="13">
      <c r="C30" s="1" t="s">
        <v>395</v>
      </c>
      <c r="D30" s="1" t="s">
        <v>154</v>
      </c>
      <c r="E30" s="39">
        <v>34.599998470000003</v>
      </c>
      <c r="F30" s="39"/>
      <c r="G30" s="39">
        <v>34.700000760000002</v>
      </c>
      <c r="H30" s="39">
        <v>34.700000760000002</v>
      </c>
      <c r="I30" s="39">
        <v>34.700000760000002</v>
      </c>
      <c r="J30" s="39">
        <v>34.700000760000002</v>
      </c>
      <c r="K30" s="39"/>
      <c r="L30" s="39"/>
      <c r="M30" s="39"/>
      <c r="N30" s="39"/>
      <c r="O30" s="39">
        <v>77.230003359999998</v>
      </c>
      <c r="P30" s="39"/>
      <c r="Q30" s="39"/>
      <c r="R30" s="39"/>
      <c r="S30" s="36"/>
      <c r="T30" s="36"/>
      <c r="U30" s="37"/>
      <c r="V30" s="38"/>
      <c r="W30" s="38"/>
      <c r="X30" s="38"/>
      <c r="Y30" s="38"/>
      <c r="Z30" s="38"/>
      <c r="AA30" s="33">
        <v>77.230003359999998</v>
      </c>
      <c r="AB30">
        <v>2005</v>
      </c>
      <c r="AC30">
        <v>6</v>
      </c>
    </row>
    <row r="31" spans="3:29" ht="13">
      <c r="C31" s="1" t="s">
        <v>243</v>
      </c>
      <c r="D31" s="1" t="s">
        <v>121</v>
      </c>
      <c r="E31" s="39">
        <v>92</v>
      </c>
      <c r="F31" s="39">
        <v>92</v>
      </c>
      <c r="G31" s="39">
        <v>92</v>
      </c>
      <c r="H31" s="39">
        <v>92.099998470000003</v>
      </c>
      <c r="I31" s="39"/>
      <c r="J31" s="39"/>
      <c r="K31" s="39"/>
      <c r="L31" s="39"/>
      <c r="M31" s="39"/>
      <c r="N31" s="39"/>
      <c r="O31" s="39">
        <v>98.400001529999997</v>
      </c>
      <c r="P31" s="39"/>
      <c r="Q31" s="39"/>
      <c r="R31" s="39"/>
      <c r="S31" s="36"/>
      <c r="T31" s="36"/>
      <c r="U31" s="37"/>
      <c r="V31" s="38"/>
      <c r="W31" s="38"/>
      <c r="X31" s="38"/>
      <c r="Y31" s="38"/>
      <c r="Z31" s="38"/>
      <c r="AA31" s="33">
        <v>98.400001529999997</v>
      </c>
      <c r="AB31">
        <v>2005</v>
      </c>
      <c r="AC31">
        <v>5</v>
      </c>
    </row>
    <row r="32" spans="3:29" ht="13">
      <c r="C32" s="1" t="s">
        <v>214</v>
      </c>
      <c r="D32" s="1" t="s">
        <v>209</v>
      </c>
      <c r="E32" s="32">
        <v>16</v>
      </c>
      <c r="F32" s="32">
        <v>16</v>
      </c>
      <c r="G32" s="32">
        <v>16</v>
      </c>
      <c r="H32" s="32">
        <v>16</v>
      </c>
      <c r="I32" s="32">
        <v>16</v>
      </c>
      <c r="J32" s="36"/>
      <c r="K32" s="36"/>
      <c r="L32" s="36"/>
      <c r="M32" s="36"/>
      <c r="N32" s="32">
        <v>4.170000076</v>
      </c>
      <c r="O32" s="36"/>
      <c r="P32" s="36"/>
      <c r="Q32" s="36"/>
      <c r="R32" s="36"/>
      <c r="S32" s="36"/>
      <c r="T32" s="36"/>
      <c r="U32" s="37"/>
      <c r="V32" s="38"/>
      <c r="W32" s="38"/>
      <c r="X32" s="38"/>
      <c r="Y32" s="38"/>
      <c r="Z32" s="38"/>
      <c r="AA32" s="33">
        <v>4.170000076</v>
      </c>
      <c r="AB32">
        <v>2004</v>
      </c>
      <c r="AC32">
        <v>6</v>
      </c>
    </row>
    <row r="33" spans="3:29" ht="13">
      <c r="C33" s="1" t="s">
        <v>202</v>
      </c>
      <c r="D33" s="1" t="s">
        <v>189</v>
      </c>
      <c r="E33" s="36"/>
      <c r="F33" s="36"/>
      <c r="G33" s="36"/>
      <c r="H33" s="36"/>
      <c r="I33" s="32">
        <v>7.0999999049999998</v>
      </c>
      <c r="J33" s="32">
        <v>7.0999999049999998</v>
      </c>
      <c r="K33" s="36"/>
      <c r="L33" s="36"/>
      <c r="M33" s="36"/>
      <c r="N33" s="32">
        <v>10.43999958</v>
      </c>
      <c r="O33" s="36"/>
      <c r="P33" s="36"/>
      <c r="Q33" s="36"/>
      <c r="R33" s="36"/>
      <c r="S33" s="36"/>
      <c r="T33" s="36"/>
      <c r="U33" s="37"/>
      <c r="V33" s="38"/>
      <c r="W33" s="38"/>
      <c r="X33" s="38"/>
      <c r="Y33" s="38"/>
      <c r="Z33" s="38"/>
      <c r="AA33" s="33">
        <v>10.43999958</v>
      </c>
      <c r="AB33">
        <v>2004</v>
      </c>
      <c r="AC33">
        <v>3</v>
      </c>
    </row>
    <row r="34" spans="3:29" ht="13">
      <c r="C34" s="1" t="s">
        <v>272</v>
      </c>
      <c r="D34" s="1" t="s">
        <v>273</v>
      </c>
      <c r="E34" s="39">
        <v>7.5</v>
      </c>
      <c r="F34" s="39">
        <v>7.5</v>
      </c>
      <c r="G34" s="39">
        <v>7.5</v>
      </c>
      <c r="H34" s="39"/>
      <c r="I34" s="39"/>
      <c r="J34" s="39"/>
      <c r="K34" s="39"/>
      <c r="L34" s="39"/>
      <c r="M34" s="39"/>
      <c r="N34" s="39">
        <v>6.2899999619999996</v>
      </c>
      <c r="O34" s="39"/>
      <c r="P34" s="39"/>
      <c r="Q34" s="39"/>
      <c r="R34" s="39"/>
      <c r="S34" s="36"/>
      <c r="T34" s="36"/>
      <c r="U34" s="37"/>
      <c r="V34" s="38"/>
      <c r="W34" s="38"/>
      <c r="X34" s="38"/>
      <c r="Y34" s="38"/>
      <c r="Z34" s="38"/>
      <c r="AA34" s="33">
        <v>6.2899999619999996</v>
      </c>
      <c r="AB34">
        <v>2004</v>
      </c>
      <c r="AC34">
        <v>4</v>
      </c>
    </row>
    <row r="35" spans="3:29" ht="13">
      <c r="C35" s="1" t="s">
        <v>327</v>
      </c>
      <c r="D35" s="1" t="s">
        <v>244</v>
      </c>
      <c r="E35" s="39">
        <v>12.5</v>
      </c>
      <c r="F35" s="39">
        <v>12.5</v>
      </c>
      <c r="G35" s="39">
        <v>12.5</v>
      </c>
      <c r="H35" s="39">
        <v>12.5</v>
      </c>
      <c r="I35" s="39">
        <v>12.5</v>
      </c>
      <c r="J35" s="39">
        <v>8.1000003809999992</v>
      </c>
      <c r="K35" s="39"/>
      <c r="L35" s="39"/>
      <c r="M35" s="39"/>
      <c r="N35" s="39">
        <v>8.3699998860000004</v>
      </c>
      <c r="O35" s="39"/>
      <c r="P35" s="39"/>
      <c r="Q35" s="39"/>
      <c r="R35" s="39"/>
      <c r="S35" s="36"/>
      <c r="T35" s="36"/>
      <c r="U35" s="37"/>
      <c r="V35" s="38"/>
      <c r="W35" s="38"/>
      <c r="X35" s="38"/>
      <c r="Y35" s="38"/>
      <c r="Z35" s="38"/>
      <c r="AA35" s="33">
        <v>8.3699998860000004</v>
      </c>
      <c r="AB35">
        <v>2004</v>
      </c>
      <c r="AC35">
        <v>7</v>
      </c>
    </row>
    <row r="36" spans="3:29" ht="13">
      <c r="C36" s="1" t="s">
        <v>138</v>
      </c>
      <c r="D36" s="1" t="s">
        <v>193</v>
      </c>
      <c r="E36" s="39">
        <v>35.299999239999998</v>
      </c>
      <c r="F36" s="39"/>
      <c r="G36" s="39"/>
      <c r="H36" s="39"/>
      <c r="I36" s="39"/>
      <c r="J36" s="39"/>
      <c r="K36" s="39"/>
      <c r="L36" s="39"/>
      <c r="M36" s="39"/>
      <c r="N36" s="39">
        <v>39.869998930000001</v>
      </c>
      <c r="O36" s="39"/>
      <c r="P36" s="39"/>
      <c r="Q36" s="39"/>
      <c r="R36" s="39"/>
      <c r="S36" s="39"/>
      <c r="T36" s="36"/>
      <c r="U36" s="37"/>
      <c r="V36" s="38"/>
      <c r="W36" s="38"/>
      <c r="X36" s="38"/>
      <c r="Y36" s="38"/>
      <c r="Z36" s="38"/>
      <c r="AA36" s="33">
        <v>39.869998930000001</v>
      </c>
      <c r="AB36">
        <v>2004</v>
      </c>
      <c r="AC36">
        <v>2</v>
      </c>
    </row>
    <row r="37" spans="3:29" ht="13">
      <c r="C37" s="1" t="s">
        <v>380</v>
      </c>
      <c r="D37" s="1" t="s">
        <v>182</v>
      </c>
      <c r="E37" s="32">
        <v>78</v>
      </c>
      <c r="F37" s="32">
        <v>78</v>
      </c>
      <c r="G37" s="32">
        <v>78</v>
      </c>
      <c r="H37" s="32">
        <v>78</v>
      </c>
      <c r="I37" s="32">
        <v>78</v>
      </c>
      <c r="J37" s="32">
        <v>69.040000919999997</v>
      </c>
      <c r="K37" s="32">
        <v>69.040000919999997</v>
      </c>
      <c r="L37" s="36"/>
      <c r="M37" s="36"/>
      <c r="N37" s="36"/>
      <c r="O37" s="36"/>
      <c r="P37" s="36"/>
      <c r="Q37" s="36"/>
      <c r="R37" s="36"/>
      <c r="S37" s="36"/>
      <c r="T37" s="36"/>
      <c r="U37" s="37"/>
      <c r="V37" s="38"/>
      <c r="W37" s="38"/>
      <c r="X37" s="38"/>
      <c r="Y37" s="38"/>
      <c r="Z37" s="38"/>
      <c r="AA37" s="33">
        <v>69.040000919999997</v>
      </c>
      <c r="AB37">
        <v>2001</v>
      </c>
      <c r="AC37">
        <v>7</v>
      </c>
    </row>
    <row r="38" spans="3:29" ht="13">
      <c r="C38" s="1" t="s">
        <v>127</v>
      </c>
      <c r="D38" s="1" t="s">
        <v>23</v>
      </c>
      <c r="E38" s="32">
        <v>2.0999999049999998</v>
      </c>
      <c r="F38" s="32">
        <v>2.0999999049999998</v>
      </c>
      <c r="G38" s="32">
        <v>2.4000000950000002</v>
      </c>
      <c r="H38" s="32">
        <v>2.7000000480000002</v>
      </c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7"/>
      <c r="V38" s="38"/>
      <c r="W38" s="38"/>
      <c r="X38" s="38"/>
      <c r="Y38" s="38"/>
      <c r="Z38" s="38"/>
      <c r="AA38" s="33">
        <v>2.7000000480000002</v>
      </c>
      <c r="AB38">
        <v>1998</v>
      </c>
      <c r="AC38">
        <v>4</v>
      </c>
    </row>
    <row r="39" spans="3:29" ht="13">
      <c r="C39" s="1" t="s">
        <v>82</v>
      </c>
      <c r="D39" s="1" t="s">
        <v>88</v>
      </c>
      <c r="E39" s="32">
        <v>0.80000001200000004</v>
      </c>
      <c r="F39" s="32">
        <v>0.80000001200000004</v>
      </c>
      <c r="G39" s="32">
        <v>0.80000001200000004</v>
      </c>
      <c r="H39" s="32">
        <v>0.80000001200000004</v>
      </c>
      <c r="I39" s="32">
        <v>0.80000001200000004</v>
      </c>
      <c r="J39" s="32">
        <v>0.80000001200000004</v>
      </c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7"/>
      <c r="V39" s="38"/>
      <c r="W39" s="38"/>
      <c r="X39" s="38"/>
      <c r="Y39" s="38"/>
      <c r="Z39" s="38"/>
      <c r="AA39" s="33">
        <v>0.80000001200000004</v>
      </c>
      <c r="AB39">
        <v>2000</v>
      </c>
      <c r="AC39">
        <v>6</v>
      </c>
    </row>
    <row r="40" spans="3:29" ht="13">
      <c r="C40" s="1" t="s">
        <v>260</v>
      </c>
      <c r="D40" s="1" t="s">
        <v>281</v>
      </c>
      <c r="E40" s="39">
        <v>15.899999619999999</v>
      </c>
      <c r="F40" s="39">
        <v>16.700000760000002</v>
      </c>
      <c r="G40" s="39">
        <v>17.200000760000002</v>
      </c>
      <c r="H40" s="39">
        <v>18.299999239999998</v>
      </c>
      <c r="I40" s="39">
        <v>18.899999619999999</v>
      </c>
      <c r="J40" s="39">
        <v>18.399999619999999</v>
      </c>
      <c r="K40" s="39">
        <v>20.200000760000002</v>
      </c>
      <c r="L40" s="39"/>
      <c r="M40" s="39"/>
      <c r="N40" s="39"/>
      <c r="O40" s="39"/>
      <c r="P40" s="39"/>
      <c r="Q40" s="39"/>
      <c r="R40" s="39"/>
      <c r="S40" s="36"/>
      <c r="T40" s="36"/>
      <c r="U40" s="37"/>
      <c r="V40" s="38"/>
      <c r="W40" s="38"/>
      <c r="X40" s="38"/>
      <c r="Y40" s="38"/>
      <c r="Z40" s="38"/>
      <c r="AA40" s="33">
        <v>20.200000760000002</v>
      </c>
      <c r="AB40">
        <v>2001</v>
      </c>
      <c r="AC40">
        <v>7</v>
      </c>
    </row>
    <row r="41" spans="3:29" ht="13">
      <c r="C41" s="1" t="s">
        <v>261</v>
      </c>
      <c r="D41" s="1" t="s">
        <v>265</v>
      </c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>
        <v>40.799999239999998</v>
      </c>
      <c r="P41" s="39">
        <v>44.099998470000003</v>
      </c>
      <c r="Q41" s="39">
        <v>49.6</v>
      </c>
      <c r="R41" s="39">
        <v>53.5</v>
      </c>
      <c r="S41" s="36"/>
      <c r="T41" s="36"/>
      <c r="U41" s="37"/>
      <c r="V41" s="38"/>
      <c r="W41" s="38"/>
      <c r="X41" s="38"/>
      <c r="Y41" s="38"/>
      <c r="Z41" s="38"/>
      <c r="AA41" s="33">
        <v>53.5</v>
      </c>
      <c r="AB41">
        <v>2008</v>
      </c>
      <c r="AC41">
        <v>4</v>
      </c>
    </row>
    <row r="42" spans="3:29" ht="13">
      <c r="C42" s="1" t="s">
        <v>297</v>
      </c>
      <c r="D42" s="1" t="s">
        <v>315</v>
      </c>
      <c r="E42" s="39">
        <v>9.1999998089999995</v>
      </c>
      <c r="F42" s="39">
        <v>11.899999619999999</v>
      </c>
      <c r="G42" s="39">
        <v>12</v>
      </c>
      <c r="H42" s="39">
        <v>14.30000019</v>
      </c>
      <c r="I42" s="39">
        <v>14.399999619999999</v>
      </c>
      <c r="J42" s="39"/>
      <c r="K42" s="39"/>
      <c r="L42" s="39"/>
      <c r="M42" s="39"/>
      <c r="N42" s="39"/>
      <c r="O42" s="39"/>
      <c r="P42" s="39"/>
      <c r="Q42" s="39"/>
      <c r="R42" s="39"/>
      <c r="S42" s="36"/>
      <c r="T42" s="36"/>
      <c r="U42" s="37"/>
      <c r="V42" s="38"/>
      <c r="W42" s="38"/>
      <c r="X42" s="38"/>
      <c r="Y42" s="38"/>
      <c r="Z42" s="38"/>
      <c r="AA42" s="33">
        <v>14.399999619999999</v>
      </c>
      <c r="AB42">
        <v>1999</v>
      </c>
      <c r="AC42">
        <v>5</v>
      </c>
    </row>
    <row r="43" spans="3:29" ht="13">
      <c r="C43" s="1" t="s">
        <v>296</v>
      </c>
      <c r="D43" s="1" t="s">
        <v>95</v>
      </c>
      <c r="E43" s="32">
        <v>76.5</v>
      </c>
      <c r="F43" s="36"/>
      <c r="G43" s="36"/>
      <c r="H43" s="32">
        <v>76.5</v>
      </c>
      <c r="I43" s="32">
        <v>76.5</v>
      </c>
      <c r="J43" s="32">
        <v>76.5</v>
      </c>
      <c r="K43" s="32">
        <v>76.5</v>
      </c>
      <c r="L43" s="36"/>
      <c r="M43" s="36"/>
      <c r="N43" s="36"/>
      <c r="O43" s="36"/>
      <c r="P43" s="36"/>
      <c r="Q43" s="36"/>
      <c r="R43" s="36"/>
      <c r="S43" s="36"/>
      <c r="T43" s="36"/>
      <c r="U43" s="37"/>
      <c r="V43" s="38"/>
      <c r="W43" s="38"/>
      <c r="X43" s="38"/>
      <c r="Y43" s="38"/>
      <c r="Z43" s="38"/>
      <c r="AA43" s="33">
        <v>76.5</v>
      </c>
      <c r="AB43">
        <v>2001</v>
      </c>
      <c r="AC43">
        <v>5</v>
      </c>
    </row>
    <row r="44" spans="3:29" ht="13">
      <c r="C44" s="1" t="s">
        <v>285</v>
      </c>
      <c r="D44" s="1" t="s">
        <v>68</v>
      </c>
      <c r="E44" s="39">
        <v>9.6999998089999995</v>
      </c>
      <c r="F44" s="39">
        <v>9.6999998089999995</v>
      </c>
      <c r="G44" s="39">
        <v>9.6999998089999995</v>
      </c>
      <c r="H44" s="39">
        <v>9.6999998089999995</v>
      </c>
      <c r="I44" s="39">
        <v>9.6999998089999995</v>
      </c>
      <c r="J44" s="39">
        <v>9.6999998089999995</v>
      </c>
      <c r="K44" s="39"/>
      <c r="L44" s="39"/>
      <c r="M44" s="39"/>
      <c r="N44" s="39">
        <v>5</v>
      </c>
      <c r="O44" s="39"/>
      <c r="P44" s="39">
        <v>7.1294117650000004</v>
      </c>
      <c r="Q44" s="39"/>
      <c r="R44" s="39"/>
      <c r="S44" s="36"/>
      <c r="T44" s="36"/>
      <c r="U44" s="37"/>
      <c r="V44" s="38"/>
      <c r="W44" s="38"/>
      <c r="X44" s="38"/>
      <c r="Y44" s="38"/>
      <c r="Z44" s="38"/>
      <c r="AA44" s="33">
        <v>7.1294117650000004</v>
      </c>
      <c r="AB44">
        <v>2006</v>
      </c>
      <c r="AC44">
        <v>8</v>
      </c>
    </row>
    <row r="45" spans="3:29" ht="13">
      <c r="C45" s="1" t="s">
        <v>286</v>
      </c>
      <c r="D45" s="1" t="s">
        <v>24</v>
      </c>
      <c r="E45" s="39"/>
      <c r="F45" s="39"/>
      <c r="G45" s="39"/>
      <c r="H45" s="39"/>
      <c r="I45" s="39"/>
      <c r="J45" s="39"/>
      <c r="K45" s="39"/>
      <c r="L45" s="39"/>
      <c r="M45" s="39"/>
      <c r="N45" s="39">
        <v>1.8200000519999999</v>
      </c>
      <c r="O45" s="39"/>
      <c r="P45" s="39"/>
      <c r="Q45" s="39"/>
      <c r="R45" s="39"/>
      <c r="S45" s="36"/>
      <c r="T45" s="36"/>
      <c r="U45" s="37"/>
      <c r="V45" s="38"/>
      <c r="W45" s="38"/>
      <c r="X45" s="38"/>
      <c r="Y45" s="38"/>
      <c r="Z45" s="38"/>
      <c r="AA45" s="33">
        <v>1.8200000519999999</v>
      </c>
      <c r="AB45">
        <v>2004</v>
      </c>
      <c r="AC45">
        <v>1</v>
      </c>
    </row>
    <row r="46" spans="3:29" ht="13">
      <c r="C46" s="1" t="s">
        <v>399</v>
      </c>
      <c r="D46" s="1" t="s">
        <v>128</v>
      </c>
      <c r="E46" s="39">
        <v>16.700000760000002</v>
      </c>
      <c r="F46" s="39">
        <v>17</v>
      </c>
      <c r="G46" s="39">
        <v>17</v>
      </c>
      <c r="H46" s="39">
        <v>21</v>
      </c>
      <c r="I46" s="39">
        <v>22</v>
      </c>
      <c r="J46" s="39">
        <v>22</v>
      </c>
      <c r="K46" s="39">
        <v>22</v>
      </c>
      <c r="L46" s="39">
        <v>22</v>
      </c>
      <c r="M46" s="39">
        <v>24.600000380000001</v>
      </c>
      <c r="N46" s="39">
        <v>24.399999619999999</v>
      </c>
      <c r="O46" s="39"/>
      <c r="P46" s="39">
        <v>25.200000760000002</v>
      </c>
      <c r="Q46" s="39">
        <v>25.53336607</v>
      </c>
      <c r="R46" s="39">
        <v>25.28</v>
      </c>
      <c r="S46" s="36"/>
      <c r="T46" s="36"/>
      <c r="U46" s="37"/>
      <c r="V46" s="38"/>
      <c r="W46" s="38"/>
      <c r="X46" s="38"/>
      <c r="Y46" s="38"/>
      <c r="Z46" s="38"/>
      <c r="AA46" s="33">
        <v>25.28</v>
      </c>
      <c r="AB46">
        <v>2008</v>
      </c>
      <c r="AC46">
        <v>13</v>
      </c>
    </row>
    <row r="47" spans="3:29" ht="13">
      <c r="C47" s="1" t="s">
        <v>267</v>
      </c>
      <c r="D47" s="1" t="s">
        <v>18</v>
      </c>
      <c r="E47" s="39">
        <v>9.6000003809999992</v>
      </c>
      <c r="F47" s="39">
        <v>9.6999998089999995</v>
      </c>
      <c r="G47" s="39">
        <v>9.6999998089999995</v>
      </c>
      <c r="H47" s="39">
        <v>9.6999998089999995</v>
      </c>
      <c r="I47" s="39">
        <v>9.6999998089999995</v>
      </c>
      <c r="J47" s="39">
        <v>9.6999998089999995</v>
      </c>
      <c r="K47" s="39"/>
      <c r="L47" s="39"/>
      <c r="M47" s="39"/>
      <c r="N47" s="39">
        <v>8.1199998860000004</v>
      </c>
      <c r="O47" s="39"/>
      <c r="P47" s="39"/>
      <c r="Q47" s="39">
        <v>7.9296551050000001</v>
      </c>
      <c r="R47" s="39"/>
      <c r="S47" s="36"/>
      <c r="T47" s="36"/>
      <c r="U47" s="37"/>
      <c r="V47" s="38"/>
      <c r="W47" s="38"/>
      <c r="X47" s="38"/>
      <c r="Y47" s="38"/>
      <c r="Z47" s="38"/>
      <c r="AA47" s="33">
        <v>7.9296551050000001</v>
      </c>
      <c r="AB47">
        <v>2007</v>
      </c>
      <c r="AC47">
        <v>8</v>
      </c>
    </row>
    <row r="48" spans="3:29" ht="13">
      <c r="C48" s="1" t="s">
        <v>291</v>
      </c>
      <c r="D48" s="1" t="s">
        <v>46</v>
      </c>
      <c r="E48" s="39"/>
      <c r="F48" s="39">
        <v>81.5</v>
      </c>
      <c r="G48" s="39">
        <v>81.5</v>
      </c>
      <c r="H48" s="39">
        <v>84.400001529999997</v>
      </c>
      <c r="I48" s="39">
        <v>84.599998470000003</v>
      </c>
      <c r="J48" s="39">
        <v>85.4</v>
      </c>
      <c r="K48" s="39">
        <v>84.927745360000003</v>
      </c>
      <c r="L48" s="39"/>
      <c r="M48" s="39"/>
      <c r="N48" s="39"/>
      <c r="O48" s="39"/>
      <c r="P48" s="39"/>
      <c r="Q48" s="39">
        <v>89.131482879999993</v>
      </c>
      <c r="R48" s="39">
        <v>86.88</v>
      </c>
      <c r="S48" s="36"/>
      <c r="T48" s="36"/>
      <c r="U48" s="37"/>
      <c r="V48" s="38"/>
      <c r="W48" s="38"/>
      <c r="X48" s="38"/>
      <c r="Y48" s="38"/>
      <c r="Z48" s="38"/>
      <c r="AA48" s="33">
        <v>86.88</v>
      </c>
      <c r="AB48">
        <v>2008</v>
      </c>
      <c r="AC48">
        <v>8</v>
      </c>
    </row>
    <row r="49" spans="3:29" ht="13">
      <c r="C49" s="1" t="s">
        <v>25</v>
      </c>
      <c r="D49" s="1" t="s">
        <v>126</v>
      </c>
      <c r="E49" s="39">
        <v>55.799999239999998</v>
      </c>
      <c r="F49" s="39">
        <v>55.900001529999997</v>
      </c>
      <c r="G49" s="39">
        <v>49</v>
      </c>
      <c r="H49" s="39">
        <v>49</v>
      </c>
      <c r="I49" s="39">
        <v>49</v>
      </c>
      <c r="J49" s="39">
        <v>49</v>
      </c>
      <c r="K49" s="39">
        <v>49</v>
      </c>
      <c r="L49" s="39"/>
      <c r="M49" s="39"/>
      <c r="N49" s="39"/>
      <c r="O49" s="39"/>
      <c r="P49" s="39"/>
      <c r="Q49" s="39"/>
      <c r="R49" s="39"/>
      <c r="S49" s="36"/>
      <c r="T49" s="36"/>
      <c r="U49" s="37"/>
      <c r="V49" s="38"/>
      <c r="W49" s="38"/>
      <c r="X49" s="38"/>
      <c r="Y49" s="38"/>
      <c r="Z49" s="38"/>
      <c r="AA49" s="33">
        <v>49</v>
      </c>
      <c r="AB49">
        <v>2001</v>
      </c>
      <c r="AC49">
        <v>7</v>
      </c>
    </row>
    <row r="50" spans="3:29" ht="13">
      <c r="C50" s="1" t="s">
        <v>62</v>
      </c>
      <c r="D50" s="1" t="s">
        <v>39</v>
      </c>
      <c r="E50" s="39">
        <v>57</v>
      </c>
      <c r="F50" s="39">
        <v>57.200000760000002</v>
      </c>
      <c r="G50" s="39">
        <v>57.299999239999998</v>
      </c>
      <c r="H50" s="39">
        <v>59.200000760000002</v>
      </c>
      <c r="I50" s="39">
        <v>59.599998470000003</v>
      </c>
      <c r="J50" s="39">
        <v>60.599998470000003</v>
      </c>
      <c r="K50" s="39">
        <v>61.200000760000002</v>
      </c>
      <c r="L50" s="39">
        <v>62.200000760000002</v>
      </c>
      <c r="M50" s="39">
        <v>62.950000760000002</v>
      </c>
      <c r="N50" s="39">
        <v>63</v>
      </c>
      <c r="O50" s="39">
        <v>64.589996339999999</v>
      </c>
      <c r="P50" s="39">
        <v>65.050003050000001</v>
      </c>
      <c r="Q50" s="39">
        <v>64.037236649999997</v>
      </c>
      <c r="R50" s="39">
        <v>64.61</v>
      </c>
      <c r="S50" s="36"/>
      <c r="T50" s="36"/>
      <c r="U50" s="37"/>
      <c r="V50" s="38"/>
      <c r="W50" s="38"/>
      <c r="X50" s="38"/>
      <c r="Y50" s="38"/>
      <c r="Z50" s="38"/>
      <c r="AA50" s="33">
        <v>64.61</v>
      </c>
      <c r="AB50">
        <v>2008</v>
      </c>
      <c r="AC50">
        <v>14</v>
      </c>
    </row>
    <row r="51" spans="3:29" ht="13">
      <c r="C51" s="1" t="s">
        <v>54</v>
      </c>
      <c r="D51" s="1" t="s">
        <v>303</v>
      </c>
      <c r="E51" s="39">
        <v>100</v>
      </c>
      <c r="F51" s="39">
        <v>100</v>
      </c>
      <c r="G51" s="39"/>
      <c r="H51" s="39">
        <v>100</v>
      </c>
      <c r="I51" s="39">
        <v>100</v>
      </c>
      <c r="J51" s="39">
        <v>100</v>
      </c>
      <c r="K51" s="39">
        <v>100</v>
      </c>
      <c r="L51" s="39">
        <v>100</v>
      </c>
      <c r="M51" s="39">
        <v>100</v>
      </c>
      <c r="N51" s="39">
        <v>100</v>
      </c>
      <c r="O51" s="39"/>
      <c r="P51" s="39"/>
      <c r="Q51" s="39"/>
      <c r="R51" s="39"/>
      <c r="S51" s="39"/>
      <c r="T51" s="36"/>
      <c r="U51" s="37"/>
      <c r="V51" s="38"/>
      <c r="W51" s="38"/>
      <c r="X51" s="38"/>
      <c r="Y51" s="38"/>
      <c r="Z51" s="38"/>
      <c r="AA51" s="33">
        <v>100</v>
      </c>
      <c r="AB51">
        <v>2004</v>
      </c>
      <c r="AC51">
        <v>9</v>
      </c>
    </row>
    <row r="52" spans="3:29" ht="13">
      <c r="C52" s="1" t="s">
        <v>347</v>
      </c>
      <c r="D52" s="1" t="s">
        <v>234</v>
      </c>
      <c r="E52" s="39">
        <v>100</v>
      </c>
      <c r="F52" s="39">
        <v>100</v>
      </c>
      <c r="G52" s="39">
        <v>100</v>
      </c>
      <c r="H52" s="39">
        <v>100</v>
      </c>
      <c r="I52" s="39">
        <v>100</v>
      </c>
      <c r="J52" s="39">
        <v>100</v>
      </c>
      <c r="K52" s="39">
        <v>100</v>
      </c>
      <c r="L52" s="39">
        <v>100</v>
      </c>
      <c r="M52" s="39">
        <v>100</v>
      </c>
      <c r="N52" s="39">
        <v>100</v>
      </c>
      <c r="O52" s="39">
        <v>100</v>
      </c>
      <c r="P52" s="39">
        <v>100</v>
      </c>
      <c r="Q52" s="39">
        <v>100</v>
      </c>
      <c r="R52" s="39">
        <v>100</v>
      </c>
      <c r="S52" s="39"/>
      <c r="T52" s="36"/>
      <c r="U52" s="37"/>
      <c r="V52" s="38"/>
      <c r="W52" s="38"/>
      <c r="X52" s="38"/>
      <c r="Y52" s="38"/>
      <c r="Z52" s="38"/>
      <c r="AA52" s="33">
        <v>100</v>
      </c>
      <c r="AB52">
        <v>2008</v>
      </c>
      <c r="AC52">
        <v>14</v>
      </c>
    </row>
    <row r="53" spans="3:29" ht="13">
      <c r="C53" s="1" t="s">
        <v>176</v>
      </c>
      <c r="D53" s="1" t="s">
        <v>184</v>
      </c>
      <c r="E53" s="36"/>
      <c r="F53" s="36"/>
      <c r="G53" s="36"/>
      <c r="H53" s="36"/>
      <c r="I53" s="36"/>
      <c r="J53" s="32">
        <v>45</v>
      </c>
      <c r="K53" s="32">
        <v>45</v>
      </c>
      <c r="L53" s="36"/>
      <c r="M53" s="36"/>
      <c r="N53" s="36"/>
      <c r="O53" s="36"/>
      <c r="P53" s="36"/>
      <c r="Q53" s="36"/>
      <c r="R53" s="36"/>
      <c r="S53" s="36"/>
      <c r="T53" s="36"/>
      <c r="U53" s="37"/>
      <c r="V53" s="38"/>
      <c r="W53" s="38"/>
      <c r="X53" s="38"/>
      <c r="Y53" s="38"/>
      <c r="Z53" s="38"/>
      <c r="AA53" s="33">
        <v>45</v>
      </c>
      <c r="AB53">
        <v>2001</v>
      </c>
      <c r="AC53">
        <v>2</v>
      </c>
    </row>
    <row r="54" spans="3:29" ht="13">
      <c r="C54" s="1" t="s">
        <v>203</v>
      </c>
      <c r="D54" s="1" t="s">
        <v>262</v>
      </c>
      <c r="E54" s="32">
        <v>50.299999239999998</v>
      </c>
      <c r="F54" s="32">
        <v>50.400001529999997</v>
      </c>
      <c r="G54" s="32">
        <v>50.400001529999997</v>
      </c>
      <c r="H54" s="32">
        <v>50.400001529999997</v>
      </c>
      <c r="I54" s="32">
        <v>50.400001529999997</v>
      </c>
      <c r="J54" s="32">
        <v>50.400001529999997</v>
      </c>
      <c r="K54" s="32">
        <v>50.400001529999997</v>
      </c>
      <c r="L54" s="36"/>
      <c r="M54" s="36"/>
      <c r="N54" s="36"/>
      <c r="O54" s="36"/>
      <c r="P54" s="36"/>
      <c r="Q54" s="36"/>
      <c r="R54" s="36"/>
      <c r="S54" s="36"/>
      <c r="T54" s="36"/>
      <c r="U54" s="37"/>
      <c r="V54" s="38"/>
      <c r="W54" s="38"/>
      <c r="X54" s="38"/>
      <c r="Y54" s="38"/>
      <c r="Z54" s="38"/>
      <c r="AA54" s="33">
        <v>50.400001529999997</v>
      </c>
      <c r="AB54">
        <v>2001</v>
      </c>
      <c r="AC54">
        <v>7</v>
      </c>
    </row>
    <row r="55" spans="3:29" ht="13">
      <c r="C55" s="1" t="s">
        <v>365</v>
      </c>
      <c r="D55" s="1" t="s">
        <v>67</v>
      </c>
      <c r="E55" s="39">
        <v>49.299999239999998</v>
      </c>
      <c r="F55" s="39">
        <v>49.400001529999997</v>
      </c>
      <c r="G55" s="39"/>
      <c r="H55" s="39"/>
      <c r="I55" s="39">
        <v>49.400001529999997</v>
      </c>
      <c r="J55" s="39">
        <v>49.400001529999997</v>
      </c>
      <c r="K55" s="39">
        <v>49.400001529999997</v>
      </c>
      <c r="L55" s="39"/>
      <c r="M55" s="39"/>
      <c r="N55" s="39"/>
      <c r="O55" s="39"/>
      <c r="P55" s="39"/>
      <c r="Q55" s="39"/>
      <c r="R55" s="39"/>
      <c r="S55" s="36"/>
      <c r="T55" s="36"/>
      <c r="U55" s="37"/>
      <c r="V55" s="38"/>
      <c r="W55" s="38"/>
      <c r="X55" s="38"/>
      <c r="Y55" s="38"/>
      <c r="Z55" s="38"/>
      <c r="AA55" s="33">
        <v>49.400001529999997</v>
      </c>
      <c r="AB55">
        <v>2001</v>
      </c>
      <c r="AC55">
        <v>5</v>
      </c>
    </row>
    <row r="56" spans="3:29" ht="13">
      <c r="C56" s="1" t="s">
        <v>152</v>
      </c>
      <c r="D56" s="1" t="s">
        <v>75</v>
      </c>
      <c r="E56" s="39">
        <v>12.69999981</v>
      </c>
      <c r="F56" s="39">
        <v>13.30000019</v>
      </c>
      <c r="G56" s="39">
        <v>18.899999619999999</v>
      </c>
      <c r="H56" s="39">
        <v>18.899999619999999</v>
      </c>
      <c r="I56" s="39">
        <v>18.899999619999999</v>
      </c>
      <c r="J56" s="39">
        <v>18.899999619999999</v>
      </c>
      <c r="K56" s="39">
        <v>16.870000839999999</v>
      </c>
      <c r="L56" s="39">
        <v>16.870000839999999</v>
      </c>
      <c r="M56" s="39">
        <v>14.93999958</v>
      </c>
      <c r="N56" s="39">
        <v>14.97000027</v>
      </c>
      <c r="O56" s="39"/>
      <c r="P56" s="39">
        <v>14.81566334</v>
      </c>
      <c r="Q56" s="39">
        <v>14.81566293</v>
      </c>
      <c r="R56" s="39"/>
      <c r="S56" s="36"/>
      <c r="T56" s="36"/>
      <c r="U56" s="37"/>
      <c r="V56" s="38"/>
      <c r="W56" s="38"/>
      <c r="X56" s="38"/>
      <c r="Y56" s="38"/>
      <c r="Z56" s="38"/>
      <c r="AA56" s="33">
        <v>14.81566293</v>
      </c>
      <c r="AB56">
        <v>2007</v>
      </c>
      <c r="AC56">
        <v>12</v>
      </c>
    </row>
    <row r="57" spans="3:29" ht="13">
      <c r="C57" s="1" t="s">
        <v>105</v>
      </c>
      <c r="D57" s="1" t="s">
        <v>216</v>
      </c>
      <c r="E57" s="39">
        <v>78</v>
      </c>
      <c r="F57" s="39">
        <v>78.099998470000003</v>
      </c>
      <c r="G57" s="39">
        <v>78.099998470000003</v>
      </c>
      <c r="H57" s="39">
        <v>78.099998470000003</v>
      </c>
      <c r="I57" s="39">
        <v>78.099998470000003</v>
      </c>
      <c r="J57" s="39">
        <v>78.099998470000003</v>
      </c>
      <c r="K57" s="39"/>
      <c r="L57" s="39"/>
      <c r="M57" s="39"/>
      <c r="N57" s="39">
        <v>81</v>
      </c>
      <c r="O57" s="39"/>
      <c r="P57" s="39"/>
      <c r="Q57" s="39"/>
      <c r="R57" s="39">
        <v>86.89</v>
      </c>
      <c r="S57" s="36"/>
      <c r="T57" s="36"/>
      <c r="U57" s="37"/>
      <c r="V57" s="38"/>
      <c r="W57" s="38"/>
      <c r="X57" s="38"/>
      <c r="Y57" s="38"/>
      <c r="Z57" s="38"/>
      <c r="AA57" s="33">
        <v>86.89</v>
      </c>
      <c r="AB57">
        <v>2008</v>
      </c>
      <c r="AC57">
        <v>8</v>
      </c>
    </row>
    <row r="58" spans="3:29" ht="13">
      <c r="C58" s="1" t="s">
        <v>355</v>
      </c>
      <c r="D58" s="1" t="s">
        <v>20</v>
      </c>
      <c r="E58" s="39">
        <v>20</v>
      </c>
      <c r="F58" s="39">
        <v>19.899999619999999</v>
      </c>
      <c r="G58" s="39">
        <v>19.799999239999998</v>
      </c>
      <c r="H58" s="39">
        <v>19.799999239999998</v>
      </c>
      <c r="I58" s="39">
        <v>19.799999239999998</v>
      </c>
      <c r="J58" s="39">
        <v>19.799999239999998</v>
      </c>
      <c r="K58" s="39">
        <v>19.799999239999998</v>
      </c>
      <c r="L58" s="39"/>
      <c r="M58" s="39"/>
      <c r="N58" s="39"/>
      <c r="O58" s="39"/>
      <c r="P58" s="39"/>
      <c r="Q58" s="39"/>
      <c r="R58" s="39"/>
      <c r="S58" s="36"/>
      <c r="T58" s="36"/>
      <c r="U58" s="37"/>
      <c r="V58" s="38"/>
      <c r="W58" s="38"/>
      <c r="X58" s="38"/>
      <c r="Y58" s="38"/>
      <c r="Z58" s="38"/>
      <c r="AA58" s="33">
        <v>19.799999239999998</v>
      </c>
      <c r="AB58">
        <v>2001</v>
      </c>
      <c r="AC58">
        <v>7</v>
      </c>
    </row>
    <row r="59" spans="3:29" ht="13">
      <c r="C59" s="1" t="s">
        <v>306</v>
      </c>
      <c r="D59" s="1" t="s">
        <v>44</v>
      </c>
      <c r="E59" s="36"/>
      <c r="F59" s="36"/>
      <c r="G59" s="36"/>
      <c r="H59" s="36"/>
      <c r="I59" s="36"/>
      <c r="J59" s="36"/>
      <c r="K59" s="36"/>
      <c r="L59" s="36"/>
      <c r="M59" s="36"/>
      <c r="N59" s="36"/>
      <c r="O59" s="36"/>
      <c r="P59" s="36"/>
      <c r="Q59" s="36"/>
      <c r="R59" s="36"/>
      <c r="S59" s="36"/>
      <c r="T59" s="36"/>
      <c r="U59" s="37"/>
      <c r="V59" s="38"/>
      <c r="W59" s="38"/>
      <c r="X59" s="38"/>
      <c r="Y59" s="38"/>
      <c r="Z59" s="38"/>
      <c r="AA59" s="33" t="e">
        <v>#N/A</v>
      </c>
      <c r="AC59">
        <v>0</v>
      </c>
    </row>
    <row r="60" spans="3:29" ht="13">
      <c r="C60" s="1" t="s">
        <v>387</v>
      </c>
      <c r="D60" s="1" t="s">
        <v>136</v>
      </c>
      <c r="E60" s="39">
        <v>21.399999619999999</v>
      </c>
      <c r="F60" s="39">
        <v>21.799999239999998</v>
      </c>
      <c r="G60" s="39">
        <v>21.799999239999998</v>
      </c>
      <c r="H60" s="39">
        <v>21.799999239999998</v>
      </c>
      <c r="I60" s="39">
        <v>21.799999239999998</v>
      </c>
      <c r="J60" s="39">
        <v>21.799999239999998</v>
      </c>
      <c r="K60" s="39">
        <v>21.799999239999998</v>
      </c>
      <c r="L60" s="39"/>
      <c r="M60" s="39"/>
      <c r="N60" s="39"/>
      <c r="O60" s="39"/>
      <c r="P60" s="39"/>
      <c r="Q60" s="39"/>
      <c r="R60" s="39"/>
      <c r="S60" s="36"/>
      <c r="T60" s="36"/>
      <c r="U60" s="37"/>
      <c r="V60" s="38"/>
      <c r="W60" s="38"/>
      <c r="X60" s="38"/>
      <c r="Y60" s="38"/>
      <c r="Z60" s="38"/>
      <c r="AA60" s="33">
        <v>21.799999239999998</v>
      </c>
      <c r="AB60">
        <v>2001</v>
      </c>
      <c r="AC60">
        <v>7</v>
      </c>
    </row>
    <row r="61" spans="3:29" ht="13">
      <c r="C61" s="1" t="s">
        <v>368</v>
      </c>
      <c r="D61" s="1" t="s">
        <v>247</v>
      </c>
      <c r="E61" s="39">
        <v>54</v>
      </c>
      <c r="F61" s="39">
        <v>53.200000760000002</v>
      </c>
      <c r="G61" s="39">
        <v>50.799999239999998</v>
      </c>
      <c r="H61" s="39">
        <v>22.100000380000001</v>
      </c>
      <c r="I61" s="39">
        <v>21.299999239999998</v>
      </c>
      <c r="J61" s="39">
        <v>20.100000380000001</v>
      </c>
      <c r="K61" s="39">
        <v>19.700000760000002</v>
      </c>
      <c r="L61" s="39">
        <v>24.799999239999998</v>
      </c>
      <c r="M61" s="39">
        <v>23.399999619999999</v>
      </c>
      <c r="N61" s="39">
        <v>22.13999939</v>
      </c>
      <c r="O61" s="39">
        <v>22.670000080000001</v>
      </c>
      <c r="P61" s="39"/>
      <c r="Q61" s="39">
        <v>28.602449409999998</v>
      </c>
      <c r="R61" s="39">
        <v>28.774511489999998</v>
      </c>
      <c r="S61" s="36"/>
      <c r="T61" s="36"/>
      <c r="U61" s="37"/>
      <c r="V61" s="38"/>
      <c r="W61" s="38"/>
      <c r="X61" s="38"/>
      <c r="Y61" s="38"/>
      <c r="Z61" s="38"/>
      <c r="AA61" s="33">
        <v>28.774511489999998</v>
      </c>
      <c r="AB61">
        <v>2008</v>
      </c>
      <c r="AC61">
        <v>13</v>
      </c>
    </row>
    <row r="62" spans="3:29" ht="13">
      <c r="C62" s="1" t="s">
        <v>359</v>
      </c>
      <c r="D62" s="1" t="s">
        <v>383</v>
      </c>
      <c r="E62" s="39">
        <v>15.5</v>
      </c>
      <c r="F62" s="39">
        <v>15.30000019</v>
      </c>
      <c r="G62" s="39">
        <v>15.30000019</v>
      </c>
      <c r="H62" s="39">
        <v>14</v>
      </c>
      <c r="I62" s="39">
        <v>13.30000019</v>
      </c>
      <c r="J62" s="39">
        <v>12</v>
      </c>
      <c r="K62" s="39">
        <v>12</v>
      </c>
      <c r="L62" s="39">
        <v>12</v>
      </c>
      <c r="M62" s="39">
        <v>12.899999619999999</v>
      </c>
      <c r="N62" s="39">
        <v>19.13999939</v>
      </c>
      <c r="O62" s="39">
        <v>11.047911259999999</v>
      </c>
      <c r="P62" s="39">
        <v>11.63154756</v>
      </c>
      <c r="Q62" s="39">
        <v>13.674789779999999</v>
      </c>
      <c r="R62" s="39"/>
      <c r="S62" s="36"/>
      <c r="T62" s="36"/>
      <c r="U62" s="37"/>
      <c r="V62" s="38"/>
      <c r="W62" s="38"/>
      <c r="X62" s="38"/>
      <c r="Y62" s="38"/>
      <c r="Z62" s="38"/>
      <c r="AA62" s="33">
        <v>13.674789779999999</v>
      </c>
      <c r="AB62">
        <v>2007</v>
      </c>
      <c r="AC62">
        <v>13</v>
      </c>
    </row>
    <row r="63" spans="3:29" ht="13">
      <c r="C63" s="1" t="s">
        <v>305</v>
      </c>
      <c r="D63" s="1" t="s">
        <v>288</v>
      </c>
      <c r="E63" s="32">
        <v>49.099998470000003</v>
      </c>
      <c r="F63" s="32">
        <v>49.200000760000002</v>
      </c>
      <c r="G63" s="32">
        <v>49.200000760000002</v>
      </c>
      <c r="H63" s="32">
        <v>49.200000760000002</v>
      </c>
      <c r="I63" s="32">
        <v>49.200000760000002</v>
      </c>
      <c r="J63" s="32">
        <v>49.200000760000002</v>
      </c>
      <c r="K63" s="32">
        <v>49.200000760000002</v>
      </c>
      <c r="L63" s="36"/>
      <c r="M63" s="36"/>
      <c r="N63" s="36"/>
      <c r="O63" s="36"/>
      <c r="P63" s="36"/>
      <c r="Q63" s="36"/>
      <c r="R63" s="36"/>
      <c r="S63" s="36"/>
      <c r="T63" s="36"/>
      <c r="U63" s="37"/>
      <c r="V63" s="38"/>
      <c r="W63" s="38"/>
      <c r="X63" s="38"/>
      <c r="Y63" s="38"/>
      <c r="Z63" s="38"/>
      <c r="AA63" s="33">
        <v>49.200000760000002</v>
      </c>
      <c r="AB63">
        <v>2001</v>
      </c>
      <c r="AC63">
        <v>7</v>
      </c>
    </row>
    <row r="64" spans="3:29" ht="13">
      <c r="C64" s="1" t="s">
        <v>81</v>
      </c>
      <c r="D64" s="1" t="s">
        <v>388</v>
      </c>
      <c r="E64" s="39">
        <v>63</v>
      </c>
      <c r="F64" s="39">
        <v>64</v>
      </c>
      <c r="G64" s="39">
        <v>64</v>
      </c>
      <c r="H64" s="39">
        <v>64</v>
      </c>
      <c r="I64" s="39">
        <v>64.5</v>
      </c>
      <c r="J64" s="39">
        <v>62</v>
      </c>
      <c r="K64" s="39">
        <v>64</v>
      </c>
      <c r="L64" s="39">
        <v>64</v>
      </c>
      <c r="M64" s="39">
        <v>64.599998470000003</v>
      </c>
      <c r="N64" s="39">
        <v>64.699996949999999</v>
      </c>
      <c r="O64" s="39">
        <v>65.040000919999997</v>
      </c>
      <c r="P64" s="39">
        <v>65.275332210000002</v>
      </c>
      <c r="Q64" s="39">
        <v>65.362724839999998</v>
      </c>
      <c r="R64" s="39">
        <v>65.47</v>
      </c>
      <c r="S64" s="39"/>
      <c r="T64" s="36"/>
      <c r="U64" s="37"/>
      <c r="V64" s="38"/>
      <c r="W64" s="38"/>
      <c r="X64" s="38"/>
      <c r="Y64" s="38"/>
      <c r="Z64" s="38"/>
      <c r="AA64" s="33">
        <v>65.47</v>
      </c>
      <c r="AB64">
        <v>2008</v>
      </c>
      <c r="AC64">
        <v>14</v>
      </c>
    </row>
    <row r="65" spans="3:29" ht="13">
      <c r="C65" s="1" t="s">
        <v>378</v>
      </c>
      <c r="D65" s="1" t="s">
        <v>179</v>
      </c>
      <c r="E65" s="39"/>
      <c r="F65" s="39">
        <v>100</v>
      </c>
      <c r="G65" s="39">
        <v>100</v>
      </c>
      <c r="H65" s="39">
        <v>100</v>
      </c>
      <c r="I65" s="39">
        <v>100</v>
      </c>
      <c r="J65" s="39">
        <v>100</v>
      </c>
      <c r="K65" s="39">
        <v>100</v>
      </c>
      <c r="L65" s="39">
        <v>100</v>
      </c>
      <c r="M65" s="39">
        <v>100</v>
      </c>
      <c r="N65" s="39">
        <v>100</v>
      </c>
      <c r="O65" s="39">
        <v>100</v>
      </c>
      <c r="P65" s="39">
        <v>100</v>
      </c>
      <c r="Q65" s="39">
        <v>100</v>
      </c>
      <c r="R65" s="39">
        <v>100</v>
      </c>
      <c r="S65" s="39"/>
      <c r="T65" s="36"/>
      <c r="U65" s="37"/>
      <c r="V65" s="38"/>
      <c r="W65" s="38"/>
      <c r="X65" s="38"/>
      <c r="Y65" s="38"/>
      <c r="Z65" s="38"/>
      <c r="AA65" s="33">
        <v>100</v>
      </c>
      <c r="AB65">
        <v>2008</v>
      </c>
      <c r="AC65">
        <v>13</v>
      </c>
    </row>
    <row r="66" spans="3:29" ht="13">
      <c r="C66" s="1" t="s">
        <v>148</v>
      </c>
      <c r="D66" s="1" t="s">
        <v>240</v>
      </c>
      <c r="E66" s="39">
        <v>8.1999998089999995</v>
      </c>
      <c r="F66" s="39">
        <v>9.8999996190000008</v>
      </c>
      <c r="G66" s="39">
        <v>9.8999996190000008</v>
      </c>
      <c r="H66" s="39">
        <v>9.8999996190000008</v>
      </c>
      <c r="I66" s="39">
        <v>9.8999996190000008</v>
      </c>
      <c r="J66" s="39">
        <v>9.8999996190000008</v>
      </c>
      <c r="K66" s="39"/>
      <c r="L66" s="39"/>
      <c r="M66" s="39"/>
      <c r="N66" s="39">
        <v>10.210000040000001</v>
      </c>
      <c r="O66" s="39"/>
      <c r="P66" s="39"/>
      <c r="Q66" s="39"/>
      <c r="R66" s="39"/>
      <c r="S66" s="36"/>
      <c r="T66" s="36"/>
      <c r="U66" s="37"/>
      <c r="V66" s="38"/>
      <c r="W66" s="38"/>
      <c r="X66" s="38"/>
      <c r="Y66" s="38"/>
      <c r="Z66" s="38"/>
      <c r="AA66" s="33">
        <v>10.210000040000001</v>
      </c>
      <c r="AB66">
        <v>2004</v>
      </c>
      <c r="AC66">
        <v>7</v>
      </c>
    </row>
    <row r="67" spans="3:29" ht="13">
      <c r="C67" s="1" t="s">
        <v>328</v>
      </c>
      <c r="D67" s="1" t="s">
        <v>57</v>
      </c>
      <c r="E67" s="36"/>
      <c r="F67" s="36"/>
      <c r="G67" s="36"/>
      <c r="H67" s="36"/>
      <c r="I67" s="36"/>
      <c r="J67" s="36"/>
      <c r="K67" s="36"/>
      <c r="L67" s="36"/>
      <c r="M67" s="32">
        <v>19.31999969</v>
      </c>
      <c r="N67" s="32">
        <v>19.31999969</v>
      </c>
      <c r="O67" s="36"/>
      <c r="P67" s="36"/>
      <c r="Q67" s="36"/>
      <c r="R67" s="36"/>
      <c r="S67" s="36"/>
      <c r="T67" s="36"/>
      <c r="U67" s="37"/>
      <c r="V67" s="38"/>
      <c r="W67" s="38"/>
      <c r="X67" s="38"/>
      <c r="Y67" s="38"/>
      <c r="Z67" s="38"/>
      <c r="AA67" s="33">
        <v>19.31999969</v>
      </c>
      <c r="AB67">
        <v>2004</v>
      </c>
      <c r="AC67">
        <v>2</v>
      </c>
    </row>
    <row r="68" spans="3:29" ht="13">
      <c r="C68" s="1" t="s">
        <v>17</v>
      </c>
      <c r="D68" s="1" t="s">
        <v>120</v>
      </c>
      <c r="E68" s="39">
        <v>93.5</v>
      </c>
      <c r="F68" s="39">
        <v>93.5</v>
      </c>
      <c r="G68" s="39">
        <v>93.699996949999999</v>
      </c>
      <c r="H68" s="39">
        <v>93.400001529999997</v>
      </c>
      <c r="I68" s="39"/>
      <c r="J68" s="39"/>
      <c r="K68" s="39"/>
      <c r="L68" s="39"/>
      <c r="M68" s="39"/>
      <c r="N68" s="39"/>
      <c r="O68" s="39"/>
      <c r="P68" s="39">
        <v>94.067588169999993</v>
      </c>
      <c r="Q68" s="39">
        <v>94.067588169999993</v>
      </c>
      <c r="R68" s="39"/>
      <c r="S68" s="36"/>
      <c r="T68" s="36"/>
      <c r="U68" s="37"/>
      <c r="V68" s="38"/>
      <c r="W68" s="38"/>
      <c r="X68" s="38"/>
      <c r="Y68" s="38"/>
      <c r="Z68" s="38"/>
      <c r="AA68" s="33">
        <v>94.067588169999993</v>
      </c>
      <c r="AB68">
        <v>2007</v>
      </c>
      <c r="AC68">
        <v>6</v>
      </c>
    </row>
    <row r="69" spans="3:29" ht="13">
      <c r="C69" s="1" t="s">
        <v>133</v>
      </c>
      <c r="D69" s="1" t="s">
        <v>122</v>
      </c>
      <c r="E69" s="39">
        <v>99</v>
      </c>
      <c r="F69" s="39">
        <v>99.099998470000003</v>
      </c>
      <c r="G69" s="39"/>
      <c r="H69" s="39"/>
      <c r="I69" s="39"/>
      <c r="J69" s="39"/>
      <c r="K69" s="39"/>
      <c r="L69" s="39"/>
      <c r="M69" s="39">
        <v>100</v>
      </c>
      <c r="N69" s="39"/>
      <c r="O69" s="39"/>
      <c r="P69" s="39"/>
      <c r="Q69" s="39"/>
      <c r="R69" s="39"/>
      <c r="S69" s="39"/>
      <c r="T69" s="36"/>
      <c r="U69" s="37"/>
      <c r="V69" s="38"/>
      <c r="W69" s="38"/>
      <c r="X69" s="38"/>
      <c r="Y69" s="38"/>
      <c r="Z69" s="38"/>
      <c r="AA69" s="33">
        <v>100</v>
      </c>
      <c r="AB69">
        <v>2003</v>
      </c>
      <c r="AC69">
        <v>3</v>
      </c>
    </row>
    <row r="70" spans="3:29" ht="13">
      <c r="C70" s="1" t="s">
        <v>37</v>
      </c>
      <c r="D70" s="1" t="s">
        <v>238</v>
      </c>
      <c r="E70" s="39">
        <v>24.899999619999999</v>
      </c>
      <c r="F70" s="39">
        <v>24.100000380000001</v>
      </c>
      <c r="G70" s="39"/>
      <c r="H70" s="39"/>
      <c r="I70" s="39">
        <v>29.600000380000001</v>
      </c>
      <c r="J70" s="39">
        <v>29.600000380000001</v>
      </c>
      <c r="K70" s="39">
        <v>18.399999619999999</v>
      </c>
      <c r="L70" s="39"/>
      <c r="M70" s="39">
        <v>17.920000080000001</v>
      </c>
      <c r="N70" s="39"/>
      <c r="O70" s="39">
        <v>14.93029308</v>
      </c>
      <c r="P70" s="39"/>
      <c r="Q70" s="39"/>
      <c r="R70" s="39"/>
      <c r="S70" s="36"/>
      <c r="T70" s="36"/>
      <c r="U70" s="37"/>
      <c r="V70" s="38"/>
      <c r="W70" s="38"/>
      <c r="X70" s="38"/>
      <c r="Y70" s="38"/>
      <c r="Z70" s="38"/>
      <c r="AA70" s="33">
        <v>14.93029308</v>
      </c>
      <c r="AB70">
        <v>2005</v>
      </c>
      <c r="AC70">
        <v>7</v>
      </c>
    </row>
    <row r="71" spans="3:29" ht="13">
      <c r="C71" s="1" t="s">
        <v>375</v>
      </c>
      <c r="D71" s="1" t="s">
        <v>224</v>
      </c>
      <c r="E71" s="39">
        <v>91.699996949999999</v>
      </c>
      <c r="F71" s="39">
        <v>91.800003050000001</v>
      </c>
      <c r="G71" s="39">
        <v>91.800003050000001</v>
      </c>
      <c r="H71" s="39">
        <v>91.800003050000001</v>
      </c>
      <c r="I71" s="39">
        <v>91.800003050000001</v>
      </c>
      <c r="J71" s="39">
        <v>91.800003050000001</v>
      </c>
      <c r="K71" s="39"/>
      <c r="L71" s="39"/>
      <c r="M71" s="39"/>
      <c r="N71" s="39"/>
      <c r="O71" s="39"/>
      <c r="P71" s="39"/>
      <c r="Q71" s="39"/>
      <c r="R71" s="39"/>
      <c r="S71" s="39"/>
      <c r="T71" s="36"/>
      <c r="U71" s="37"/>
      <c r="V71" s="38"/>
      <c r="W71" s="38"/>
      <c r="X71" s="38"/>
      <c r="Y71" s="38"/>
      <c r="Z71" s="38"/>
      <c r="AA71" s="33">
        <v>91.800003050000001</v>
      </c>
      <c r="AB71">
        <v>2000</v>
      </c>
      <c r="AC71">
        <v>6</v>
      </c>
    </row>
    <row r="72" spans="3:29" ht="13">
      <c r="C72" s="1" t="s">
        <v>377</v>
      </c>
      <c r="D72" s="1" t="s">
        <v>393</v>
      </c>
      <c r="E72" s="32">
        <v>61.200000760000002</v>
      </c>
      <c r="F72" s="32">
        <v>61.299999239999998</v>
      </c>
      <c r="G72" s="32">
        <v>61.299999239999998</v>
      </c>
      <c r="H72" s="32">
        <v>61.299999239999998</v>
      </c>
      <c r="I72" s="32">
        <v>60.959999080000003</v>
      </c>
      <c r="J72" s="32">
        <v>60.959999080000003</v>
      </c>
      <c r="K72" s="32">
        <v>60.959999080000003</v>
      </c>
      <c r="L72" s="36"/>
      <c r="M72" s="36"/>
      <c r="N72" s="36"/>
      <c r="O72" s="36"/>
      <c r="P72" s="36"/>
      <c r="Q72" s="36"/>
      <c r="R72" s="36"/>
      <c r="S72" s="36"/>
      <c r="T72" s="36"/>
      <c r="U72" s="37"/>
      <c r="V72" s="38"/>
      <c r="W72" s="38"/>
      <c r="X72" s="38"/>
      <c r="Y72" s="38"/>
      <c r="Z72" s="38"/>
      <c r="AA72" s="33">
        <v>60.959999080000003</v>
      </c>
      <c r="AB72">
        <v>2001</v>
      </c>
      <c r="AC72">
        <v>7</v>
      </c>
    </row>
    <row r="73" spans="3:29" ht="13">
      <c r="C73" s="1" t="s">
        <v>213</v>
      </c>
      <c r="D73" s="1" t="s">
        <v>211</v>
      </c>
      <c r="E73" s="39">
        <v>26</v>
      </c>
      <c r="F73" s="39">
        <v>25.799999239999998</v>
      </c>
      <c r="G73" s="39">
        <v>26.399999619999999</v>
      </c>
      <c r="H73" s="39">
        <v>31</v>
      </c>
      <c r="I73" s="39">
        <v>34.5</v>
      </c>
      <c r="J73" s="39">
        <v>34.5</v>
      </c>
      <c r="K73" s="39">
        <v>34.5</v>
      </c>
      <c r="L73" s="39"/>
      <c r="M73" s="39"/>
      <c r="N73" s="39"/>
      <c r="O73" s="39"/>
      <c r="P73" s="39"/>
      <c r="Q73" s="39"/>
      <c r="R73" s="39"/>
      <c r="S73" s="36"/>
      <c r="T73" s="36"/>
      <c r="U73" s="37"/>
      <c r="V73" s="38"/>
      <c r="W73" s="38"/>
      <c r="X73" s="38"/>
      <c r="Y73" s="38"/>
      <c r="Z73" s="38"/>
      <c r="AA73" s="33">
        <v>34.5</v>
      </c>
      <c r="AB73">
        <v>2001</v>
      </c>
      <c r="AC73">
        <v>7</v>
      </c>
    </row>
    <row r="74" spans="3:29" ht="13">
      <c r="C74" s="1" t="s">
        <v>40</v>
      </c>
      <c r="D74" s="1" t="s">
        <v>232</v>
      </c>
      <c r="E74" s="32">
        <v>16.399999619999999</v>
      </c>
      <c r="F74" s="32">
        <v>16.5</v>
      </c>
      <c r="G74" s="32">
        <v>16.5</v>
      </c>
      <c r="H74" s="32">
        <v>16.5</v>
      </c>
      <c r="I74" s="32">
        <v>16.5</v>
      </c>
      <c r="J74" s="32">
        <v>16.5</v>
      </c>
      <c r="K74" s="36"/>
      <c r="L74" s="36"/>
      <c r="M74" s="32">
        <v>9.7899999619999996</v>
      </c>
      <c r="N74" s="36"/>
      <c r="O74" s="36"/>
      <c r="P74" s="36"/>
      <c r="Q74" s="36"/>
      <c r="R74" s="36"/>
      <c r="S74" s="36"/>
      <c r="T74" s="36"/>
      <c r="U74" s="37"/>
      <c r="V74" s="38"/>
      <c r="W74" s="38"/>
      <c r="X74" s="38"/>
      <c r="Y74" s="38"/>
      <c r="Z74" s="38"/>
      <c r="AA74" s="33">
        <v>9.7899999619999996</v>
      </c>
      <c r="AB74">
        <v>2003</v>
      </c>
      <c r="AC74">
        <v>7</v>
      </c>
    </row>
    <row r="75" spans="3:29" ht="13">
      <c r="C75" s="1" t="s">
        <v>310</v>
      </c>
      <c r="D75" s="1" t="s">
        <v>397</v>
      </c>
      <c r="E75" s="32">
        <v>10.19999981</v>
      </c>
      <c r="F75" s="32">
        <v>10.30000019</v>
      </c>
      <c r="G75" s="32">
        <v>10.30000019</v>
      </c>
      <c r="H75" s="32">
        <v>10.30000019</v>
      </c>
      <c r="I75" s="36"/>
      <c r="J75" s="36"/>
      <c r="K75" s="36"/>
      <c r="L75" s="32">
        <v>27.940000529999999</v>
      </c>
      <c r="M75" s="36"/>
      <c r="N75" s="36"/>
      <c r="O75" s="36"/>
      <c r="P75" s="36"/>
      <c r="Q75" s="36"/>
      <c r="R75" s="36"/>
      <c r="S75" s="36"/>
      <c r="T75" s="36"/>
      <c r="U75" s="37"/>
      <c r="V75" s="38"/>
      <c r="W75" s="38"/>
      <c r="X75" s="38"/>
      <c r="Y75" s="38"/>
      <c r="Z75" s="38"/>
      <c r="AA75" s="33">
        <v>27.940000529999999</v>
      </c>
      <c r="AB75">
        <v>2002</v>
      </c>
      <c r="AC75">
        <v>5</v>
      </c>
    </row>
    <row r="76" spans="3:29" ht="13">
      <c r="C76" s="1" t="s">
        <v>198</v>
      </c>
      <c r="D76" s="1" t="s">
        <v>15</v>
      </c>
      <c r="E76" s="32">
        <v>7.3000001909999996</v>
      </c>
      <c r="F76" s="32">
        <v>7.4000000950000002</v>
      </c>
      <c r="G76" s="32">
        <v>7.4000000950000002</v>
      </c>
      <c r="H76" s="32">
        <v>7.4000000950000002</v>
      </c>
      <c r="I76" s="32">
        <v>7.4000000950000002</v>
      </c>
      <c r="J76" s="32">
        <v>7.4000000950000002</v>
      </c>
      <c r="K76" s="32">
        <v>7.4000000950000002</v>
      </c>
      <c r="L76" s="36"/>
      <c r="M76" s="36"/>
      <c r="N76" s="36"/>
      <c r="O76" s="36"/>
      <c r="P76" s="36"/>
      <c r="Q76" s="36"/>
      <c r="R76" s="36"/>
      <c r="S76" s="36"/>
      <c r="T76" s="36"/>
      <c r="U76" s="37"/>
      <c r="V76" s="38"/>
      <c r="W76" s="38"/>
      <c r="X76" s="38"/>
      <c r="Y76" s="38"/>
      <c r="Z76" s="38"/>
      <c r="AA76" s="33">
        <v>7.4000000950000002</v>
      </c>
      <c r="AB76">
        <v>2001</v>
      </c>
      <c r="AC76">
        <v>7</v>
      </c>
    </row>
    <row r="77" spans="3:29" ht="13">
      <c r="C77" s="1" t="s">
        <v>287</v>
      </c>
      <c r="D77" s="1" t="s">
        <v>178</v>
      </c>
      <c r="E77" s="39">
        <v>24.200000760000002</v>
      </c>
      <c r="F77" s="39">
        <v>24.299999239999998</v>
      </c>
      <c r="G77" s="39">
        <v>24.299999239999998</v>
      </c>
      <c r="H77" s="39">
        <v>24.299999239999998</v>
      </c>
      <c r="I77" s="39">
        <v>24.299999239999998</v>
      </c>
      <c r="J77" s="39">
        <v>24.299999239999998</v>
      </c>
      <c r="K77" s="39">
        <v>24.299999239999998</v>
      </c>
      <c r="L77" s="39"/>
      <c r="M77" s="39"/>
      <c r="N77" s="39"/>
      <c r="O77" s="39"/>
      <c r="P77" s="39"/>
      <c r="Q77" s="39"/>
      <c r="R77" s="39"/>
      <c r="S77" s="36"/>
      <c r="T77" s="36"/>
      <c r="U77" s="37"/>
      <c r="V77" s="38"/>
      <c r="W77" s="38"/>
      <c r="X77" s="38"/>
      <c r="Y77" s="38"/>
      <c r="Z77" s="38"/>
      <c r="AA77" s="33">
        <v>24.299999239999998</v>
      </c>
      <c r="AB77">
        <v>2001</v>
      </c>
      <c r="AC77">
        <v>7</v>
      </c>
    </row>
    <row r="78" spans="3:29" ht="13">
      <c r="C78" s="1" t="s">
        <v>47</v>
      </c>
      <c r="D78" s="1" t="s">
        <v>158</v>
      </c>
      <c r="E78" s="39">
        <v>20.399999619999999</v>
      </c>
      <c r="F78" s="39">
        <v>20.399999619999999</v>
      </c>
      <c r="G78" s="39">
        <v>20.399999619999999</v>
      </c>
      <c r="H78" s="39">
        <v>20.399999619999999</v>
      </c>
      <c r="I78" s="39">
        <v>20.399999619999999</v>
      </c>
      <c r="J78" s="39">
        <v>20.399999619999999</v>
      </c>
      <c r="K78" s="39">
        <v>20.399999619999999</v>
      </c>
      <c r="L78" s="39"/>
      <c r="M78" s="39"/>
      <c r="N78" s="39"/>
      <c r="O78" s="39"/>
      <c r="P78" s="39"/>
      <c r="Q78" s="39"/>
      <c r="R78" s="39"/>
      <c r="S78" s="36"/>
      <c r="T78" s="36"/>
      <c r="U78" s="37"/>
      <c r="V78" s="38"/>
      <c r="W78" s="38"/>
      <c r="X78" s="38"/>
      <c r="Y78" s="38"/>
      <c r="Z78" s="38"/>
      <c r="AA78" s="33">
        <v>20.399999619999999</v>
      </c>
      <c r="AB78">
        <v>2001</v>
      </c>
      <c r="AC78">
        <v>7</v>
      </c>
    </row>
    <row r="79" spans="3:29" ht="13">
      <c r="C79" s="1" t="s">
        <v>316</v>
      </c>
      <c r="D79" s="1" t="s">
        <v>331</v>
      </c>
      <c r="E79" s="39">
        <v>44.099998470000003</v>
      </c>
      <c r="F79" s="39">
        <v>43.099998470000003</v>
      </c>
      <c r="G79" s="39">
        <v>43.400001529999997</v>
      </c>
      <c r="H79" s="39">
        <v>43.400001529999997</v>
      </c>
      <c r="I79" s="39"/>
      <c r="J79" s="39"/>
      <c r="K79" s="39">
        <v>43.700000760000002</v>
      </c>
      <c r="L79" s="39">
        <v>43.900001529999997</v>
      </c>
      <c r="M79" s="39">
        <v>43.900001529999997</v>
      </c>
      <c r="N79" s="39"/>
      <c r="O79" s="39"/>
      <c r="P79" s="39">
        <v>38.040820259999997</v>
      </c>
      <c r="Q79" s="39">
        <v>37.716317779999997</v>
      </c>
      <c r="R79" s="39">
        <v>37.65</v>
      </c>
      <c r="S79" s="39"/>
      <c r="T79" s="36"/>
      <c r="U79" s="37"/>
      <c r="V79" s="38"/>
      <c r="W79" s="38"/>
      <c r="X79" s="38"/>
      <c r="Y79" s="38"/>
      <c r="Z79" s="38"/>
      <c r="AA79" s="33">
        <v>37.65</v>
      </c>
      <c r="AB79">
        <v>2008</v>
      </c>
      <c r="AC79">
        <v>10</v>
      </c>
    </row>
    <row r="80" spans="3:29" ht="13">
      <c r="C80" s="1" t="s">
        <v>343</v>
      </c>
      <c r="D80" s="1" t="s">
        <v>195</v>
      </c>
      <c r="E80" s="39">
        <v>24.799999239999998</v>
      </c>
      <c r="F80" s="39">
        <v>25.899999619999999</v>
      </c>
      <c r="G80" s="39">
        <v>25.700000760000002</v>
      </c>
      <c r="H80" s="39">
        <v>27.100000380000001</v>
      </c>
      <c r="I80" s="39">
        <v>28.100000380000001</v>
      </c>
      <c r="J80" s="39">
        <v>29.5</v>
      </c>
      <c r="K80" s="39">
        <v>30.600000380000001</v>
      </c>
      <c r="L80" s="39">
        <v>31.5</v>
      </c>
      <c r="M80" s="39"/>
      <c r="N80" s="39">
        <v>34.400001529999997</v>
      </c>
      <c r="O80" s="39">
        <v>35.38999939</v>
      </c>
      <c r="P80" s="39">
        <v>35.86000061</v>
      </c>
      <c r="Q80" s="39">
        <v>36.641630900000003</v>
      </c>
      <c r="R80" s="39">
        <v>36.641630900000003</v>
      </c>
      <c r="S80" s="39"/>
      <c r="T80" s="36"/>
      <c r="U80" s="37"/>
      <c r="V80" s="38"/>
      <c r="W80" s="38"/>
      <c r="X80" s="38"/>
      <c r="Y80" s="38"/>
      <c r="Z80" s="38"/>
      <c r="AA80" s="33">
        <v>36.641630900000003</v>
      </c>
      <c r="AB80">
        <v>2008</v>
      </c>
      <c r="AC80">
        <v>13</v>
      </c>
    </row>
    <row r="81" spans="3:29" ht="13">
      <c r="C81" s="1" t="s">
        <v>8</v>
      </c>
      <c r="D81" s="1" t="s">
        <v>132</v>
      </c>
      <c r="E81" s="39">
        <v>55.400001529999997</v>
      </c>
      <c r="F81" s="39">
        <v>54.700000760000002</v>
      </c>
      <c r="G81" s="39">
        <v>56.5</v>
      </c>
      <c r="H81" s="39">
        <v>57</v>
      </c>
      <c r="I81" s="39">
        <v>46.66999817</v>
      </c>
      <c r="J81" s="39">
        <v>47.459999080000003</v>
      </c>
      <c r="K81" s="39">
        <v>47.740001679999999</v>
      </c>
      <c r="L81" s="39">
        <v>47.400001529999997</v>
      </c>
      <c r="M81" s="39"/>
      <c r="N81" s="39">
        <v>48.62</v>
      </c>
      <c r="O81" s="39">
        <v>46.99</v>
      </c>
      <c r="P81" s="39">
        <v>47.72</v>
      </c>
      <c r="Q81" s="39">
        <v>48.24</v>
      </c>
      <c r="R81" s="39">
        <v>49.340659309999999</v>
      </c>
      <c r="S81" s="36"/>
      <c r="T81" s="36"/>
      <c r="U81" s="37"/>
      <c r="V81" s="38"/>
      <c r="W81" s="38"/>
      <c r="X81" s="38"/>
      <c r="Y81" s="38"/>
      <c r="Z81" s="38"/>
      <c r="AA81" s="33">
        <v>49.340659309999999</v>
      </c>
      <c r="AB81">
        <v>2008</v>
      </c>
      <c r="AC81">
        <v>13</v>
      </c>
    </row>
    <row r="82" spans="3:29" ht="13">
      <c r="C82" s="1" t="s">
        <v>84</v>
      </c>
      <c r="D82" s="1" t="s">
        <v>279</v>
      </c>
      <c r="E82" s="39">
        <v>52.400001529999997</v>
      </c>
      <c r="F82" s="39">
        <v>46.299999239999998</v>
      </c>
      <c r="G82" s="39">
        <v>56.400001529999997</v>
      </c>
      <c r="H82" s="39">
        <v>47.299999239999998</v>
      </c>
      <c r="I82" s="39">
        <v>46.299999239999998</v>
      </c>
      <c r="J82" s="39">
        <v>57.099998470000003</v>
      </c>
      <c r="K82" s="39">
        <v>58.900001529999997</v>
      </c>
      <c r="L82" s="39">
        <v>58</v>
      </c>
      <c r="M82" s="39">
        <v>58.32649602</v>
      </c>
      <c r="N82" s="39">
        <v>55.321512820000002</v>
      </c>
      <c r="O82" s="39">
        <v>55.424299699999999</v>
      </c>
      <c r="P82" s="39">
        <v>53.005378450000002</v>
      </c>
      <c r="Q82" s="39">
        <v>60.860426769999997</v>
      </c>
      <c r="R82" s="39">
        <v>59.106494669999996</v>
      </c>
      <c r="S82" s="36"/>
      <c r="T82" s="36"/>
      <c r="U82" s="37"/>
      <c r="V82" s="38"/>
      <c r="W82" s="38"/>
      <c r="X82" s="38"/>
      <c r="Y82" s="38"/>
      <c r="Z82" s="38"/>
      <c r="AA82" s="33">
        <v>59.106494669999996</v>
      </c>
      <c r="AB82">
        <v>2008</v>
      </c>
      <c r="AC82">
        <v>14</v>
      </c>
    </row>
    <row r="83" spans="3:29" ht="13">
      <c r="C83" s="1" t="s">
        <v>360</v>
      </c>
      <c r="D83" s="1" t="s">
        <v>66</v>
      </c>
      <c r="E83" s="39">
        <v>49.900001529999997</v>
      </c>
      <c r="F83" s="39">
        <v>52.099998470000003</v>
      </c>
      <c r="G83" s="39">
        <v>56.799999239999998</v>
      </c>
      <c r="H83" s="39">
        <v>56.299999239999998</v>
      </c>
      <c r="I83" s="39"/>
      <c r="J83" s="39"/>
      <c r="K83" s="39">
        <v>64.800003050000001</v>
      </c>
      <c r="L83" s="39">
        <v>66.300003050000001</v>
      </c>
      <c r="M83" s="39">
        <v>67.36000061</v>
      </c>
      <c r="N83" s="39"/>
      <c r="O83" s="39">
        <v>71.024315950000002</v>
      </c>
      <c r="P83" s="39">
        <v>73.297341950000003</v>
      </c>
      <c r="Q83" s="39"/>
      <c r="R83" s="39"/>
      <c r="S83" s="36"/>
      <c r="T83" s="36"/>
      <c r="U83" s="37"/>
      <c r="V83" s="38"/>
      <c r="W83" s="38"/>
      <c r="X83" s="38"/>
      <c r="Y83" s="38"/>
      <c r="Z83" s="38"/>
      <c r="AA83" s="33">
        <v>73.297341950000003</v>
      </c>
      <c r="AB83">
        <v>2006</v>
      </c>
      <c r="AC83">
        <v>9</v>
      </c>
    </row>
    <row r="84" spans="3:29" ht="13">
      <c r="C84" s="1" t="s">
        <v>358</v>
      </c>
      <c r="D84" s="1" t="s">
        <v>229</v>
      </c>
      <c r="E84" s="39">
        <v>86</v>
      </c>
      <c r="F84" s="39">
        <v>86</v>
      </c>
      <c r="G84" s="39"/>
      <c r="H84" s="39">
        <v>84.300003050000001</v>
      </c>
      <c r="I84" s="39">
        <v>84.300003050000001</v>
      </c>
      <c r="J84" s="39">
        <v>84.300003050000001</v>
      </c>
      <c r="K84" s="39">
        <v>84.300003050000001</v>
      </c>
      <c r="L84" s="39"/>
      <c r="M84" s="39"/>
      <c r="N84" s="39"/>
      <c r="O84" s="39"/>
      <c r="P84" s="39"/>
      <c r="Q84" s="39"/>
      <c r="R84" s="39"/>
      <c r="S84" s="36"/>
      <c r="T84" s="36"/>
      <c r="U84" s="37"/>
      <c r="V84" s="38"/>
      <c r="W84" s="38"/>
      <c r="X84" s="38"/>
      <c r="Y84" s="38"/>
      <c r="Z84" s="38"/>
      <c r="AA84" s="33">
        <v>84.300003050000001</v>
      </c>
      <c r="AB84">
        <v>2001</v>
      </c>
      <c r="AC84">
        <v>6</v>
      </c>
    </row>
    <row r="85" spans="3:29" ht="13">
      <c r="C85" s="1" t="s">
        <v>362</v>
      </c>
      <c r="D85" s="1" t="s">
        <v>100</v>
      </c>
      <c r="E85" s="39">
        <v>94</v>
      </c>
      <c r="F85" s="39">
        <v>94.099998470000003</v>
      </c>
      <c r="G85" s="39">
        <v>94.099998470000003</v>
      </c>
      <c r="H85" s="39">
        <v>100</v>
      </c>
      <c r="I85" s="39">
        <v>100</v>
      </c>
      <c r="J85" s="39">
        <v>100</v>
      </c>
      <c r="K85" s="39">
        <v>100</v>
      </c>
      <c r="L85" s="39">
        <v>100</v>
      </c>
      <c r="M85" s="39">
        <v>100</v>
      </c>
      <c r="N85" s="39"/>
      <c r="O85" s="39"/>
      <c r="P85" s="39"/>
      <c r="Q85" s="39">
        <v>100</v>
      </c>
      <c r="R85" s="39">
        <v>100</v>
      </c>
      <c r="S85" s="39"/>
      <c r="T85" s="36"/>
      <c r="U85" s="37"/>
      <c r="V85" s="38"/>
      <c r="W85" s="38"/>
      <c r="X85" s="38"/>
      <c r="Y85" s="38"/>
      <c r="Z85" s="38"/>
      <c r="AA85" s="33">
        <v>100</v>
      </c>
      <c r="AB85">
        <v>2008</v>
      </c>
      <c r="AC85">
        <v>11</v>
      </c>
    </row>
    <row r="86" spans="3:29" ht="13">
      <c r="C86" s="1" t="s">
        <v>341</v>
      </c>
      <c r="D86" s="1" t="s">
        <v>376</v>
      </c>
      <c r="E86" s="39">
        <v>100</v>
      </c>
      <c r="F86" s="39">
        <v>100</v>
      </c>
      <c r="G86" s="39">
        <v>100</v>
      </c>
      <c r="H86" s="39">
        <v>100</v>
      </c>
      <c r="I86" s="39">
        <v>100</v>
      </c>
      <c r="J86" s="39">
        <v>100</v>
      </c>
      <c r="K86" s="39"/>
      <c r="L86" s="39">
        <v>100</v>
      </c>
      <c r="M86" s="39">
        <v>100</v>
      </c>
      <c r="N86" s="39">
        <v>100</v>
      </c>
      <c r="O86" s="39">
        <v>100</v>
      </c>
      <c r="P86" s="39">
        <v>100</v>
      </c>
      <c r="Q86" s="39">
        <v>100</v>
      </c>
      <c r="R86" s="39">
        <v>100</v>
      </c>
      <c r="S86" s="36"/>
      <c r="T86" s="36"/>
      <c r="U86" s="37"/>
      <c r="V86" s="38"/>
      <c r="W86" s="38"/>
      <c r="X86" s="38"/>
      <c r="Y86" s="38"/>
      <c r="Z86" s="38"/>
      <c r="AA86" s="33">
        <v>100</v>
      </c>
      <c r="AB86">
        <v>2008</v>
      </c>
      <c r="AC86">
        <v>13</v>
      </c>
    </row>
    <row r="87" spans="3:29" ht="13">
      <c r="C87" s="1" t="s">
        <v>354</v>
      </c>
      <c r="D87" s="1" t="s">
        <v>36</v>
      </c>
      <c r="E87" s="39">
        <v>100</v>
      </c>
      <c r="F87" s="39">
        <v>100</v>
      </c>
      <c r="G87" s="39">
        <v>100</v>
      </c>
      <c r="H87" s="39">
        <v>100</v>
      </c>
      <c r="I87" s="39">
        <v>100</v>
      </c>
      <c r="J87" s="39">
        <v>100</v>
      </c>
      <c r="K87" s="39"/>
      <c r="L87" s="39"/>
      <c r="M87" s="39">
        <v>100</v>
      </c>
      <c r="N87" s="39"/>
      <c r="O87" s="39"/>
      <c r="P87" s="39"/>
      <c r="Q87" s="39"/>
      <c r="R87" s="39"/>
      <c r="S87" s="39"/>
      <c r="T87" s="36"/>
      <c r="U87" s="37"/>
      <c r="V87" s="38"/>
      <c r="W87" s="38"/>
      <c r="X87" s="38"/>
      <c r="Y87" s="38"/>
      <c r="Z87" s="38"/>
      <c r="AA87" s="33">
        <v>100</v>
      </c>
      <c r="AB87">
        <v>2003</v>
      </c>
      <c r="AC87">
        <v>7</v>
      </c>
    </row>
    <row r="88" spans="3:29" ht="13">
      <c r="C88" s="1" t="s">
        <v>172</v>
      </c>
      <c r="D88" s="1" t="s">
        <v>164</v>
      </c>
      <c r="E88" s="39">
        <v>70.599998470000003</v>
      </c>
      <c r="F88" s="39">
        <v>70.699996949999999</v>
      </c>
      <c r="G88" s="39"/>
      <c r="H88" s="39">
        <v>70.099998470000003</v>
      </c>
      <c r="I88" s="39">
        <v>70.099998470000003</v>
      </c>
      <c r="J88" s="39">
        <v>70.099998470000003</v>
      </c>
      <c r="K88" s="39"/>
      <c r="L88" s="39"/>
      <c r="M88" s="39">
        <v>73.25</v>
      </c>
      <c r="N88" s="39">
        <v>73.27999878</v>
      </c>
      <c r="O88" s="39">
        <v>73.27999878</v>
      </c>
      <c r="P88" s="39"/>
      <c r="Q88" s="39"/>
      <c r="R88" s="39"/>
      <c r="S88" s="36"/>
      <c r="T88" s="36"/>
      <c r="U88" s="37"/>
      <c r="V88" s="38"/>
      <c r="W88" s="38"/>
      <c r="X88" s="38"/>
      <c r="Y88" s="38"/>
      <c r="Z88" s="38"/>
      <c r="AA88" s="33">
        <v>73.27999878</v>
      </c>
      <c r="AB88">
        <v>2005</v>
      </c>
      <c r="AC88">
        <v>8</v>
      </c>
    </row>
    <row r="89" spans="3:29" ht="13">
      <c r="C89" s="1" t="s">
        <v>5</v>
      </c>
      <c r="D89" s="1" t="s">
        <v>335</v>
      </c>
      <c r="E89" s="39">
        <v>73.599998470000003</v>
      </c>
      <c r="F89" s="39">
        <v>74.300003050000001</v>
      </c>
      <c r="G89" s="39">
        <v>74.900001529999997</v>
      </c>
      <c r="H89" s="39">
        <v>76</v>
      </c>
      <c r="I89" s="39">
        <v>76.099998470000003</v>
      </c>
      <c r="J89" s="39">
        <v>76.599998470000003</v>
      </c>
      <c r="K89" s="39">
        <v>77.099998470000003</v>
      </c>
      <c r="L89" s="39">
        <v>77.699996949999999</v>
      </c>
      <c r="M89" s="39">
        <v>78.219800000000006</v>
      </c>
      <c r="N89" s="39"/>
      <c r="O89" s="39">
        <v>79</v>
      </c>
      <c r="P89" s="39">
        <v>79.286613459999998</v>
      </c>
      <c r="Q89" s="39">
        <v>79.600333059999997</v>
      </c>
      <c r="R89" s="39"/>
      <c r="S89" s="39"/>
      <c r="T89" s="36"/>
      <c r="U89" s="37"/>
      <c r="V89" s="38"/>
      <c r="W89" s="38"/>
      <c r="X89" s="38"/>
      <c r="Y89" s="38"/>
      <c r="Z89" s="38"/>
      <c r="AA89" s="33">
        <v>79.600333059999997</v>
      </c>
      <c r="AB89">
        <v>2007</v>
      </c>
      <c r="AC89">
        <v>12</v>
      </c>
    </row>
    <row r="90" spans="3:29" ht="13">
      <c r="C90" s="1" t="s">
        <v>27</v>
      </c>
      <c r="D90" s="1" t="s">
        <v>352</v>
      </c>
      <c r="E90" s="39">
        <v>100</v>
      </c>
      <c r="F90" s="39">
        <v>100</v>
      </c>
      <c r="G90" s="39"/>
      <c r="H90" s="39"/>
      <c r="I90" s="39">
        <v>100</v>
      </c>
      <c r="J90" s="39"/>
      <c r="K90" s="39"/>
      <c r="L90" s="39"/>
      <c r="M90" s="39">
        <v>100</v>
      </c>
      <c r="N90" s="39">
        <v>100</v>
      </c>
      <c r="O90" s="39">
        <v>100</v>
      </c>
      <c r="P90" s="39">
        <v>100</v>
      </c>
      <c r="Q90" s="39">
        <v>100</v>
      </c>
      <c r="R90" s="39">
        <v>100</v>
      </c>
      <c r="S90" s="36"/>
      <c r="T90" s="36"/>
      <c r="U90" s="37"/>
      <c r="V90" s="38"/>
      <c r="W90" s="38"/>
      <c r="X90" s="38"/>
      <c r="Y90" s="38"/>
      <c r="Z90" s="38"/>
      <c r="AA90" s="33">
        <v>100</v>
      </c>
      <c r="AB90">
        <v>2008</v>
      </c>
      <c r="AC90">
        <v>9</v>
      </c>
    </row>
    <row r="91" spans="3:29" ht="13">
      <c r="C91" s="1" t="s">
        <v>129</v>
      </c>
      <c r="D91" s="1" t="s">
        <v>168</v>
      </c>
      <c r="E91" s="39">
        <v>76.300003050000001</v>
      </c>
      <c r="F91" s="39">
        <v>80.5</v>
      </c>
      <c r="G91" s="39">
        <v>82.800003050000001</v>
      </c>
      <c r="H91" s="39">
        <v>86.5</v>
      </c>
      <c r="I91" s="39"/>
      <c r="J91" s="39"/>
      <c r="K91" s="39"/>
      <c r="L91" s="39"/>
      <c r="M91" s="39">
        <v>93.97000122</v>
      </c>
      <c r="N91" s="39">
        <v>93.430000309999997</v>
      </c>
      <c r="O91" s="39">
        <v>91.160003660000001</v>
      </c>
      <c r="P91" s="39">
        <v>91.434312989999995</v>
      </c>
      <c r="Q91" s="39">
        <v>90.258045809999999</v>
      </c>
      <c r="R91" s="39">
        <v>89.88</v>
      </c>
      <c r="S91" s="36"/>
      <c r="T91" s="36"/>
      <c r="U91" s="37"/>
      <c r="V91" s="38"/>
      <c r="W91" s="38"/>
      <c r="X91" s="38"/>
      <c r="Y91" s="38"/>
      <c r="Z91" s="38"/>
      <c r="AA91" s="33">
        <v>89.88</v>
      </c>
      <c r="AB91">
        <v>2008</v>
      </c>
      <c r="AC91">
        <v>10</v>
      </c>
    </row>
    <row r="92" spans="3:29" ht="13">
      <c r="C92" s="1" t="s">
        <v>196</v>
      </c>
      <c r="D92" s="1" t="s">
        <v>259</v>
      </c>
      <c r="E92" s="39">
        <v>13.80000019</v>
      </c>
      <c r="F92" s="39">
        <v>12.100000380000001</v>
      </c>
      <c r="G92" s="39">
        <v>12.100000380000001</v>
      </c>
      <c r="H92" s="39">
        <v>12.100000380000001</v>
      </c>
      <c r="I92" s="39">
        <v>12.100000380000001</v>
      </c>
      <c r="J92" s="39">
        <v>12.100000380000001</v>
      </c>
      <c r="K92" s="39"/>
      <c r="L92" s="39"/>
      <c r="M92" s="39"/>
      <c r="N92" s="39">
        <v>14.119999890000001</v>
      </c>
      <c r="O92" s="39"/>
      <c r="P92" s="39"/>
      <c r="Q92" s="39"/>
      <c r="R92" s="39"/>
      <c r="S92" s="36"/>
      <c r="T92" s="36"/>
      <c r="U92" s="37"/>
      <c r="V92" s="38"/>
      <c r="W92" s="38"/>
      <c r="X92" s="38"/>
      <c r="Y92" s="38"/>
      <c r="Z92" s="38"/>
      <c r="AA92" s="33">
        <v>14.119999890000001</v>
      </c>
      <c r="AB92">
        <v>2004</v>
      </c>
      <c r="AC92">
        <v>7</v>
      </c>
    </row>
    <row r="93" spans="3:29" ht="13">
      <c r="C93" s="1" t="s">
        <v>249</v>
      </c>
      <c r="D93" s="1" t="s">
        <v>16</v>
      </c>
      <c r="E93" s="36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7"/>
      <c r="V93" s="38"/>
      <c r="W93" s="38"/>
      <c r="X93" s="38"/>
      <c r="Y93" s="38"/>
      <c r="Z93" s="38"/>
      <c r="AA93" s="33" t="e">
        <v>#N/A</v>
      </c>
      <c r="AC93">
        <v>0</v>
      </c>
    </row>
    <row r="94" spans="3:29" ht="13">
      <c r="C94" s="1" t="s">
        <v>356</v>
      </c>
      <c r="D94" s="1" t="s">
        <v>294</v>
      </c>
      <c r="E94" s="39">
        <v>6.3000001909999996</v>
      </c>
      <c r="F94" s="39">
        <v>6.4000000950000002</v>
      </c>
      <c r="G94" s="39">
        <v>6.4000000950000002</v>
      </c>
      <c r="H94" s="39">
        <v>6.4000000950000002</v>
      </c>
      <c r="I94" s="39">
        <v>6.4000000950000002</v>
      </c>
      <c r="J94" s="39">
        <v>6.4000000950000002</v>
      </c>
      <c r="K94" s="39"/>
      <c r="L94" s="39"/>
      <c r="M94" s="39"/>
      <c r="N94" s="39"/>
      <c r="O94" s="39"/>
      <c r="P94" s="39">
        <v>2.8332159520000002</v>
      </c>
      <c r="Q94" s="39"/>
      <c r="R94" s="39"/>
      <c r="S94" s="36"/>
      <c r="T94" s="36"/>
      <c r="U94" s="37"/>
      <c r="V94" s="38"/>
      <c r="W94" s="38"/>
      <c r="X94" s="38"/>
      <c r="Y94" s="38"/>
      <c r="Z94" s="38"/>
      <c r="AA94" s="33">
        <v>2.8332159520000002</v>
      </c>
      <c r="AB94">
        <v>2006</v>
      </c>
      <c r="AC94">
        <v>7</v>
      </c>
    </row>
    <row r="95" spans="3:29" ht="13">
      <c r="C95" s="1" t="s">
        <v>282</v>
      </c>
      <c r="D95" s="1" t="s">
        <v>140</v>
      </c>
      <c r="E95" s="39">
        <v>76</v>
      </c>
      <c r="F95" s="39">
        <v>72.699996949999999</v>
      </c>
      <c r="G95" s="39">
        <v>74</v>
      </c>
      <c r="H95" s="39">
        <v>74.5</v>
      </c>
      <c r="I95" s="39">
        <v>74.5</v>
      </c>
      <c r="J95" s="39">
        <v>74.5</v>
      </c>
      <c r="K95" s="39">
        <v>76.699996949999999</v>
      </c>
      <c r="L95" s="39">
        <v>76.699996949999999</v>
      </c>
      <c r="M95" s="39">
        <v>76.88999939</v>
      </c>
      <c r="N95" s="39">
        <v>86.760002139999997</v>
      </c>
      <c r="O95" s="39">
        <v>76.819999690000003</v>
      </c>
      <c r="P95" s="39">
        <v>77.5</v>
      </c>
      <c r="Q95" s="39">
        <v>78.3</v>
      </c>
      <c r="R95" s="39">
        <v>78.5</v>
      </c>
      <c r="S95" s="39"/>
      <c r="T95" s="36"/>
      <c r="U95" s="37"/>
      <c r="V95" s="38"/>
      <c r="W95" s="38"/>
      <c r="X95" s="38"/>
      <c r="Y95" s="38"/>
      <c r="Z95" s="38"/>
      <c r="AA95" s="33">
        <v>78.5</v>
      </c>
      <c r="AB95">
        <v>2008</v>
      </c>
      <c r="AC95">
        <v>14</v>
      </c>
    </row>
    <row r="96" spans="3:29" ht="13">
      <c r="C96" s="1" t="s">
        <v>26</v>
      </c>
      <c r="D96" s="1" t="s">
        <v>235</v>
      </c>
      <c r="E96" s="39">
        <v>80.5</v>
      </c>
      <c r="F96" s="39">
        <v>80.599998470000003</v>
      </c>
      <c r="G96" s="39">
        <v>80.599998470000003</v>
      </c>
      <c r="H96" s="39">
        <v>80.599998470000003</v>
      </c>
      <c r="I96" s="39">
        <v>80.599998470000003</v>
      </c>
      <c r="J96" s="39">
        <v>80.599998470000003</v>
      </c>
      <c r="K96" s="39"/>
      <c r="L96" s="39"/>
      <c r="M96" s="39">
        <v>84.400001529999997</v>
      </c>
      <c r="N96" s="39">
        <v>85</v>
      </c>
      <c r="O96" s="39"/>
      <c r="P96" s="39"/>
      <c r="Q96" s="39"/>
      <c r="R96" s="39"/>
      <c r="S96" s="36"/>
      <c r="T96" s="36"/>
      <c r="U96" s="37"/>
      <c r="V96" s="38"/>
      <c r="W96" s="38"/>
      <c r="X96" s="38"/>
      <c r="Y96" s="38"/>
      <c r="Z96" s="38"/>
      <c r="AA96" s="33">
        <v>85</v>
      </c>
      <c r="AB96">
        <v>2004</v>
      </c>
      <c r="AC96">
        <v>8</v>
      </c>
    </row>
    <row r="97" spans="3:29" ht="13">
      <c r="C97" s="1" t="s">
        <v>177</v>
      </c>
      <c r="D97" s="1" t="s">
        <v>174</v>
      </c>
      <c r="E97" s="39">
        <v>91</v>
      </c>
      <c r="F97" s="39">
        <v>91.099998470000003</v>
      </c>
      <c r="G97" s="39">
        <v>91.099998470000003</v>
      </c>
      <c r="H97" s="39">
        <v>91.099998470000003</v>
      </c>
      <c r="I97" s="39">
        <v>91.099998470000003</v>
      </c>
      <c r="J97" s="39">
        <v>91.099998470000003</v>
      </c>
      <c r="K97" s="39">
        <v>91.099998470000003</v>
      </c>
      <c r="L97" s="39"/>
      <c r="M97" s="39"/>
      <c r="N97" s="39"/>
      <c r="O97" s="39"/>
      <c r="P97" s="39"/>
      <c r="Q97" s="39"/>
      <c r="R97" s="39"/>
      <c r="S97" s="36"/>
      <c r="T97" s="36"/>
      <c r="U97" s="37"/>
      <c r="V97" s="38"/>
      <c r="W97" s="38"/>
      <c r="X97" s="38"/>
      <c r="Y97" s="38"/>
      <c r="Z97" s="38"/>
      <c r="AA97" s="33">
        <v>91.099998470000003</v>
      </c>
      <c r="AB97">
        <v>2001</v>
      </c>
      <c r="AC97">
        <v>7</v>
      </c>
    </row>
    <row r="98" spans="3:29" ht="13">
      <c r="C98" s="1" t="s">
        <v>118</v>
      </c>
      <c r="D98" s="1" t="s">
        <v>76</v>
      </c>
      <c r="E98" s="32">
        <v>13.80000019</v>
      </c>
      <c r="F98" s="36"/>
      <c r="G98" s="36"/>
      <c r="H98" s="36"/>
      <c r="I98" s="36"/>
      <c r="J98" s="36"/>
      <c r="K98" s="36"/>
      <c r="L98" s="32">
        <v>14.06999969</v>
      </c>
      <c r="M98" s="32">
        <v>14.40999985</v>
      </c>
      <c r="N98" s="36"/>
      <c r="O98" s="32">
        <v>13.4</v>
      </c>
      <c r="P98" s="32">
        <v>12.9</v>
      </c>
      <c r="Q98" s="32">
        <v>13.06</v>
      </c>
      <c r="R98" s="32">
        <v>13.54</v>
      </c>
      <c r="S98" s="36"/>
      <c r="T98" s="36"/>
      <c r="U98" s="37"/>
      <c r="V98" s="38"/>
      <c r="W98" s="38"/>
      <c r="X98" s="38"/>
      <c r="Y98" s="38"/>
      <c r="Z98" s="38"/>
      <c r="AA98" s="33">
        <v>13.54</v>
      </c>
      <c r="AB98">
        <v>2008</v>
      </c>
      <c r="AC98">
        <v>7</v>
      </c>
    </row>
    <row r="99" spans="3:29" ht="13">
      <c r="C99" s="1" t="s">
        <v>384</v>
      </c>
      <c r="D99" s="1" t="s">
        <v>183</v>
      </c>
      <c r="E99" s="39"/>
      <c r="F99" s="39"/>
      <c r="G99" s="39"/>
      <c r="H99" s="39"/>
      <c r="I99" s="39"/>
      <c r="J99" s="39"/>
      <c r="K99" s="39"/>
      <c r="L99" s="39">
        <v>100</v>
      </c>
      <c r="M99" s="39">
        <v>100</v>
      </c>
      <c r="N99" s="39">
        <v>100</v>
      </c>
      <c r="O99" s="39">
        <v>100</v>
      </c>
      <c r="P99" s="39">
        <v>100</v>
      </c>
      <c r="Q99" s="39">
        <v>100</v>
      </c>
      <c r="R99" s="39">
        <v>100</v>
      </c>
      <c r="S99" s="36"/>
      <c r="T99" s="36"/>
      <c r="U99" s="37"/>
      <c r="V99" s="38"/>
      <c r="W99" s="38"/>
      <c r="X99" s="38"/>
      <c r="Y99" s="38"/>
      <c r="Z99" s="38"/>
      <c r="AA99" s="33">
        <v>100</v>
      </c>
      <c r="AB99">
        <v>2008</v>
      </c>
      <c r="AC99">
        <v>7</v>
      </c>
    </row>
    <row r="100" spans="3:29" ht="13">
      <c r="C100" s="1" t="s">
        <v>135</v>
      </c>
      <c r="D100" s="1" t="s">
        <v>199</v>
      </c>
      <c r="E100" s="39">
        <v>95</v>
      </c>
      <c r="F100" s="39">
        <v>95</v>
      </c>
      <c r="G100" s="39"/>
      <c r="H100" s="39"/>
      <c r="I100" s="39">
        <v>84.900001529999997</v>
      </c>
      <c r="J100" s="39"/>
      <c r="K100" s="39"/>
      <c r="L100" s="39"/>
      <c r="M100" s="39"/>
      <c r="N100" s="39"/>
      <c r="O100" s="39"/>
      <c r="P100" s="39"/>
      <c r="Q100" s="39"/>
      <c r="R100" s="39"/>
      <c r="S100" s="36"/>
      <c r="T100" s="36"/>
      <c r="U100" s="37"/>
      <c r="V100" s="38"/>
      <c r="W100" s="38"/>
      <c r="X100" s="38"/>
      <c r="Y100" s="38"/>
      <c r="Z100" s="38"/>
      <c r="AA100" s="33">
        <v>84.900001529999997</v>
      </c>
      <c r="AB100">
        <v>1999</v>
      </c>
      <c r="AC100">
        <v>3</v>
      </c>
    </row>
    <row r="101" spans="3:29" ht="13">
      <c r="C101" s="1" t="s">
        <v>345</v>
      </c>
      <c r="D101" s="1" t="s">
        <v>200</v>
      </c>
      <c r="E101" s="32">
        <v>17.899999619999999</v>
      </c>
      <c r="F101" s="32">
        <v>17.899999619999999</v>
      </c>
      <c r="G101" s="32">
        <v>16.799999239999998</v>
      </c>
      <c r="H101" s="32">
        <v>17.299999239999998</v>
      </c>
      <c r="I101" s="32">
        <v>18.299999239999998</v>
      </c>
      <c r="J101" s="32">
        <v>18.299999239999998</v>
      </c>
      <c r="K101" s="32">
        <v>18.299999239999998</v>
      </c>
      <c r="L101" s="36"/>
      <c r="M101" s="36"/>
      <c r="N101" s="36"/>
      <c r="O101" s="36"/>
      <c r="P101" s="36"/>
      <c r="Q101" s="36"/>
      <c r="R101" s="36"/>
      <c r="S101" s="36"/>
      <c r="T101" s="36"/>
      <c r="U101" s="37"/>
      <c r="V101" s="38"/>
      <c r="W101" s="38"/>
      <c r="X101" s="38"/>
      <c r="Y101" s="38"/>
      <c r="Z101" s="38"/>
      <c r="AA101" s="33">
        <v>18.299999239999998</v>
      </c>
      <c r="AB101">
        <v>2001</v>
      </c>
      <c r="AC101">
        <v>7</v>
      </c>
    </row>
    <row r="102" spans="3:29" ht="13">
      <c r="C102" s="1" t="s">
        <v>139</v>
      </c>
      <c r="D102" s="1" t="s">
        <v>253</v>
      </c>
      <c r="E102" s="32">
        <v>6.0999999049999998</v>
      </c>
      <c r="F102" s="32">
        <v>6.1999998090000004</v>
      </c>
      <c r="G102" s="32">
        <v>6.1999998090000004</v>
      </c>
      <c r="H102" s="32">
        <v>6.1999998090000004</v>
      </c>
      <c r="I102" s="32">
        <v>6.1999998090000004</v>
      </c>
      <c r="J102" s="32">
        <v>6.1999998090000004</v>
      </c>
      <c r="K102" s="32">
        <v>6.1999998090000004</v>
      </c>
      <c r="L102" s="36"/>
      <c r="M102" s="36"/>
      <c r="N102" s="36"/>
      <c r="O102" s="36"/>
      <c r="P102" s="36"/>
      <c r="Q102" s="36"/>
      <c r="R102" s="36"/>
      <c r="S102" s="36"/>
      <c r="T102" s="36"/>
      <c r="U102" s="37"/>
      <c r="V102" s="38"/>
      <c r="W102" s="38"/>
      <c r="X102" s="38"/>
      <c r="Y102" s="38"/>
      <c r="Z102" s="38"/>
      <c r="AA102" s="33">
        <v>6.1999998090000004</v>
      </c>
      <c r="AB102">
        <v>2001</v>
      </c>
      <c r="AC102">
        <v>7</v>
      </c>
    </row>
    <row r="103" spans="3:29" ht="13">
      <c r="C103" s="1" t="s">
        <v>141</v>
      </c>
      <c r="D103" s="1" t="s">
        <v>77</v>
      </c>
      <c r="E103" s="39">
        <v>57.099998470000003</v>
      </c>
      <c r="F103" s="39"/>
      <c r="G103" s="39"/>
      <c r="H103" s="39"/>
      <c r="I103" s="39">
        <v>57.200000760000002</v>
      </c>
      <c r="J103" s="39">
        <v>57.200000760000002</v>
      </c>
      <c r="K103" s="39">
        <v>57.200000760000002</v>
      </c>
      <c r="L103" s="39"/>
      <c r="M103" s="39"/>
      <c r="N103" s="39"/>
      <c r="O103" s="39"/>
      <c r="P103" s="39"/>
      <c r="Q103" s="39"/>
      <c r="R103" s="39"/>
      <c r="S103" s="36"/>
      <c r="T103" s="36"/>
      <c r="U103" s="37"/>
      <c r="V103" s="38"/>
      <c r="W103" s="38"/>
      <c r="X103" s="38"/>
      <c r="Y103" s="38"/>
      <c r="Z103" s="38"/>
      <c r="AA103" s="33">
        <v>57.200000760000002</v>
      </c>
      <c r="AB103">
        <v>2001</v>
      </c>
      <c r="AC103">
        <v>4</v>
      </c>
    </row>
    <row r="104" spans="3:29" ht="13">
      <c r="C104" s="1" t="s">
        <v>201</v>
      </c>
      <c r="D104" s="1" t="s">
        <v>21</v>
      </c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7"/>
      <c r="V104" s="38"/>
      <c r="W104" s="38"/>
      <c r="X104" s="38"/>
      <c r="Y104" s="38"/>
      <c r="Z104" s="38"/>
      <c r="AA104" s="33" t="e">
        <v>#N/A</v>
      </c>
      <c r="AC104">
        <v>0</v>
      </c>
    </row>
    <row r="105" spans="3:29" ht="13">
      <c r="C105" s="1" t="s">
        <v>391</v>
      </c>
      <c r="D105" s="1" t="s">
        <v>389</v>
      </c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>
        <v>28.299999239999998</v>
      </c>
      <c r="P105" s="39">
        <v>28.38942789</v>
      </c>
      <c r="Q105" s="39">
        <v>28.60558756</v>
      </c>
      <c r="R105" s="39">
        <v>28.6</v>
      </c>
      <c r="S105" s="36"/>
      <c r="T105" s="36"/>
      <c r="U105" s="37"/>
      <c r="V105" s="38"/>
      <c r="W105" s="38"/>
      <c r="X105" s="38"/>
      <c r="Y105" s="38"/>
      <c r="Z105" s="38"/>
      <c r="AA105" s="33">
        <v>28.6</v>
      </c>
      <c r="AB105">
        <v>2008</v>
      </c>
      <c r="AC105">
        <v>4</v>
      </c>
    </row>
    <row r="106" spans="3:29" ht="13">
      <c r="C106" s="1" t="s">
        <v>381</v>
      </c>
      <c r="D106" s="1" t="s">
        <v>280</v>
      </c>
      <c r="E106" s="39">
        <v>99</v>
      </c>
      <c r="F106" s="39">
        <v>100</v>
      </c>
      <c r="G106" s="39">
        <v>99</v>
      </c>
      <c r="H106" s="39">
        <v>100</v>
      </c>
      <c r="I106" s="39">
        <v>100</v>
      </c>
      <c r="J106" s="39">
        <v>100</v>
      </c>
      <c r="K106" s="39">
        <v>100</v>
      </c>
      <c r="L106" s="39">
        <v>100</v>
      </c>
      <c r="M106" s="39">
        <v>100</v>
      </c>
      <c r="N106" s="39">
        <v>100</v>
      </c>
      <c r="O106" s="39"/>
      <c r="P106" s="39"/>
      <c r="Q106" s="39"/>
      <c r="R106" s="39"/>
      <c r="S106" s="39"/>
      <c r="T106" s="36"/>
      <c r="U106" s="37"/>
      <c r="V106" s="38"/>
      <c r="W106" s="38"/>
      <c r="X106" s="38"/>
      <c r="Y106" s="38"/>
      <c r="Z106" s="38"/>
      <c r="AA106" s="33">
        <v>100</v>
      </c>
      <c r="AB106">
        <v>2004</v>
      </c>
      <c r="AC106">
        <v>10</v>
      </c>
    </row>
    <row r="107" spans="3:29" ht="13">
      <c r="C107" s="1" t="s">
        <v>101</v>
      </c>
      <c r="D107" s="1" t="s">
        <v>92</v>
      </c>
      <c r="E107" s="32">
        <v>11.5</v>
      </c>
      <c r="F107" s="32">
        <v>11.600000380000001</v>
      </c>
      <c r="G107" s="36"/>
      <c r="H107" s="36"/>
      <c r="I107" s="32">
        <v>11.600000380000001</v>
      </c>
      <c r="J107" s="32">
        <v>11.600000380000001</v>
      </c>
      <c r="K107" s="32">
        <v>11.600000380000001</v>
      </c>
      <c r="L107" s="36"/>
      <c r="M107" s="36"/>
      <c r="N107" s="36"/>
      <c r="O107" s="36"/>
      <c r="P107" s="36"/>
      <c r="Q107" s="36"/>
      <c r="R107" s="36"/>
      <c r="S107" s="36"/>
      <c r="T107" s="36"/>
      <c r="U107" s="37"/>
      <c r="V107" s="38"/>
      <c r="W107" s="38"/>
      <c r="X107" s="38"/>
      <c r="Y107" s="38"/>
      <c r="Z107" s="38"/>
      <c r="AA107" s="33">
        <v>11.600000380000001</v>
      </c>
      <c r="AB107">
        <v>2001</v>
      </c>
      <c r="AC107">
        <v>5</v>
      </c>
    </row>
    <row r="108" spans="3:29" ht="13">
      <c r="C108" s="1" t="s">
        <v>292</v>
      </c>
      <c r="D108" s="1" t="s">
        <v>263</v>
      </c>
      <c r="E108" s="36"/>
      <c r="F108" s="36"/>
      <c r="G108" s="36"/>
      <c r="H108" s="36"/>
      <c r="I108" s="36"/>
      <c r="J108" s="36"/>
      <c r="K108" s="36"/>
      <c r="L108" s="36"/>
      <c r="M108" s="32">
        <v>45.020000459999999</v>
      </c>
      <c r="N108" s="36"/>
      <c r="O108" s="36"/>
      <c r="P108" s="36"/>
      <c r="Q108" s="36"/>
      <c r="R108" s="36"/>
      <c r="S108" s="36"/>
      <c r="T108" s="36"/>
      <c r="U108" s="37"/>
      <c r="V108" s="38"/>
      <c r="W108" s="38"/>
      <c r="X108" s="38"/>
      <c r="Y108" s="38"/>
      <c r="Z108" s="38"/>
      <c r="AA108" s="33">
        <v>45.020000459999999</v>
      </c>
      <c r="AB108">
        <v>2003</v>
      </c>
      <c r="AC108">
        <v>1</v>
      </c>
    </row>
    <row r="109" spans="3:29" ht="13">
      <c r="C109" s="1" t="s">
        <v>41</v>
      </c>
      <c r="D109" s="1" t="s">
        <v>107</v>
      </c>
      <c r="E109" s="39">
        <v>73.919808689999996</v>
      </c>
      <c r="F109" s="39">
        <v>73.99108889</v>
      </c>
      <c r="G109" s="39">
        <v>74.455389719999999</v>
      </c>
      <c r="H109" s="39">
        <v>75.582883030000005</v>
      </c>
      <c r="I109" s="39">
        <v>75.317688529999998</v>
      </c>
      <c r="J109" s="39">
        <v>76.184814509999995</v>
      </c>
      <c r="K109" s="39">
        <v>77.885927539999997</v>
      </c>
      <c r="L109" s="39"/>
      <c r="M109" s="39">
        <v>80.849998470000003</v>
      </c>
      <c r="N109" s="39">
        <v>81.319999690000003</v>
      </c>
      <c r="O109" s="39"/>
      <c r="P109" s="39">
        <v>82.772813330000005</v>
      </c>
      <c r="Q109" s="39"/>
      <c r="R109" s="39"/>
      <c r="S109" s="36"/>
      <c r="T109" s="36"/>
      <c r="U109" s="37"/>
      <c r="V109" s="38"/>
      <c r="W109" s="38"/>
      <c r="X109" s="38"/>
      <c r="Y109" s="38"/>
      <c r="Z109" s="38"/>
      <c r="AA109" s="33">
        <v>82.772813330000005</v>
      </c>
      <c r="AB109">
        <v>2006</v>
      </c>
      <c r="AC109">
        <v>10</v>
      </c>
    </row>
    <row r="110" spans="3:29" ht="13">
      <c r="C110" s="1" t="s">
        <v>98</v>
      </c>
      <c r="D110" s="1" t="s">
        <v>33</v>
      </c>
      <c r="E110" s="36"/>
      <c r="F110" s="36"/>
      <c r="G110" s="36"/>
      <c r="H110" s="36"/>
      <c r="I110" s="36"/>
      <c r="J110" s="36"/>
      <c r="K110" s="36"/>
      <c r="L110" s="36"/>
      <c r="M110" s="36"/>
      <c r="N110" s="36"/>
      <c r="O110" s="32">
        <v>100</v>
      </c>
      <c r="P110" s="36"/>
      <c r="Q110" s="36"/>
      <c r="R110" s="36"/>
      <c r="S110" s="36"/>
      <c r="T110" s="36"/>
      <c r="U110" s="37"/>
      <c r="V110" s="38"/>
      <c r="W110" s="38"/>
      <c r="X110" s="38"/>
      <c r="Y110" s="38"/>
      <c r="Z110" s="38"/>
      <c r="AA110" s="33">
        <v>100</v>
      </c>
      <c r="AB110">
        <v>2005</v>
      </c>
      <c r="AC110">
        <v>1</v>
      </c>
    </row>
    <row r="111" spans="3:29" ht="13">
      <c r="C111" s="1" t="s">
        <v>208</v>
      </c>
      <c r="D111" s="1" t="s">
        <v>278</v>
      </c>
      <c r="E111" s="32">
        <v>12</v>
      </c>
      <c r="F111" s="32">
        <v>12.100000380000001</v>
      </c>
      <c r="G111" s="32">
        <v>12.100000380000001</v>
      </c>
      <c r="H111" s="32">
        <v>12.100000380000001</v>
      </c>
      <c r="I111" s="32">
        <v>12.100000380000001</v>
      </c>
      <c r="J111" s="32">
        <v>12.100000380000001</v>
      </c>
      <c r="K111" s="36"/>
      <c r="L111" s="36"/>
      <c r="M111" s="36"/>
      <c r="N111" s="32">
        <v>18</v>
      </c>
      <c r="O111" s="32">
        <v>19.03553299</v>
      </c>
      <c r="P111" s="36"/>
      <c r="Q111" s="36"/>
      <c r="R111" s="36"/>
      <c r="S111" s="36"/>
      <c r="T111" s="36"/>
      <c r="U111" s="37"/>
      <c r="V111" s="38"/>
      <c r="W111" s="38"/>
      <c r="X111" s="38"/>
      <c r="Y111" s="38"/>
      <c r="Z111" s="38"/>
      <c r="AA111" s="33">
        <v>19.03553299</v>
      </c>
      <c r="AB111">
        <v>2005</v>
      </c>
      <c r="AC111">
        <v>8</v>
      </c>
    </row>
    <row r="112" spans="3:29" ht="13">
      <c r="C112" s="1" t="s">
        <v>217</v>
      </c>
      <c r="D112" s="1" t="s">
        <v>269</v>
      </c>
      <c r="E112" s="39">
        <v>95</v>
      </c>
      <c r="F112" s="39">
        <v>95</v>
      </c>
      <c r="G112" s="39">
        <v>95</v>
      </c>
      <c r="H112" s="39">
        <v>95</v>
      </c>
      <c r="I112" s="39"/>
      <c r="J112" s="39">
        <v>88</v>
      </c>
      <c r="K112" s="39">
        <v>88</v>
      </c>
      <c r="L112" s="39">
        <v>90</v>
      </c>
      <c r="M112" s="39">
        <v>87.52999878</v>
      </c>
      <c r="N112" s="39">
        <v>87.52999878</v>
      </c>
      <c r="O112" s="39"/>
      <c r="P112" s="39"/>
      <c r="Q112" s="39"/>
      <c r="R112" s="39">
        <v>87.53</v>
      </c>
      <c r="S112" s="36"/>
      <c r="T112" s="36"/>
      <c r="U112" s="37"/>
      <c r="V112" s="38"/>
      <c r="W112" s="38"/>
      <c r="X112" s="38"/>
      <c r="Y112" s="38"/>
      <c r="Z112" s="38"/>
      <c r="AA112" s="33">
        <v>87.53</v>
      </c>
      <c r="AB112">
        <v>2008</v>
      </c>
      <c r="AC112">
        <v>10</v>
      </c>
    </row>
    <row r="113" spans="3:29" ht="13">
      <c r="C113" s="1" t="s">
        <v>275</v>
      </c>
      <c r="D113" s="1" t="s">
        <v>194</v>
      </c>
      <c r="E113" s="36"/>
      <c r="F113" s="36"/>
      <c r="G113" s="36"/>
      <c r="H113" s="36"/>
      <c r="I113" s="36"/>
      <c r="J113" s="36"/>
      <c r="K113" s="36"/>
      <c r="L113" s="36"/>
      <c r="M113" s="36"/>
      <c r="N113" s="36"/>
      <c r="O113" s="36"/>
      <c r="P113" s="36"/>
      <c r="Q113" s="36"/>
      <c r="R113" s="36"/>
      <c r="S113" s="36"/>
      <c r="T113" s="36"/>
      <c r="U113" s="37"/>
      <c r="V113" s="38"/>
      <c r="W113" s="38"/>
      <c r="X113" s="38"/>
      <c r="Y113" s="38"/>
      <c r="Z113" s="38"/>
      <c r="AA113" s="33" t="e">
        <v>#N/A</v>
      </c>
      <c r="AC113">
        <v>0</v>
      </c>
    </row>
    <row r="114" spans="3:29" ht="13">
      <c r="C114" s="1" t="s">
        <v>370</v>
      </c>
      <c r="D114" s="1" t="s">
        <v>114</v>
      </c>
      <c r="E114" s="36"/>
      <c r="F114" s="36"/>
      <c r="G114" s="36"/>
      <c r="H114" s="36"/>
      <c r="I114" s="36"/>
      <c r="J114" s="36"/>
      <c r="K114" s="36"/>
      <c r="L114" s="36"/>
      <c r="M114" s="36"/>
      <c r="N114" s="32">
        <v>32.618025750000001</v>
      </c>
      <c r="O114" s="32">
        <v>30.299999239999998</v>
      </c>
      <c r="P114" s="32">
        <v>26.847999999999999</v>
      </c>
      <c r="Q114" s="32">
        <v>26.847999999999999</v>
      </c>
      <c r="R114" s="36"/>
      <c r="S114" s="36"/>
      <c r="T114" s="36"/>
      <c r="U114" s="37"/>
      <c r="V114" s="38"/>
      <c r="W114" s="38"/>
      <c r="X114" s="38"/>
      <c r="Y114" s="38"/>
      <c r="Z114" s="38"/>
      <c r="AA114" s="33">
        <v>26.847999999999999</v>
      </c>
      <c r="AB114">
        <v>2007</v>
      </c>
      <c r="AC114">
        <v>4</v>
      </c>
    </row>
    <row r="115" spans="3:29" ht="13">
      <c r="C115" s="1" t="s">
        <v>321</v>
      </c>
      <c r="D115" s="1" t="s">
        <v>333</v>
      </c>
      <c r="E115" s="32">
        <v>93</v>
      </c>
      <c r="F115" s="32">
        <v>95</v>
      </c>
      <c r="G115" s="32">
        <v>95</v>
      </c>
      <c r="H115" s="32">
        <v>96</v>
      </c>
      <c r="I115" s="32">
        <v>96</v>
      </c>
      <c r="J115" s="32">
        <v>97</v>
      </c>
      <c r="K115" s="32">
        <v>98</v>
      </c>
      <c r="L115" s="32">
        <v>98</v>
      </c>
      <c r="M115" s="32">
        <v>100</v>
      </c>
      <c r="N115" s="32">
        <v>100</v>
      </c>
      <c r="O115" s="32">
        <v>100</v>
      </c>
      <c r="P115" s="32">
        <v>98.020781790000001</v>
      </c>
      <c r="Q115" s="32">
        <v>98.027613410000001</v>
      </c>
      <c r="R115" s="32">
        <v>98.03</v>
      </c>
      <c r="S115" s="36"/>
      <c r="T115" s="36"/>
      <c r="U115" s="37"/>
      <c r="V115" s="38"/>
      <c r="W115" s="38"/>
      <c r="X115" s="38"/>
      <c r="Y115" s="38"/>
      <c r="Z115" s="38"/>
      <c r="AA115" s="33">
        <v>98.03</v>
      </c>
      <c r="AB115">
        <v>2008</v>
      </c>
      <c r="AC115">
        <v>14</v>
      </c>
    </row>
    <row r="116" spans="3:29" ht="13">
      <c r="C116" s="1" t="s">
        <v>83</v>
      </c>
      <c r="D116" s="1" t="s">
        <v>192</v>
      </c>
      <c r="E116" s="39">
        <v>31.299999239999998</v>
      </c>
      <c r="F116" s="39">
        <v>31.799999239999998</v>
      </c>
      <c r="G116" s="39">
        <v>29.700000760000002</v>
      </c>
      <c r="H116" s="39">
        <v>34.299999239999998</v>
      </c>
      <c r="I116" s="39">
        <v>32.799999239999998</v>
      </c>
      <c r="J116" s="39">
        <v>32.799999239999998</v>
      </c>
      <c r="K116" s="39"/>
      <c r="L116" s="39">
        <v>33.5</v>
      </c>
      <c r="M116" s="39">
        <v>35.759998320000001</v>
      </c>
      <c r="N116" s="39">
        <v>36.310001370000002</v>
      </c>
      <c r="O116" s="39">
        <v>36.979999540000001</v>
      </c>
      <c r="P116" s="39">
        <v>33.47</v>
      </c>
      <c r="Q116" s="39">
        <v>34.96</v>
      </c>
      <c r="R116" s="39">
        <v>35.28</v>
      </c>
      <c r="S116" s="39"/>
      <c r="T116" s="36"/>
      <c r="U116" s="37"/>
      <c r="V116" s="38"/>
      <c r="W116" s="38"/>
      <c r="X116" s="38"/>
      <c r="Y116" s="38"/>
      <c r="Z116" s="38"/>
      <c r="AA116" s="33">
        <v>35.28</v>
      </c>
      <c r="AB116">
        <v>2008</v>
      </c>
      <c r="AC116">
        <v>13</v>
      </c>
    </row>
    <row r="117" spans="3:29" ht="13">
      <c r="C117" s="1" t="s">
        <v>170</v>
      </c>
      <c r="D117" s="1" t="s">
        <v>293</v>
      </c>
      <c r="E117" s="32">
        <v>17.600000380000001</v>
      </c>
      <c r="F117" s="32">
        <v>17.700000760000002</v>
      </c>
      <c r="G117" s="32">
        <v>17.5</v>
      </c>
      <c r="H117" s="32">
        <v>17.5</v>
      </c>
      <c r="I117" s="32">
        <v>17.5</v>
      </c>
      <c r="J117" s="32">
        <v>17.5</v>
      </c>
      <c r="K117" s="32">
        <v>17.5</v>
      </c>
      <c r="L117" s="36"/>
      <c r="M117" s="36"/>
      <c r="N117" s="36"/>
      <c r="O117" s="36"/>
      <c r="P117" s="36"/>
      <c r="Q117" s="36"/>
      <c r="R117" s="36"/>
      <c r="S117" s="36"/>
      <c r="T117" s="36"/>
      <c r="U117" s="37"/>
      <c r="V117" s="38"/>
      <c r="W117" s="38"/>
      <c r="X117" s="38"/>
      <c r="Y117" s="38"/>
      <c r="Z117" s="38"/>
      <c r="AA117" s="33">
        <v>17.5</v>
      </c>
      <c r="AB117">
        <v>2001</v>
      </c>
      <c r="AC117">
        <v>7</v>
      </c>
    </row>
    <row r="118" spans="3:29" ht="13">
      <c r="C118" s="1" t="s">
        <v>106</v>
      </c>
      <c r="D118" s="1" t="s">
        <v>237</v>
      </c>
      <c r="E118" s="39">
        <v>87.300003050000001</v>
      </c>
      <c r="F118" s="39">
        <v>86.900001529999997</v>
      </c>
      <c r="G118" s="39">
        <v>86.900001529999997</v>
      </c>
      <c r="H118" s="39">
        <v>87</v>
      </c>
      <c r="I118" s="39">
        <v>87</v>
      </c>
      <c r="J118" s="39">
        <v>86.099998470000003</v>
      </c>
      <c r="K118" s="39"/>
      <c r="L118" s="39">
        <v>86</v>
      </c>
      <c r="M118" s="39">
        <v>86.199996949999999</v>
      </c>
      <c r="N118" s="39">
        <v>86.199996949999999</v>
      </c>
      <c r="O118" s="39">
        <v>86.25</v>
      </c>
      <c r="P118" s="39">
        <v>85.5</v>
      </c>
      <c r="Q118" s="39">
        <v>85.699725599999994</v>
      </c>
      <c r="R118" s="39">
        <v>85.8</v>
      </c>
      <c r="S118" s="36"/>
      <c r="T118" s="36"/>
      <c r="U118" s="37"/>
      <c r="V118" s="38"/>
      <c r="W118" s="38"/>
      <c r="X118" s="38"/>
      <c r="Y118" s="38"/>
      <c r="Z118" s="38"/>
      <c r="AA118" s="33">
        <v>85.8</v>
      </c>
      <c r="AB118">
        <v>2008</v>
      </c>
      <c r="AC118">
        <v>13</v>
      </c>
    </row>
    <row r="119" spans="3:29" ht="13">
      <c r="C119" s="1" t="s">
        <v>146</v>
      </c>
      <c r="D119" s="1" t="s">
        <v>112</v>
      </c>
      <c r="E119" s="32">
        <v>100</v>
      </c>
      <c r="F119" s="32">
        <v>100</v>
      </c>
      <c r="G119" s="32">
        <v>100</v>
      </c>
      <c r="H119" s="32">
        <v>100</v>
      </c>
      <c r="I119" s="32">
        <v>100</v>
      </c>
      <c r="J119" s="32">
        <v>100</v>
      </c>
      <c r="K119" s="32">
        <v>100</v>
      </c>
      <c r="L119" s="36"/>
      <c r="M119" s="36"/>
      <c r="N119" s="36"/>
      <c r="O119" s="36"/>
      <c r="P119" s="32">
        <v>100</v>
      </c>
      <c r="Q119" s="32">
        <v>100</v>
      </c>
      <c r="R119" s="32">
        <v>100</v>
      </c>
      <c r="S119" s="36"/>
      <c r="T119" s="36"/>
      <c r="U119" s="37"/>
      <c r="V119" s="38"/>
      <c r="W119" s="38"/>
      <c r="X119" s="38"/>
      <c r="Y119" s="38"/>
      <c r="Z119" s="38"/>
      <c r="AA119" s="33">
        <v>100</v>
      </c>
      <c r="AB119">
        <v>2008</v>
      </c>
      <c r="AC119">
        <v>10</v>
      </c>
    </row>
    <row r="120" spans="3:29" ht="13">
      <c r="C120" s="1" t="s">
        <v>227</v>
      </c>
      <c r="D120" s="1" t="s">
        <v>348</v>
      </c>
      <c r="E120" s="39">
        <v>63.299999239999998</v>
      </c>
      <c r="F120" s="39">
        <v>63.799999239999998</v>
      </c>
      <c r="G120" s="39">
        <v>63.799999239999998</v>
      </c>
      <c r="H120" s="39">
        <v>63.799999239999998</v>
      </c>
      <c r="I120" s="39">
        <v>63.799999239999998</v>
      </c>
      <c r="J120" s="39"/>
      <c r="K120" s="39"/>
      <c r="L120" s="39"/>
      <c r="M120" s="39">
        <v>51.74</v>
      </c>
      <c r="N120" s="39">
        <v>52.87</v>
      </c>
      <c r="O120" s="39">
        <v>55.62</v>
      </c>
      <c r="P120" s="39">
        <v>54.34</v>
      </c>
      <c r="Q120" s="39">
        <v>56.16</v>
      </c>
      <c r="R120" s="39">
        <v>56.54</v>
      </c>
      <c r="S120" s="36"/>
      <c r="T120" s="36"/>
      <c r="U120" s="37"/>
      <c r="V120" s="38"/>
      <c r="W120" s="38"/>
      <c r="X120" s="38"/>
      <c r="Y120" s="38"/>
      <c r="Z120" s="38"/>
      <c r="AA120" s="33">
        <v>56.54</v>
      </c>
      <c r="AB120">
        <v>2008</v>
      </c>
      <c r="AC120">
        <v>11</v>
      </c>
    </row>
    <row r="121" spans="3:29" ht="13">
      <c r="C121" s="1" t="s">
        <v>190</v>
      </c>
      <c r="D121" s="1" t="s">
        <v>210</v>
      </c>
      <c r="E121" s="39">
        <v>3.2999999519999998</v>
      </c>
      <c r="F121" s="39">
        <v>3.2999999519999998</v>
      </c>
      <c r="G121" s="39">
        <v>3.4000000950000002</v>
      </c>
      <c r="H121" s="39">
        <v>3.4000000950000002</v>
      </c>
      <c r="I121" s="39">
        <v>3.5</v>
      </c>
      <c r="J121" s="39">
        <v>3.5</v>
      </c>
      <c r="K121" s="39">
        <v>3.5</v>
      </c>
      <c r="L121" s="39">
        <v>3.5</v>
      </c>
      <c r="M121" s="39"/>
      <c r="N121" s="39"/>
      <c r="O121" s="39"/>
      <c r="P121" s="39"/>
      <c r="Q121" s="39"/>
      <c r="R121" s="39"/>
      <c r="S121" s="36"/>
      <c r="T121" s="36"/>
      <c r="U121" s="37"/>
      <c r="V121" s="38"/>
      <c r="W121" s="38"/>
      <c r="X121" s="38"/>
      <c r="Y121" s="38"/>
      <c r="Z121" s="38"/>
      <c r="AA121" s="33">
        <v>3.5</v>
      </c>
      <c r="AB121">
        <v>2002</v>
      </c>
      <c r="AC121">
        <v>8</v>
      </c>
    </row>
    <row r="122" spans="3:29" ht="13">
      <c r="C122" s="1" t="s">
        <v>191</v>
      </c>
      <c r="D122" s="1" t="s">
        <v>242</v>
      </c>
      <c r="E122" s="36"/>
      <c r="F122" s="36"/>
      <c r="G122" s="36"/>
      <c r="H122" s="36"/>
      <c r="I122" s="36"/>
      <c r="J122" s="36"/>
      <c r="K122" s="36"/>
      <c r="L122" s="36"/>
      <c r="M122" s="36"/>
      <c r="N122" s="36"/>
      <c r="O122" s="36"/>
      <c r="P122" s="36"/>
      <c r="Q122" s="36"/>
      <c r="R122" s="36"/>
      <c r="S122" s="36"/>
      <c r="T122" s="36"/>
      <c r="U122" s="37"/>
      <c r="V122" s="38"/>
      <c r="W122" s="38"/>
      <c r="X122" s="38"/>
      <c r="Y122" s="38"/>
      <c r="Z122" s="38"/>
      <c r="AA122" s="33" t="e">
        <v>#N/A</v>
      </c>
      <c r="AC122">
        <v>0</v>
      </c>
    </row>
    <row r="123" spans="3:29" ht="13">
      <c r="C123" s="1" t="s">
        <v>165</v>
      </c>
      <c r="D123" s="1" t="s">
        <v>173</v>
      </c>
      <c r="E123" s="39">
        <v>50.200000760000002</v>
      </c>
      <c r="F123" s="39">
        <v>50.200000760000002</v>
      </c>
      <c r="G123" s="39">
        <v>52.299999239999998</v>
      </c>
      <c r="H123" s="39">
        <v>52.299999239999998</v>
      </c>
      <c r="I123" s="39">
        <v>56.299999239999998</v>
      </c>
      <c r="J123" s="39">
        <v>56.41999817</v>
      </c>
      <c r="K123" s="39">
        <v>56.41999817</v>
      </c>
      <c r="L123" s="39">
        <v>56.41999817</v>
      </c>
      <c r="M123" s="39">
        <v>56.900001529999997</v>
      </c>
      <c r="N123" s="39">
        <v>56.900001529999997</v>
      </c>
      <c r="O123" s="39">
        <v>61.88999939</v>
      </c>
      <c r="P123" s="39">
        <v>61.88999939</v>
      </c>
      <c r="Q123" s="39">
        <v>61.98</v>
      </c>
      <c r="R123" s="39">
        <v>67.77</v>
      </c>
      <c r="S123" s="36"/>
      <c r="T123" s="36"/>
      <c r="U123" s="37"/>
      <c r="V123" s="38"/>
      <c r="W123" s="38"/>
      <c r="X123" s="38"/>
      <c r="Y123" s="38"/>
      <c r="Z123" s="38"/>
      <c r="AA123" s="33">
        <v>67.77</v>
      </c>
      <c r="AB123">
        <v>2008</v>
      </c>
      <c r="AC123">
        <v>14</v>
      </c>
    </row>
    <row r="124" spans="3:29" ht="13">
      <c r="C124" s="1" t="s">
        <v>180</v>
      </c>
      <c r="D124" s="1" t="s">
        <v>307</v>
      </c>
      <c r="E124" s="39">
        <v>18.600000380000001</v>
      </c>
      <c r="F124" s="39">
        <v>18.700000760000002</v>
      </c>
      <c r="G124" s="39">
        <v>18.700000760000002</v>
      </c>
      <c r="H124" s="39">
        <v>18.700000760000002</v>
      </c>
      <c r="I124" s="39">
        <v>18.700000760000002</v>
      </c>
      <c r="J124" s="39">
        <v>18.700000760000002</v>
      </c>
      <c r="K124" s="39">
        <v>18.700000760000002</v>
      </c>
      <c r="L124" s="39"/>
      <c r="M124" s="39"/>
      <c r="N124" s="39"/>
      <c r="O124" s="39"/>
      <c r="P124" s="39"/>
      <c r="Q124" s="39"/>
      <c r="R124" s="39">
        <v>20.78</v>
      </c>
      <c r="S124" s="36"/>
      <c r="T124" s="36"/>
      <c r="U124" s="37"/>
      <c r="V124" s="38"/>
      <c r="W124" s="38"/>
      <c r="X124" s="38"/>
      <c r="Y124" s="38"/>
      <c r="Z124" s="38"/>
      <c r="AA124" s="33">
        <v>20.78</v>
      </c>
      <c r="AB124">
        <v>2008</v>
      </c>
      <c r="AC124">
        <v>8</v>
      </c>
    </row>
    <row r="125" spans="3:29" ht="13">
      <c r="C125" s="1" t="s">
        <v>205</v>
      </c>
      <c r="D125" s="1" t="s">
        <v>357</v>
      </c>
      <c r="E125" s="39">
        <v>12.100000380000001</v>
      </c>
      <c r="F125" s="39">
        <v>12.19999981</v>
      </c>
      <c r="G125" s="39"/>
      <c r="H125" s="39"/>
      <c r="I125" s="39">
        <v>11.43999958</v>
      </c>
      <c r="J125" s="39">
        <v>11.43999958</v>
      </c>
      <c r="K125" s="39"/>
      <c r="L125" s="39"/>
      <c r="M125" s="39"/>
      <c r="N125" s="39"/>
      <c r="O125" s="39">
        <v>11.850000380000001</v>
      </c>
      <c r="P125" s="39"/>
      <c r="Q125" s="39"/>
      <c r="R125" s="39"/>
      <c r="S125" s="36"/>
      <c r="T125" s="36"/>
      <c r="U125" s="37"/>
      <c r="V125" s="38"/>
      <c r="W125" s="38"/>
      <c r="X125" s="38"/>
      <c r="Y125" s="38"/>
      <c r="Z125" s="38"/>
      <c r="AA125" s="33">
        <v>11.850000380000001</v>
      </c>
      <c r="AB125">
        <v>2005</v>
      </c>
      <c r="AC125">
        <v>5</v>
      </c>
    </row>
    <row r="126" spans="3:29" ht="13">
      <c r="C126" s="1" t="s">
        <v>30</v>
      </c>
      <c r="D126" s="1" t="s">
        <v>137</v>
      </c>
      <c r="E126" s="39">
        <v>7.9000000950000002</v>
      </c>
      <c r="F126" s="39">
        <v>11.399999619999999</v>
      </c>
      <c r="G126" s="39">
        <v>13.19999981</v>
      </c>
      <c r="H126" s="39">
        <v>13.5</v>
      </c>
      <c r="I126" s="39">
        <v>13.600000380000001</v>
      </c>
      <c r="J126" s="39"/>
      <c r="K126" s="39"/>
      <c r="L126" s="39">
        <v>12.80000019</v>
      </c>
      <c r="M126" s="39"/>
      <c r="N126" s="39"/>
      <c r="O126" s="39"/>
      <c r="P126" s="39"/>
      <c r="Q126" s="39"/>
      <c r="R126" s="39"/>
      <c r="S126" s="36"/>
      <c r="T126" s="36"/>
      <c r="U126" s="37"/>
      <c r="V126" s="38"/>
      <c r="W126" s="38"/>
      <c r="X126" s="38"/>
      <c r="Y126" s="38"/>
      <c r="Z126" s="38"/>
      <c r="AA126" s="33">
        <v>12.80000019</v>
      </c>
      <c r="AB126">
        <v>2002</v>
      </c>
      <c r="AC126">
        <v>6</v>
      </c>
    </row>
    <row r="127" spans="3:29" ht="13">
      <c r="C127" s="1" t="s">
        <v>361</v>
      </c>
      <c r="D127" s="1" t="s">
        <v>337</v>
      </c>
      <c r="E127" s="39" t="e">
        <v>#N/A</v>
      </c>
      <c r="F127" s="39" t="e">
        <v>#N/A</v>
      </c>
      <c r="G127" s="39" t="e">
        <v>#N/A</v>
      </c>
      <c r="H127" s="39" t="e">
        <v>#N/A</v>
      </c>
      <c r="I127" s="39" t="e">
        <v>#N/A</v>
      </c>
      <c r="J127" s="39" t="e">
        <v>#N/A</v>
      </c>
      <c r="K127" s="39" t="e">
        <v>#N/A</v>
      </c>
      <c r="L127" s="39" t="e">
        <v>#N/A</v>
      </c>
      <c r="M127" s="39" t="e">
        <v>#N/A</v>
      </c>
      <c r="N127" s="39" t="e">
        <v>#N/A</v>
      </c>
      <c r="O127" s="39" t="e">
        <v>#N/A</v>
      </c>
      <c r="P127" s="39" t="e">
        <v>#N/A</v>
      </c>
      <c r="Q127" s="39" t="e">
        <v>#N/A</v>
      </c>
      <c r="R127" s="39" t="e">
        <v>#N/A</v>
      </c>
      <c r="S127" s="39" t="e">
        <v>#N/A</v>
      </c>
      <c r="T127" s="39" t="e">
        <v>#N/A</v>
      </c>
      <c r="U127" s="37" t="e">
        <v>#N/A</v>
      </c>
      <c r="V127" s="38"/>
      <c r="W127" s="38"/>
      <c r="X127" s="38"/>
      <c r="Y127" s="38"/>
      <c r="Z127" s="38"/>
      <c r="AA127" s="33" t="e">
        <v>#N/A</v>
      </c>
      <c r="AC127">
        <v>0</v>
      </c>
    </row>
    <row r="128" spans="3:29" ht="13">
      <c r="C128" s="1" t="s">
        <v>212</v>
      </c>
      <c r="D128" s="1" t="s">
        <v>156</v>
      </c>
      <c r="E128" s="39">
        <v>41.400001529999997</v>
      </c>
      <c r="F128" s="39">
        <v>41.5</v>
      </c>
      <c r="G128" s="39"/>
      <c r="H128" s="39"/>
      <c r="I128" s="39"/>
      <c r="J128" s="39"/>
      <c r="K128" s="39"/>
      <c r="L128" s="39"/>
      <c r="M128" s="39">
        <v>53.900001529999997</v>
      </c>
      <c r="N128" s="39">
        <v>55.66</v>
      </c>
      <c r="O128" s="39">
        <v>56.07</v>
      </c>
      <c r="P128" s="39">
        <v>55.85</v>
      </c>
      <c r="Q128" s="39"/>
      <c r="R128" s="39"/>
      <c r="S128" s="36"/>
      <c r="T128" s="36"/>
      <c r="U128" s="37"/>
      <c r="V128" s="38"/>
      <c r="W128" s="38"/>
      <c r="X128" s="38"/>
      <c r="Y128" s="38"/>
      <c r="Z128" s="38"/>
      <c r="AA128" s="33">
        <v>55.85</v>
      </c>
      <c r="AB128">
        <v>2006</v>
      </c>
      <c r="AC128">
        <v>6</v>
      </c>
    </row>
    <row r="129" spans="3:29" ht="13">
      <c r="C129" s="1" t="s">
        <v>270</v>
      </c>
      <c r="D129" s="1" t="s">
        <v>386</v>
      </c>
      <c r="E129" s="39">
        <v>90</v>
      </c>
      <c r="F129" s="39">
        <v>90</v>
      </c>
      <c r="G129" s="39">
        <v>90</v>
      </c>
      <c r="H129" s="39">
        <v>90</v>
      </c>
      <c r="I129" s="39">
        <v>90</v>
      </c>
      <c r="J129" s="39">
        <v>90</v>
      </c>
      <c r="K129" s="39"/>
      <c r="L129" s="39"/>
      <c r="M129" s="39"/>
      <c r="N129" s="39"/>
      <c r="O129" s="39"/>
      <c r="P129" s="39"/>
      <c r="Q129" s="39"/>
      <c r="R129" s="39"/>
      <c r="S129" s="39"/>
      <c r="T129" s="36"/>
      <c r="U129" s="37"/>
      <c r="V129" s="38"/>
      <c r="W129" s="38"/>
      <c r="X129" s="38"/>
      <c r="Y129" s="38"/>
      <c r="Z129" s="38"/>
      <c r="AA129" s="33">
        <v>90</v>
      </c>
      <c r="AB129">
        <v>2000</v>
      </c>
      <c r="AC129">
        <v>6</v>
      </c>
    </row>
    <row r="130" spans="3:29" ht="13">
      <c r="C130" s="1" t="s">
        <v>117</v>
      </c>
      <c r="D130" s="1" t="s">
        <v>220</v>
      </c>
      <c r="E130" s="39">
        <v>60.400001529999997</v>
      </c>
      <c r="F130" s="39">
        <v>60.799999239999998</v>
      </c>
      <c r="G130" s="39">
        <v>61.299999239999998</v>
      </c>
      <c r="H130" s="39">
        <v>61.299999239999998</v>
      </c>
      <c r="I130" s="39">
        <v>61.900001529999997</v>
      </c>
      <c r="J130" s="39">
        <v>62.799999239999998</v>
      </c>
      <c r="K130" s="39">
        <v>63</v>
      </c>
      <c r="L130" s="39">
        <v>64</v>
      </c>
      <c r="M130" s="39">
        <v>64.33000183</v>
      </c>
      <c r="N130" s="39">
        <v>64.5</v>
      </c>
      <c r="O130" s="39">
        <v>64.88999939</v>
      </c>
      <c r="P130" s="39">
        <v>64.957369929999999</v>
      </c>
      <c r="Q130" s="39">
        <v>65.406622010000007</v>
      </c>
      <c r="R130" s="39">
        <v>65.89</v>
      </c>
      <c r="S130" s="39"/>
      <c r="T130" s="36"/>
      <c r="U130" s="37"/>
      <c r="V130" s="38"/>
      <c r="W130" s="38"/>
      <c r="X130" s="38"/>
      <c r="Y130" s="38"/>
      <c r="Z130" s="38"/>
      <c r="AA130" s="33">
        <v>65.89</v>
      </c>
      <c r="AB130">
        <v>2008</v>
      </c>
      <c r="AC130">
        <v>14</v>
      </c>
    </row>
    <row r="131" spans="3:29" ht="13">
      <c r="C131" s="1" t="s">
        <v>125</v>
      </c>
      <c r="D131" s="1" t="s">
        <v>3</v>
      </c>
      <c r="E131" s="39">
        <v>10</v>
      </c>
      <c r="F131" s="39"/>
      <c r="G131" s="39"/>
      <c r="H131" s="39"/>
      <c r="I131" s="39"/>
      <c r="J131" s="39">
        <v>11.06000042</v>
      </c>
      <c r="K131" s="39">
        <v>11.35999966</v>
      </c>
      <c r="L131" s="39">
        <v>11.35999966</v>
      </c>
      <c r="M131" s="39"/>
      <c r="N131" s="39"/>
      <c r="O131" s="39"/>
      <c r="P131" s="39"/>
      <c r="Q131" s="39">
        <v>12</v>
      </c>
      <c r="R131" s="39"/>
      <c r="S131" s="36"/>
      <c r="T131" s="36"/>
      <c r="U131" s="37"/>
      <c r="V131" s="38"/>
      <c r="W131" s="38"/>
      <c r="X131" s="38"/>
      <c r="Y131" s="38"/>
      <c r="Z131" s="38"/>
      <c r="AA131" s="33">
        <v>12</v>
      </c>
      <c r="AB131">
        <v>2007</v>
      </c>
      <c r="AC131">
        <v>5</v>
      </c>
    </row>
    <row r="132" spans="3:29" ht="13">
      <c r="C132" s="1" t="s">
        <v>163</v>
      </c>
      <c r="D132" s="1" t="s">
        <v>300</v>
      </c>
      <c r="E132" s="36"/>
      <c r="F132" s="36"/>
      <c r="G132" s="36"/>
      <c r="H132" s="36"/>
      <c r="I132" s="36"/>
      <c r="J132" s="36"/>
      <c r="K132" s="32">
        <v>25.659999849999998</v>
      </c>
      <c r="L132" s="32">
        <v>25.659999849999998</v>
      </c>
      <c r="M132" s="32">
        <v>24.950000760000002</v>
      </c>
      <c r="N132" s="32">
        <v>20.450000760000002</v>
      </c>
      <c r="O132" s="32">
        <v>20.61000061</v>
      </c>
      <c r="P132" s="32">
        <v>20.5</v>
      </c>
      <c r="Q132" s="32">
        <v>20.65</v>
      </c>
      <c r="R132" s="32">
        <v>20.65</v>
      </c>
      <c r="S132" s="36"/>
      <c r="T132" s="36"/>
      <c r="U132" s="37"/>
      <c r="V132" s="38"/>
      <c r="W132" s="38"/>
      <c r="X132" s="38"/>
      <c r="Y132" s="38"/>
      <c r="Z132" s="38"/>
      <c r="AA132" s="33">
        <v>20.65</v>
      </c>
      <c r="AB132">
        <v>2008</v>
      </c>
      <c r="AC132">
        <v>8</v>
      </c>
    </row>
    <row r="133" spans="3:29" ht="13">
      <c r="C133" s="1" t="s">
        <v>91</v>
      </c>
      <c r="D133" s="1" t="s">
        <v>51</v>
      </c>
      <c r="E133" s="39"/>
      <c r="F133" s="39"/>
      <c r="G133" s="39"/>
      <c r="H133" s="39"/>
      <c r="I133" s="39"/>
      <c r="J133" s="39"/>
      <c r="K133" s="39"/>
      <c r="L133" s="39"/>
      <c r="M133" s="39"/>
      <c r="N133" s="39">
        <v>15</v>
      </c>
      <c r="O133" s="39"/>
      <c r="P133" s="39"/>
      <c r="Q133" s="39"/>
      <c r="R133" s="39"/>
      <c r="S133" s="36"/>
      <c r="T133" s="36"/>
      <c r="U133" s="37"/>
      <c r="V133" s="38"/>
      <c r="W133" s="38"/>
      <c r="X133" s="38"/>
      <c r="Y133" s="38"/>
      <c r="Z133" s="38"/>
      <c r="AA133" s="33">
        <v>15</v>
      </c>
      <c r="AB133">
        <v>2004</v>
      </c>
      <c r="AC133">
        <v>1</v>
      </c>
    </row>
    <row r="134" spans="3:29" ht="13">
      <c r="C134" s="1" t="s">
        <v>181</v>
      </c>
      <c r="D134" s="1" t="s">
        <v>123</v>
      </c>
      <c r="E134" s="39">
        <v>73.5</v>
      </c>
      <c r="F134" s="39">
        <v>72</v>
      </c>
      <c r="G134" s="39">
        <v>74</v>
      </c>
      <c r="H134" s="39">
        <v>74.5</v>
      </c>
      <c r="I134" s="39">
        <v>75.5</v>
      </c>
      <c r="J134" s="39">
        <v>76</v>
      </c>
      <c r="K134" s="39">
        <v>77</v>
      </c>
      <c r="L134" s="39">
        <v>77.5</v>
      </c>
      <c r="M134" s="39"/>
      <c r="N134" s="39"/>
      <c r="O134" s="39"/>
      <c r="P134" s="39">
        <v>79.591046059999996</v>
      </c>
      <c r="Q134" s="39">
        <v>80.45</v>
      </c>
      <c r="R134" s="39"/>
      <c r="S134" s="39"/>
      <c r="T134" s="36"/>
      <c r="U134" s="37"/>
      <c r="V134" s="38"/>
      <c r="W134" s="38"/>
      <c r="X134" s="38"/>
      <c r="Y134" s="38"/>
      <c r="Z134" s="38"/>
      <c r="AA134" s="33">
        <v>80.45</v>
      </c>
      <c r="AB134">
        <v>2007</v>
      </c>
      <c r="AC134">
        <v>10</v>
      </c>
    </row>
    <row r="135" spans="3:29" ht="13">
      <c r="C135" s="1" t="s">
        <v>329</v>
      </c>
      <c r="D135" s="1" t="s">
        <v>295</v>
      </c>
      <c r="E135" s="39">
        <v>20.399999619999999</v>
      </c>
      <c r="F135" s="39">
        <v>30</v>
      </c>
      <c r="G135" s="39">
        <v>30</v>
      </c>
      <c r="H135" s="39">
        <v>30</v>
      </c>
      <c r="I135" s="39">
        <v>30</v>
      </c>
      <c r="J135" s="39">
        <v>30</v>
      </c>
      <c r="K135" s="39">
        <v>27.659999849999998</v>
      </c>
      <c r="L135" s="39"/>
      <c r="M135" s="39">
        <v>33.215139550000004</v>
      </c>
      <c r="N135" s="39">
        <v>36.707495569999999</v>
      </c>
      <c r="O135" s="39">
        <v>39.656244559999998</v>
      </c>
      <c r="P135" s="39">
        <v>42.112215980000002</v>
      </c>
      <c r="Q135" s="39">
        <v>41.250971890000002</v>
      </c>
      <c r="R135" s="39">
        <v>43.46</v>
      </c>
      <c r="S135" s="36"/>
      <c r="T135" s="36"/>
      <c r="U135" s="37"/>
      <c r="V135" s="38"/>
      <c r="W135" s="38"/>
      <c r="X135" s="38"/>
      <c r="Y135" s="38"/>
      <c r="Z135" s="38"/>
      <c r="AA135" s="33">
        <v>43.46</v>
      </c>
      <c r="AB135">
        <v>2008</v>
      </c>
      <c r="AC135">
        <v>13</v>
      </c>
    </row>
    <row r="136" spans="3:29" ht="13">
      <c r="C136" s="1" t="s">
        <v>99</v>
      </c>
      <c r="D136" s="1" t="s">
        <v>239</v>
      </c>
      <c r="E136" s="39">
        <v>45</v>
      </c>
      <c r="F136" s="39">
        <v>44</v>
      </c>
      <c r="G136" s="39">
        <v>44</v>
      </c>
      <c r="H136" s="39">
        <v>53</v>
      </c>
      <c r="I136" s="39">
        <v>55</v>
      </c>
      <c r="J136" s="39">
        <v>56</v>
      </c>
      <c r="K136" s="39">
        <v>59</v>
      </c>
      <c r="L136" s="39"/>
      <c r="M136" s="39">
        <v>60</v>
      </c>
      <c r="N136" s="39">
        <v>64.699996949999999</v>
      </c>
      <c r="O136" s="39"/>
      <c r="P136" s="39">
        <v>65.360183719999995</v>
      </c>
      <c r="Q136" s="39"/>
      <c r="R136" s="39"/>
      <c r="S136" s="36"/>
      <c r="T136" s="36"/>
      <c r="U136" s="37"/>
      <c r="V136" s="38"/>
      <c r="W136" s="38"/>
      <c r="X136" s="38"/>
      <c r="Y136" s="38"/>
      <c r="Z136" s="38"/>
      <c r="AA136" s="33">
        <v>65.360183719999995</v>
      </c>
      <c r="AB136">
        <v>2006</v>
      </c>
      <c r="AC136">
        <v>10</v>
      </c>
    </row>
    <row r="137" spans="3:29" ht="13">
      <c r="C137" s="1" t="s">
        <v>72</v>
      </c>
      <c r="D137" s="1" t="s">
        <v>374</v>
      </c>
      <c r="E137" s="36"/>
      <c r="F137" s="36"/>
      <c r="G137" s="36"/>
      <c r="H137" s="36"/>
      <c r="I137" s="36"/>
      <c r="J137" s="36"/>
      <c r="K137" s="36"/>
      <c r="L137" s="36"/>
      <c r="M137" s="36"/>
      <c r="N137" s="36"/>
      <c r="O137" s="36"/>
      <c r="P137" s="36"/>
      <c r="Q137" s="36"/>
      <c r="R137" s="36"/>
      <c r="S137" s="36"/>
      <c r="T137" s="36"/>
      <c r="U137" s="37"/>
      <c r="V137" s="38"/>
      <c r="W137" s="38"/>
      <c r="X137" s="38"/>
      <c r="Y137" s="38"/>
      <c r="Z137" s="38"/>
      <c r="AA137" s="33" t="e">
        <v>#N/A</v>
      </c>
      <c r="AC137">
        <v>0</v>
      </c>
    </row>
    <row r="138" spans="3:29" ht="13">
      <c r="C138" s="1" t="s">
        <v>94</v>
      </c>
      <c r="D138" s="1" t="s">
        <v>187</v>
      </c>
      <c r="E138" s="39">
        <v>33.5</v>
      </c>
      <c r="F138" s="39">
        <v>33.599998470000003</v>
      </c>
      <c r="G138" s="39">
        <v>29.399999619999999</v>
      </c>
      <c r="H138" s="39">
        <v>28.100000380000001</v>
      </c>
      <c r="I138" s="39">
        <v>34.599998470000003</v>
      </c>
      <c r="J138" s="39">
        <v>34.599998470000003</v>
      </c>
      <c r="K138" s="39">
        <v>34.599998470000003</v>
      </c>
      <c r="L138" s="39"/>
      <c r="M138" s="39"/>
      <c r="N138" s="39"/>
      <c r="O138" s="39"/>
      <c r="P138" s="39">
        <v>34.122634470000001</v>
      </c>
      <c r="Q138" s="39">
        <v>36.65</v>
      </c>
      <c r="R138" s="39">
        <v>38.14</v>
      </c>
      <c r="S138" s="36"/>
      <c r="T138" s="36"/>
      <c r="U138" s="37"/>
      <c r="V138" s="38"/>
      <c r="W138" s="38"/>
      <c r="X138" s="38"/>
      <c r="Y138" s="38"/>
      <c r="Z138" s="38"/>
      <c r="AA138" s="33">
        <v>38.14</v>
      </c>
      <c r="AB138">
        <v>2008</v>
      </c>
      <c r="AC138">
        <v>10</v>
      </c>
    </row>
    <row r="139" spans="3:29" ht="13">
      <c r="C139" s="1" t="s">
        <v>289</v>
      </c>
      <c r="D139" s="1" t="s">
        <v>38</v>
      </c>
      <c r="E139" s="32">
        <v>3.4000000950000002</v>
      </c>
      <c r="F139" s="32">
        <v>3.5</v>
      </c>
      <c r="G139" s="32">
        <v>3.5</v>
      </c>
      <c r="H139" s="32">
        <v>3.5</v>
      </c>
      <c r="I139" s="32">
        <v>3.5</v>
      </c>
      <c r="J139" s="32">
        <v>3.5</v>
      </c>
      <c r="K139" s="32">
        <v>3.5</v>
      </c>
      <c r="L139" s="36"/>
      <c r="M139" s="36"/>
      <c r="N139" s="36"/>
      <c r="O139" s="36"/>
      <c r="P139" s="36"/>
      <c r="Q139" s="36"/>
      <c r="R139" s="36"/>
      <c r="S139" s="36"/>
      <c r="T139" s="36"/>
      <c r="U139" s="37"/>
      <c r="V139" s="38"/>
      <c r="W139" s="38"/>
      <c r="X139" s="38"/>
      <c r="Y139" s="38"/>
      <c r="Z139" s="38"/>
      <c r="AA139" s="33">
        <v>3.5</v>
      </c>
      <c r="AB139">
        <v>2001</v>
      </c>
      <c r="AC139">
        <v>7</v>
      </c>
    </row>
    <row r="140" spans="3:29" ht="13">
      <c r="C140" s="1" t="s">
        <v>338</v>
      </c>
      <c r="D140" s="1" t="s">
        <v>97</v>
      </c>
      <c r="E140" s="39"/>
      <c r="F140" s="39"/>
      <c r="G140" s="39"/>
      <c r="H140" s="39"/>
      <c r="I140" s="39"/>
      <c r="J140" s="39">
        <v>50.799999239999998</v>
      </c>
      <c r="K140" s="39">
        <v>50.799999239999998</v>
      </c>
      <c r="L140" s="39"/>
      <c r="M140" s="39"/>
      <c r="N140" s="39"/>
      <c r="O140" s="39"/>
      <c r="P140" s="39"/>
      <c r="Q140" s="39"/>
      <c r="R140" s="39"/>
      <c r="S140" s="36"/>
      <c r="T140" s="36"/>
      <c r="U140" s="37"/>
      <c r="V140" s="38"/>
      <c r="W140" s="38"/>
      <c r="X140" s="38"/>
      <c r="Y140" s="38"/>
      <c r="Z140" s="38"/>
      <c r="AA140" s="33">
        <v>50.799999239999998</v>
      </c>
      <c r="AB140">
        <v>2001</v>
      </c>
      <c r="AC140">
        <v>2</v>
      </c>
    </row>
    <row r="141" spans="3:29" ht="13">
      <c r="C141" s="1" t="s">
        <v>153</v>
      </c>
      <c r="D141" s="1" t="s">
        <v>55</v>
      </c>
      <c r="E141" s="39">
        <v>11.399999619999999</v>
      </c>
      <c r="F141" s="39">
        <v>11.600000380000001</v>
      </c>
      <c r="G141" s="39">
        <v>11.80000019</v>
      </c>
      <c r="H141" s="39">
        <v>12.97000027</v>
      </c>
      <c r="I141" s="39">
        <v>13.039999959999999</v>
      </c>
      <c r="J141" s="39">
        <v>13.350000380000001</v>
      </c>
      <c r="K141" s="39">
        <v>13.35999966</v>
      </c>
      <c r="L141" s="39">
        <v>14.399999619999999</v>
      </c>
      <c r="M141" s="39">
        <v>13.10999966</v>
      </c>
      <c r="N141" s="39">
        <v>14.399999619999999</v>
      </c>
      <c r="O141" s="39"/>
      <c r="P141" s="39">
        <v>13.88094093</v>
      </c>
      <c r="Q141" s="39"/>
      <c r="R141" s="39"/>
      <c r="S141" s="36"/>
      <c r="T141" s="36"/>
      <c r="U141" s="37"/>
      <c r="V141" s="38"/>
      <c r="W141" s="38"/>
      <c r="X141" s="38"/>
      <c r="Y141" s="38"/>
      <c r="Z141" s="38"/>
      <c r="AA141" s="33">
        <v>13.88094093</v>
      </c>
      <c r="AB141">
        <v>2006</v>
      </c>
      <c r="AC141">
        <v>11</v>
      </c>
    </row>
    <row r="142" spans="3:29" ht="13">
      <c r="C142" s="1" t="s">
        <v>28</v>
      </c>
      <c r="D142" s="1" t="s">
        <v>171</v>
      </c>
      <c r="E142" s="39">
        <v>16.700000760000002</v>
      </c>
      <c r="F142" s="39">
        <v>17.399999619999999</v>
      </c>
      <c r="G142" s="39">
        <v>17.700000760000002</v>
      </c>
      <c r="H142" s="39">
        <v>19.799999239999998</v>
      </c>
      <c r="I142" s="39">
        <v>20</v>
      </c>
      <c r="J142" s="39"/>
      <c r="K142" s="39"/>
      <c r="L142" s="39">
        <v>9.5</v>
      </c>
      <c r="M142" s="39">
        <v>9.8999996190000008</v>
      </c>
      <c r="N142" s="39"/>
      <c r="O142" s="39"/>
      <c r="P142" s="39"/>
      <c r="Q142" s="39"/>
      <c r="R142" s="39"/>
      <c r="S142" s="36"/>
      <c r="T142" s="36"/>
      <c r="U142" s="37"/>
      <c r="V142" s="38"/>
      <c r="W142" s="38"/>
      <c r="X142" s="38"/>
      <c r="Y142" s="38"/>
      <c r="Z142" s="38"/>
      <c r="AA142" s="33">
        <v>9.8999996190000008</v>
      </c>
      <c r="AB142">
        <v>2003</v>
      </c>
      <c r="AC142">
        <v>7</v>
      </c>
    </row>
    <row r="143" spans="3:29" ht="13">
      <c r="C143" s="1" t="s">
        <v>302</v>
      </c>
      <c r="D143" s="1" t="s">
        <v>119</v>
      </c>
      <c r="E143" s="39">
        <v>65.300003050000001</v>
      </c>
      <c r="F143" s="39">
        <v>65.400001529999997</v>
      </c>
      <c r="G143" s="39">
        <v>65.699996949999999</v>
      </c>
      <c r="H143" s="39">
        <v>65.599998470000003</v>
      </c>
      <c r="I143" s="39">
        <v>65.599998470000003</v>
      </c>
      <c r="J143" s="39">
        <v>68.300003050000001</v>
      </c>
      <c r="K143" s="39">
        <v>68.300003050000001</v>
      </c>
      <c r="L143" s="39"/>
      <c r="M143" s="39">
        <v>69.660003660000001</v>
      </c>
      <c r="N143" s="39"/>
      <c r="O143" s="39">
        <v>66.528479320000002</v>
      </c>
      <c r="P143" s="39">
        <v>66.788346730000001</v>
      </c>
      <c r="Q143" s="39">
        <v>67.591072879999999</v>
      </c>
      <c r="R143" s="39">
        <v>68.151292470000001</v>
      </c>
      <c r="S143" s="39"/>
      <c r="T143" s="36"/>
      <c r="U143" s="37"/>
      <c r="V143" s="38"/>
      <c r="W143" s="38"/>
      <c r="X143" s="38"/>
      <c r="Y143" s="38"/>
      <c r="Z143" s="38"/>
      <c r="AA143" s="33">
        <v>68.151292470000001</v>
      </c>
      <c r="AB143">
        <v>2008</v>
      </c>
      <c r="AC143">
        <v>12</v>
      </c>
    </row>
    <row r="144" spans="3:29" ht="13">
      <c r="C144" s="1" t="s">
        <v>340</v>
      </c>
      <c r="D144" s="1" t="s">
        <v>73</v>
      </c>
      <c r="E144" s="39"/>
      <c r="F144" s="39"/>
      <c r="G144" s="39"/>
      <c r="H144" s="39"/>
      <c r="I144" s="39">
        <v>86</v>
      </c>
      <c r="J144" s="39">
        <v>86</v>
      </c>
      <c r="K144" s="39"/>
      <c r="L144" s="39"/>
      <c r="M144" s="39"/>
      <c r="N144" s="39">
        <v>86</v>
      </c>
      <c r="O144" s="39"/>
      <c r="P144" s="39"/>
      <c r="Q144" s="39"/>
      <c r="R144" s="39"/>
      <c r="S144" s="39"/>
      <c r="T144" s="36"/>
      <c r="U144" s="37"/>
      <c r="V144" s="38"/>
      <c r="W144" s="38"/>
      <c r="X144" s="38"/>
      <c r="Y144" s="38"/>
      <c r="Z144" s="38"/>
      <c r="AA144" s="33">
        <v>86</v>
      </c>
      <c r="AB144">
        <v>2004</v>
      </c>
      <c r="AC144">
        <v>3</v>
      </c>
    </row>
    <row r="145" spans="3:29" ht="13">
      <c r="C145" s="1" t="s">
        <v>142</v>
      </c>
      <c r="D145" s="1" t="s">
        <v>372</v>
      </c>
      <c r="E145" s="39">
        <v>90</v>
      </c>
      <c r="F145" s="39">
        <v>90</v>
      </c>
      <c r="G145" s="39">
        <v>90</v>
      </c>
      <c r="H145" s="39">
        <v>90</v>
      </c>
      <c r="I145" s="39">
        <v>90</v>
      </c>
      <c r="J145" s="39">
        <v>90</v>
      </c>
      <c r="K145" s="39"/>
      <c r="L145" s="39"/>
      <c r="M145" s="39"/>
      <c r="N145" s="39"/>
      <c r="O145" s="39"/>
      <c r="P145" s="39"/>
      <c r="Q145" s="39"/>
      <c r="R145" s="39"/>
      <c r="S145" s="36"/>
      <c r="T145" s="36"/>
      <c r="U145" s="37"/>
      <c r="V145" s="38"/>
      <c r="W145" s="38"/>
      <c r="X145" s="38"/>
      <c r="Y145" s="38"/>
      <c r="Z145" s="38"/>
      <c r="AA145" s="33">
        <v>90</v>
      </c>
      <c r="AB145">
        <v>2000</v>
      </c>
      <c r="AC145">
        <v>6</v>
      </c>
    </row>
    <row r="146" spans="3:29" ht="13">
      <c r="C146" s="1" t="s">
        <v>1</v>
      </c>
      <c r="D146" s="1" t="s">
        <v>90</v>
      </c>
      <c r="E146" s="39">
        <v>51</v>
      </c>
      <c r="F146" s="39">
        <v>52.299999239999998</v>
      </c>
      <c r="G146" s="39">
        <v>52.799999239999998</v>
      </c>
      <c r="H146" s="39">
        <v>53.099998470000003</v>
      </c>
      <c r="I146" s="39">
        <v>53</v>
      </c>
      <c r="J146" s="39">
        <v>49.5</v>
      </c>
      <c r="K146" s="39">
        <v>50.5</v>
      </c>
      <c r="L146" s="39">
        <v>50.400001529999997</v>
      </c>
      <c r="M146" s="39">
        <v>30.200000760000002</v>
      </c>
      <c r="N146" s="39">
        <v>30.200000760000002</v>
      </c>
      <c r="O146" s="39"/>
      <c r="P146" s="39"/>
      <c r="Q146" s="39"/>
      <c r="R146" s="39"/>
      <c r="S146" s="36"/>
      <c r="T146" s="36"/>
      <c r="U146" s="37"/>
      <c r="V146" s="38"/>
      <c r="W146" s="38"/>
      <c r="X146" s="38"/>
      <c r="Y146" s="38"/>
      <c r="Z146" s="38"/>
      <c r="AA146" s="33">
        <v>30.200000760000002</v>
      </c>
      <c r="AB146">
        <v>2004</v>
      </c>
      <c r="AC146">
        <v>10</v>
      </c>
    </row>
    <row r="147" spans="3:29" ht="13">
      <c r="C147" s="1" t="s">
        <v>398</v>
      </c>
      <c r="D147" s="1" t="s">
        <v>103</v>
      </c>
      <c r="E147" s="39"/>
      <c r="F147" s="39"/>
      <c r="G147" s="39"/>
      <c r="H147" s="39">
        <v>67.199996949999999</v>
      </c>
      <c r="I147" s="39">
        <v>67.400001529999997</v>
      </c>
      <c r="J147" s="39"/>
      <c r="K147" s="39"/>
      <c r="L147" s="39"/>
      <c r="M147" s="39"/>
      <c r="N147" s="39"/>
      <c r="O147" s="39">
        <v>84.400001529999997</v>
      </c>
      <c r="P147" s="39">
        <v>80.91999817</v>
      </c>
      <c r="Q147" s="39">
        <v>80.06</v>
      </c>
      <c r="R147" s="39"/>
      <c r="S147" s="36"/>
      <c r="T147" s="36"/>
      <c r="U147" s="37"/>
      <c r="V147" s="38"/>
      <c r="W147" s="38"/>
      <c r="X147" s="38"/>
      <c r="Y147" s="38"/>
      <c r="Z147" s="38"/>
      <c r="AA147" s="33">
        <v>80.06</v>
      </c>
      <c r="AB147">
        <v>2007</v>
      </c>
      <c r="AC147">
        <v>5</v>
      </c>
    </row>
    <row r="148" spans="3:29" ht="13">
      <c r="C148" s="1" t="s">
        <v>290</v>
      </c>
      <c r="D148" s="1" t="s">
        <v>363</v>
      </c>
      <c r="E148" s="32">
        <v>9.8999996190000008</v>
      </c>
      <c r="F148" s="36"/>
      <c r="G148" s="36"/>
      <c r="H148" s="36"/>
      <c r="I148" s="36"/>
      <c r="J148" s="36"/>
      <c r="K148" s="36"/>
      <c r="L148" s="36"/>
      <c r="M148" s="36"/>
      <c r="N148" s="32">
        <v>19</v>
      </c>
      <c r="O148" s="36"/>
      <c r="P148" s="36"/>
      <c r="Q148" s="36"/>
      <c r="R148" s="36"/>
      <c r="S148" s="36"/>
      <c r="T148" s="36"/>
      <c r="U148" s="37"/>
      <c r="V148" s="38"/>
      <c r="W148" s="38"/>
      <c r="X148" s="38"/>
      <c r="Y148" s="38"/>
      <c r="Z148" s="38"/>
      <c r="AA148" s="33">
        <v>19</v>
      </c>
      <c r="AB148">
        <v>2004</v>
      </c>
      <c r="AC148">
        <v>2</v>
      </c>
    </row>
    <row r="149" spans="3:29" ht="13">
      <c r="C149" s="1" t="s">
        <v>325</v>
      </c>
      <c r="D149" s="1" t="s">
        <v>364</v>
      </c>
      <c r="E149" s="32">
        <v>42.5</v>
      </c>
      <c r="F149" s="32">
        <v>42.5</v>
      </c>
      <c r="G149" s="32">
        <v>42.5</v>
      </c>
      <c r="H149" s="32">
        <v>42.5</v>
      </c>
      <c r="I149" s="32">
        <v>42.5</v>
      </c>
      <c r="J149" s="36"/>
      <c r="K149" s="36"/>
      <c r="L149" s="36"/>
      <c r="M149" s="36"/>
      <c r="N149" s="36"/>
      <c r="O149" s="36"/>
      <c r="P149" s="36"/>
      <c r="Q149" s="36"/>
      <c r="R149" s="36"/>
      <c r="S149" s="36"/>
      <c r="T149" s="36"/>
      <c r="U149" s="37"/>
      <c r="V149" s="38"/>
      <c r="W149" s="38"/>
      <c r="X149" s="38"/>
      <c r="Y149" s="38"/>
      <c r="Z149" s="38"/>
      <c r="AA149" s="33">
        <v>42.5</v>
      </c>
      <c r="AB149">
        <v>1999</v>
      </c>
      <c r="AC149">
        <v>5</v>
      </c>
    </row>
    <row r="150" spans="3:29" ht="13">
      <c r="C150" s="1" t="s">
        <v>143</v>
      </c>
      <c r="D150" s="1" t="s">
        <v>147</v>
      </c>
      <c r="E150" s="36"/>
      <c r="F150" s="36"/>
      <c r="G150" s="36"/>
      <c r="H150" s="36"/>
      <c r="I150" s="36"/>
      <c r="J150" s="36"/>
      <c r="K150" s="36"/>
      <c r="L150" s="36"/>
      <c r="M150" s="36"/>
      <c r="N150" s="36"/>
      <c r="O150" s="36"/>
      <c r="P150" s="36"/>
      <c r="Q150" s="36"/>
      <c r="R150" s="36"/>
      <c r="S150" s="36"/>
      <c r="T150" s="36"/>
      <c r="U150" s="37"/>
      <c r="V150" s="38"/>
      <c r="W150" s="38"/>
      <c r="X150" s="38"/>
      <c r="Y150" s="38"/>
      <c r="Z150" s="38"/>
      <c r="AA150" s="33" t="e">
        <v>#N/A</v>
      </c>
      <c r="AC150">
        <v>0</v>
      </c>
    </row>
    <row r="151" spans="3:29" ht="13">
      <c r="C151" s="1" t="s">
        <v>115</v>
      </c>
      <c r="D151" s="1" t="s">
        <v>250</v>
      </c>
      <c r="E151" s="36"/>
      <c r="F151" s="36"/>
      <c r="G151" s="36"/>
      <c r="H151" s="32">
        <v>63</v>
      </c>
      <c r="I151" s="32">
        <v>65</v>
      </c>
      <c r="J151" s="32">
        <v>68</v>
      </c>
      <c r="K151" s="32">
        <v>70</v>
      </c>
      <c r="L151" s="32">
        <v>70</v>
      </c>
      <c r="M151" s="32">
        <v>70</v>
      </c>
      <c r="N151" s="36"/>
      <c r="O151" s="36"/>
      <c r="P151" s="36"/>
      <c r="Q151" s="36"/>
      <c r="R151" s="36"/>
      <c r="S151" s="36"/>
      <c r="T151" s="36"/>
      <c r="U151" s="37"/>
      <c r="V151" s="38"/>
      <c r="W151" s="38"/>
      <c r="X151" s="38"/>
      <c r="Y151" s="38"/>
      <c r="Z151" s="38"/>
      <c r="AA151" s="33">
        <v>70</v>
      </c>
      <c r="AB151">
        <v>2003</v>
      </c>
      <c r="AC151">
        <v>6</v>
      </c>
    </row>
    <row r="152" spans="3:29" ht="13">
      <c r="C152" s="1" t="s">
        <v>314</v>
      </c>
      <c r="D152" s="1" t="s">
        <v>85</v>
      </c>
      <c r="E152" s="36"/>
      <c r="F152" s="36"/>
      <c r="G152" s="36"/>
      <c r="H152" s="36"/>
      <c r="I152" s="36"/>
      <c r="J152" s="36"/>
      <c r="K152" s="32">
        <v>14.210000040000001</v>
      </c>
      <c r="L152" s="36"/>
      <c r="M152" s="36"/>
      <c r="N152" s="36"/>
      <c r="O152" s="36"/>
      <c r="P152" s="36"/>
      <c r="Q152" s="36"/>
      <c r="R152" s="36"/>
      <c r="S152" s="36"/>
      <c r="T152" s="36"/>
      <c r="U152" s="37"/>
      <c r="V152" s="38"/>
      <c r="W152" s="38"/>
      <c r="X152" s="38"/>
      <c r="Y152" s="38"/>
      <c r="Z152" s="38"/>
      <c r="AA152" s="33">
        <v>14.210000040000001</v>
      </c>
      <c r="AB152">
        <v>2001</v>
      </c>
      <c r="AC152">
        <v>1</v>
      </c>
    </row>
    <row r="153" spans="3:29" ht="13">
      <c r="C153" s="1" t="s">
        <v>369</v>
      </c>
      <c r="D153" s="1" t="s">
        <v>110</v>
      </c>
      <c r="E153" s="36"/>
      <c r="F153" s="36"/>
      <c r="G153" s="36"/>
      <c r="H153" s="36"/>
      <c r="I153" s="36"/>
      <c r="J153" s="36"/>
      <c r="K153" s="36"/>
      <c r="L153" s="36"/>
      <c r="M153" s="36"/>
      <c r="N153" s="36"/>
      <c r="O153" s="36"/>
      <c r="P153" s="36"/>
      <c r="Q153" s="36"/>
      <c r="R153" s="36"/>
      <c r="S153" s="36"/>
      <c r="T153" s="36"/>
      <c r="U153" s="37"/>
      <c r="V153" s="38"/>
      <c r="W153" s="38"/>
      <c r="X153" s="38"/>
      <c r="Y153" s="38"/>
      <c r="Z153" s="38"/>
      <c r="AA153" s="33" t="e">
        <v>#N/A</v>
      </c>
      <c r="AC153">
        <v>0</v>
      </c>
    </row>
    <row r="154" spans="3:29" ht="13">
      <c r="C154" s="1" t="s">
        <v>48</v>
      </c>
      <c r="D154" s="1" t="s">
        <v>56</v>
      </c>
      <c r="E154" s="32">
        <v>68</v>
      </c>
      <c r="F154" s="32">
        <v>68.099998470000003</v>
      </c>
      <c r="G154" s="32">
        <v>68.099998470000003</v>
      </c>
      <c r="H154" s="32">
        <v>68.099998470000003</v>
      </c>
      <c r="I154" s="32">
        <v>68.099998470000003</v>
      </c>
      <c r="J154" s="32">
        <v>68.099998470000003</v>
      </c>
      <c r="K154" s="32">
        <v>68.099998470000003</v>
      </c>
      <c r="L154" s="36"/>
      <c r="M154" s="36"/>
      <c r="N154" s="36"/>
      <c r="O154" s="36"/>
      <c r="P154" s="36"/>
      <c r="Q154" s="36"/>
      <c r="R154" s="36"/>
      <c r="S154" s="36"/>
      <c r="T154" s="36"/>
      <c r="U154" s="37"/>
      <c r="V154" s="38"/>
      <c r="W154" s="38"/>
      <c r="X154" s="38"/>
      <c r="Y154" s="38"/>
      <c r="Z154" s="38"/>
      <c r="AA154" s="33">
        <v>68.099998470000003</v>
      </c>
      <c r="AB154">
        <v>2001</v>
      </c>
      <c r="AC154">
        <v>7</v>
      </c>
    </row>
    <row r="155" spans="3:29" ht="13">
      <c r="C155" s="1" t="s">
        <v>204</v>
      </c>
      <c r="D155" s="1" t="s">
        <v>96</v>
      </c>
      <c r="E155" s="39">
        <v>30.100000380000001</v>
      </c>
      <c r="F155" s="39">
        <v>29.799999239999998</v>
      </c>
      <c r="G155" s="39">
        <v>30.100000380000001</v>
      </c>
      <c r="H155" s="39"/>
      <c r="I155" s="39"/>
      <c r="J155" s="39">
        <v>29.899999619999999</v>
      </c>
      <c r="K155" s="39"/>
      <c r="L155" s="39"/>
      <c r="M155" s="39"/>
      <c r="N155" s="39"/>
      <c r="O155" s="39">
        <v>21.469999309999999</v>
      </c>
      <c r="P155" s="39"/>
      <c r="Q155" s="39"/>
      <c r="R155" s="39"/>
      <c r="S155" s="36"/>
      <c r="T155" s="36"/>
      <c r="U155" s="37"/>
      <c r="V155" s="38"/>
      <c r="W155" s="38"/>
      <c r="X155" s="38"/>
      <c r="Y155" s="38"/>
      <c r="Z155" s="38"/>
      <c r="AA155" s="33">
        <v>21.469999309999999</v>
      </c>
      <c r="AB155">
        <v>2005</v>
      </c>
      <c r="AC155">
        <v>5</v>
      </c>
    </row>
    <row r="156" spans="3:29" ht="13">
      <c r="C156" s="1" t="s">
        <v>241</v>
      </c>
      <c r="D156" s="1" t="s">
        <v>134</v>
      </c>
      <c r="E156" s="39">
        <v>28.5</v>
      </c>
      <c r="F156" s="39">
        <v>29.299999239999998</v>
      </c>
      <c r="G156" s="39">
        <v>29.299999239999998</v>
      </c>
      <c r="H156" s="39">
        <v>29.299999239999998</v>
      </c>
      <c r="I156" s="39">
        <v>29.299999239999998</v>
      </c>
      <c r="J156" s="39">
        <v>29.299999239999998</v>
      </c>
      <c r="K156" s="39"/>
      <c r="L156" s="39"/>
      <c r="M156" s="39">
        <v>29.260000229999999</v>
      </c>
      <c r="N156" s="39"/>
      <c r="O156" s="39"/>
      <c r="P156" s="39"/>
      <c r="Q156" s="39"/>
      <c r="R156" s="39"/>
      <c r="S156" s="36"/>
      <c r="T156" s="36"/>
      <c r="U156" s="37"/>
      <c r="V156" s="38"/>
      <c r="W156" s="38"/>
      <c r="X156" s="38"/>
      <c r="Y156" s="38"/>
      <c r="Z156" s="38"/>
      <c r="AA156" s="33">
        <v>29.260000229999999</v>
      </c>
      <c r="AB156">
        <v>2003</v>
      </c>
      <c r="AC156">
        <v>7</v>
      </c>
    </row>
    <row r="157" spans="3:29" ht="13">
      <c r="C157" s="1" t="s">
        <v>313</v>
      </c>
      <c r="D157" s="1" t="s">
        <v>246</v>
      </c>
      <c r="E157" s="39"/>
      <c r="F157" s="39"/>
      <c r="G157" s="39"/>
      <c r="H157" s="39"/>
      <c r="I157" s="39"/>
      <c r="J157" s="39">
        <v>62.700000760000002</v>
      </c>
      <c r="K157" s="39"/>
      <c r="L157" s="39"/>
      <c r="M157" s="39"/>
      <c r="N157" s="39"/>
      <c r="O157" s="39"/>
      <c r="P157" s="39"/>
      <c r="Q157" s="39"/>
      <c r="R157" s="39">
        <v>47.74</v>
      </c>
      <c r="S157" s="36"/>
      <c r="T157" s="36"/>
      <c r="U157" s="37"/>
      <c r="V157" s="38"/>
      <c r="W157" s="38"/>
      <c r="X157" s="38"/>
      <c r="Y157" s="38"/>
      <c r="Z157" s="38"/>
      <c r="AA157" s="33">
        <v>47.74</v>
      </c>
      <c r="AB157">
        <v>2008</v>
      </c>
      <c r="AC157">
        <v>2</v>
      </c>
    </row>
    <row r="158" spans="3:29" ht="13">
      <c r="C158" s="1" t="s">
        <v>9</v>
      </c>
      <c r="D158" s="1" t="s">
        <v>58</v>
      </c>
      <c r="E158" s="32">
        <v>62.799999239999998</v>
      </c>
      <c r="F158" s="32">
        <v>80.300003050000001</v>
      </c>
      <c r="G158" s="32">
        <v>84.5</v>
      </c>
      <c r="H158" s="36"/>
      <c r="I158" s="36"/>
      <c r="J158" s="36"/>
      <c r="K158" s="36"/>
      <c r="L158" s="36"/>
      <c r="M158" s="32">
        <v>96</v>
      </c>
      <c r="N158" s="36"/>
      <c r="O158" s="32">
        <v>95.983935740000007</v>
      </c>
      <c r="P158" s="32">
        <v>96.015936249999996</v>
      </c>
      <c r="Q158" s="32">
        <v>96.456692910000001</v>
      </c>
      <c r="R158" s="32">
        <v>96.456692910000001</v>
      </c>
      <c r="S158" s="36"/>
      <c r="T158" s="36"/>
      <c r="U158" s="37"/>
      <c r="V158" s="38"/>
      <c r="W158" s="38"/>
      <c r="X158" s="38"/>
      <c r="Y158" s="38"/>
      <c r="Z158" s="38"/>
      <c r="AA158" s="33">
        <v>96.456692910000001</v>
      </c>
      <c r="AB158">
        <v>2008</v>
      </c>
      <c r="AC158">
        <v>8</v>
      </c>
    </row>
    <row r="159" spans="3:29" ht="13">
      <c r="C159" s="1" t="s">
        <v>342</v>
      </c>
      <c r="D159" s="1" t="s">
        <v>80</v>
      </c>
      <c r="E159" s="32">
        <v>8</v>
      </c>
      <c r="F159" s="32">
        <v>8</v>
      </c>
      <c r="G159" s="32">
        <v>8</v>
      </c>
      <c r="H159" s="32">
        <v>8</v>
      </c>
      <c r="I159" s="32">
        <v>7.9000000950000002</v>
      </c>
      <c r="J159" s="32">
        <v>7.9000000950000002</v>
      </c>
      <c r="K159" s="36"/>
      <c r="L159" s="32">
        <v>8</v>
      </c>
      <c r="M159" s="36"/>
      <c r="N159" s="36"/>
      <c r="O159" s="36"/>
      <c r="P159" s="36"/>
      <c r="Q159" s="36"/>
      <c r="R159" s="36"/>
      <c r="S159" s="36"/>
      <c r="T159" s="36"/>
      <c r="U159" s="37"/>
      <c r="V159" s="38"/>
      <c r="W159" s="38"/>
      <c r="X159" s="38"/>
      <c r="Y159" s="38"/>
      <c r="Z159" s="38"/>
      <c r="AA159" s="33">
        <v>8</v>
      </c>
      <c r="AB159">
        <v>2002</v>
      </c>
      <c r="AC159">
        <v>7</v>
      </c>
    </row>
    <row r="160" spans="3:29" ht="13">
      <c r="C160" s="1" t="s">
        <v>271</v>
      </c>
      <c r="D160" s="1" t="s">
        <v>396</v>
      </c>
      <c r="E160" s="39">
        <v>97.300003050000001</v>
      </c>
      <c r="F160" s="39">
        <v>97.300003050000001</v>
      </c>
      <c r="G160" s="39">
        <v>97.300003050000001</v>
      </c>
      <c r="H160" s="39">
        <v>100</v>
      </c>
      <c r="I160" s="39">
        <v>100</v>
      </c>
      <c r="J160" s="39">
        <v>100</v>
      </c>
      <c r="K160" s="39">
        <v>100</v>
      </c>
      <c r="L160" s="39">
        <v>100</v>
      </c>
      <c r="M160" s="39">
        <v>100</v>
      </c>
      <c r="N160" s="39">
        <v>100</v>
      </c>
      <c r="O160" s="39">
        <v>100</v>
      </c>
      <c r="P160" s="39">
        <v>100</v>
      </c>
      <c r="Q160" s="39">
        <v>100</v>
      </c>
      <c r="R160" s="39">
        <v>100</v>
      </c>
      <c r="S160" s="36"/>
      <c r="T160" s="36"/>
      <c r="U160" s="37"/>
      <c r="V160" s="38"/>
      <c r="W160" s="38"/>
      <c r="X160" s="38"/>
      <c r="Y160" s="38"/>
      <c r="Z160" s="38"/>
      <c r="AA160" s="33">
        <v>100</v>
      </c>
      <c r="AB160">
        <v>2008</v>
      </c>
      <c r="AC160">
        <v>14</v>
      </c>
    </row>
    <row r="161" spans="3:29" ht="13">
      <c r="C161" s="1" t="s">
        <v>69</v>
      </c>
      <c r="D161" s="1" t="s">
        <v>223</v>
      </c>
      <c r="E161" s="39">
        <v>85.800003050000001</v>
      </c>
      <c r="F161" s="39">
        <v>85.800003050000001</v>
      </c>
      <c r="G161" s="39">
        <v>86.599998470000003</v>
      </c>
      <c r="H161" s="39">
        <v>86.699996949999999</v>
      </c>
      <c r="I161" s="39"/>
      <c r="J161" s="39">
        <v>87</v>
      </c>
      <c r="K161" s="39">
        <v>87</v>
      </c>
      <c r="L161" s="39">
        <v>87.300003050000001</v>
      </c>
      <c r="M161" s="39">
        <v>87.309997559999999</v>
      </c>
      <c r="N161" s="39">
        <v>87.309997559999999</v>
      </c>
      <c r="O161" s="39">
        <v>87.019996640000002</v>
      </c>
      <c r="P161" s="39">
        <v>87.02999878</v>
      </c>
      <c r="Q161" s="39"/>
      <c r="R161" s="39"/>
      <c r="S161" s="39"/>
      <c r="T161" s="36"/>
      <c r="U161" s="37"/>
      <c r="V161" s="38"/>
      <c r="W161" s="38"/>
      <c r="X161" s="38"/>
      <c r="Y161" s="38"/>
      <c r="Z161" s="38"/>
      <c r="AA161" s="33">
        <v>87.02999878</v>
      </c>
      <c r="AB161">
        <v>2006</v>
      </c>
      <c r="AC161">
        <v>11</v>
      </c>
    </row>
    <row r="162" spans="3:29" ht="13">
      <c r="C162" s="1" t="s">
        <v>71</v>
      </c>
      <c r="D162" s="1" t="s">
        <v>207</v>
      </c>
      <c r="E162" s="39">
        <v>80.199996949999999</v>
      </c>
      <c r="F162" s="39">
        <v>81.199996949999999</v>
      </c>
      <c r="G162" s="39">
        <v>81.699996949999999</v>
      </c>
      <c r="H162" s="39">
        <v>100</v>
      </c>
      <c r="I162" s="39"/>
      <c r="J162" s="39">
        <v>100</v>
      </c>
      <c r="K162" s="39">
        <v>100</v>
      </c>
      <c r="L162" s="39">
        <v>100</v>
      </c>
      <c r="M162" s="39">
        <v>100</v>
      </c>
      <c r="N162" s="39">
        <v>100</v>
      </c>
      <c r="O162" s="39">
        <v>100</v>
      </c>
      <c r="P162" s="39">
        <v>100</v>
      </c>
      <c r="Q162" s="39">
        <v>100</v>
      </c>
      <c r="R162" s="39">
        <v>100</v>
      </c>
      <c r="S162" s="36"/>
      <c r="T162" s="36"/>
      <c r="U162" s="37"/>
      <c r="V162" s="38"/>
      <c r="W162" s="38"/>
      <c r="X162" s="38"/>
      <c r="Y162" s="38"/>
      <c r="Z162" s="38"/>
      <c r="AA162" s="33">
        <v>100</v>
      </c>
      <c r="AB162">
        <v>2008</v>
      </c>
      <c r="AC162">
        <v>13</v>
      </c>
    </row>
    <row r="163" spans="3:29" ht="13">
      <c r="C163" s="1" t="s">
        <v>346</v>
      </c>
      <c r="D163" s="1" t="s">
        <v>251</v>
      </c>
      <c r="E163" s="32">
        <v>2.4000000950000002</v>
      </c>
      <c r="F163" s="32">
        <v>2.5</v>
      </c>
      <c r="G163" s="32">
        <v>2.5</v>
      </c>
      <c r="H163" s="32">
        <v>2.5</v>
      </c>
      <c r="I163" s="32">
        <v>2.4400000570000002</v>
      </c>
      <c r="J163" s="32">
        <v>2.4400000570000002</v>
      </c>
      <c r="K163" s="32">
        <v>2.4400000570000002</v>
      </c>
      <c r="L163" s="36"/>
      <c r="M163" s="36"/>
      <c r="N163" s="36"/>
      <c r="O163" s="36"/>
      <c r="P163" s="36"/>
      <c r="Q163" s="36"/>
      <c r="R163" s="36"/>
      <c r="S163" s="36"/>
      <c r="T163" s="36"/>
      <c r="U163" s="37"/>
      <c r="V163" s="38"/>
      <c r="W163" s="38"/>
      <c r="X163" s="38"/>
      <c r="Y163" s="38"/>
      <c r="Z163" s="38"/>
      <c r="AA163" s="33">
        <v>2.4400000570000002</v>
      </c>
      <c r="AB163">
        <v>2001</v>
      </c>
      <c r="AC163">
        <v>7</v>
      </c>
    </row>
    <row r="164" spans="3:29" ht="13">
      <c r="C164" s="1" t="s">
        <v>394</v>
      </c>
      <c r="D164" s="1" t="s">
        <v>161</v>
      </c>
      <c r="E164" s="32">
        <v>11.80000019</v>
      </c>
      <c r="F164" s="32">
        <v>11.80000019</v>
      </c>
      <c r="G164" s="32">
        <v>11.80000019</v>
      </c>
      <c r="H164" s="32">
        <v>11.80000019</v>
      </c>
      <c r="I164" s="32">
        <v>11.80000019</v>
      </c>
      <c r="J164" s="32">
        <v>11.80000019</v>
      </c>
      <c r="K164" s="32">
        <v>11.80000019</v>
      </c>
      <c r="L164" s="36"/>
      <c r="M164" s="36"/>
      <c r="N164" s="36"/>
      <c r="O164" s="36"/>
      <c r="P164" s="36"/>
      <c r="Q164" s="36"/>
      <c r="R164" s="36"/>
      <c r="S164" s="36"/>
      <c r="T164" s="36"/>
      <c r="U164" s="37"/>
      <c r="V164" s="38"/>
      <c r="W164" s="38"/>
      <c r="X164" s="38"/>
      <c r="Y164" s="38"/>
      <c r="Z164" s="38"/>
      <c r="AA164" s="33">
        <v>11.80000019</v>
      </c>
      <c r="AB164">
        <v>2001</v>
      </c>
      <c r="AC164">
        <v>7</v>
      </c>
    </row>
    <row r="165" spans="3:29" ht="13">
      <c r="C165" s="1" t="s">
        <v>248</v>
      </c>
      <c r="D165" s="1" t="s">
        <v>109</v>
      </c>
      <c r="E165" s="39"/>
      <c r="F165" s="39">
        <v>19.700000760000002</v>
      </c>
      <c r="G165" s="39">
        <v>19.700000760000002</v>
      </c>
      <c r="H165" s="39">
        <v>19.700000760000002</v>
      </c>
      <c r="I165" s="39">
        <v>20.299999239999998</v>
      </c>
      <c r="J165" s="39">
        <v>20.299999239999998</v>
      </c>
      <c r="K165" s="39">
        <v>17.299999239999998</v>
      </c>
      <c r="L165" s="39"/>
      <c r="M165" s="39"/>
      <c r="N165" s="39"/>
      <c r="O165" s="39"/>
      <c r="P165" s="39"/>
      <c r="Q165" s="39"/>
      <c r="R165" s="39"/>
      <c r="S165" s="36"/>
      <c r="T165" s="36"/>
      <c r="U165" s="37"/>
      <c r="V165" s="38"/>
      <c r="W165" s="38"/>
      <c r="X165" s="38"/>
      <c r="Y165" s="38"/>
      <c r="Z165" s="38"/>
      <c r="AA165" s="33">
        <v>17.299999239999998</v>
      </c>
      <c r="AB165">
        <v>2001</v>
      </c>
      <c r="AC165">
        <v>6</v>
      </c>
    </row>
    <row r="166" spans="3:29" ht="13">
      <c r="C166" s="1" t="s">
        <v>371</v>
      </c>
      <c r="D166" s="1" t="s">
        <v>151</v>
      </c>
      <c r="E166" s="39">
        <v>99</v>
      </c>
      <c r="F166" s="39">
        <v>99</v>
      </c>
      <c r="G166" s="39">
        <v>99</v>
      </c>
      <c r="H166" s="39">
        <v>99</v>
      </c>
      <c r="I166" s="39">
        <v>99</v>
      </c>
      <c r="J166" s="39">
        <v>99</v>
      </c>
      <c r="K166" s="39">
        <v>99</v>
      </c>
      <c r="L166" s="39"/>
      <c r="M166" s="39">
        <v>99</v>
      </c>
      <c r="N166" s="39"/>
      <c r="O166" s="39"/>
      <c r="P166" s="39"/>
      <c r="Q166" s="39"/>
      <c r="R166" s="39"/>
      <c r="S166" s="39"/>
      <c r="T166" s="36"/>
      <c r="U166" s="37"/>
      <c r="V166" s="38"/>
      <c r="W166" s="38"/>
      <c r="X166" s="38"/>
      <c r="Y166" s="38"/>
      <c r="Z166" s="38"/>
      <c r="AA166" s="33">
        <v>99</v>
      </c>
      <c r="AB166">
        <v>2003</v>
      </c>
      <c r="AC166">
        <v>8</v>
      </c>
    </row>
    <row r="167" spans="3:29" ht="13">
      <c r="C167" s="1" t="s">
        <v>233</v>
      </c>
      <c r="D167" s="1" t="s">
        <v>344</v>
      </c>
      <c r="E167" s="39"/>
      <c r="F167" s="39"/>
      <c r="G167" s="39"/>
      <c r="H167" s="39"/>
      <c r="I167" s="39"/>
      <c r="J167" s="39"/>
      <c r="K167" s="39"/>
      <c r="L167" s="39">
        <v>85.839996339999999</v>
      </c>
      <c r="M167" s="39">
        <v>81</v>
      </c>
      <c r="N167" s="39"/>
      <c r="O167" s="39"/>
      <c r="P167" s="39"/>
      <c r="Q167" s="39"/>
      <c r="R167" s="39"/>
      <c r="S167" s="36"/>
      <c r="T167" s="36"/>
      <c r="U167" s="37"/>
      <c r="V167" s="38"/>
      <c r="W167" s="38"/>
      <c r="X167" s="38"/>
      <c r="Y167" s="38"/>
      <c r="Z167" s="38"/>
      <c r="AA167" s="33">
        <v>81</v>
      </c>
      <c r="AB167">
        <v>2003</v>
      </c>
      <c r="AC167">
        <v>2</v>
      </c>
    </row>
    <row r="168" spans="3:29" ht="13">
      <c r="C168" s="1" t="s">
        <v>228</v>
      </c>
      <c r="D168" s="1" t="s">
        <v>61</v>
      </c>
      <c r="E168" s="39">
        <v>36.200000760000002</v>
      </c>
      <c r="F168" s="39">
        <v>36.299999239999998</v>
      </c>
      <c r="G168" s="39">
        <v>36.299999239999998</v>
      </c>
      <c r="H168" s="39">
        <v>36.299999239999998</v>
      </c>
      <c r="I168" s="39">
        <v>36.299999239999998</v>
      </c>
      <c r="J168" s="39">
        <v>36.299999239999998</v>
      </c>
      <c r="K168" s="39">
        <v>36.299999239999998</v>
      </c>
      <c r="L168" s="39"/>
      <c r="M168" s="39"/>
      <c r="N168" s="39"/>
      <c r="O168" s="39"/>
      <c r="P168" s="39"/>
      <c r="Q168" s="39"/>
      <c r="R168" s="39"/>
      <c r="S168" s="36"/>
      <c r="T168" s="36"/>
      <c r="U168" s="37"/>
      <c r="V168" s="38"/>
      <c r="W168" s="38"/>
      <c r="X168" s="38"/>
      <c r="Y168" s="38"/>
      <c r="Z168" s="38"/>
      <c r="AA168" s="33">
        <v>36.299999239999998</v>
      </c>
      <c r="AB168">
        <v>2001</v>
      </c>
      <c r="AC168">
        <v>7</v>
      </c>
    </row>
    <row r="169" spans="3:29" ht="13">
      <c r="C169" s="1" t="s">
        <v>31</v>
      </c>
      <c r="D169" s="1" t="s">
        <v>390</v>
      </c>
      <c r="E169" s="32">
        <v>26</v>
      </c>
      <c r="F169" s="32">
        <v>26</v>
      </c>
      <c r="G169" s="36"/>
      <c r="H169" s="36"/>
      <c r="I169" s="32">
        <v>26</v>
      </c>
      <c r="J169" s="32">
        <v>26</v>
      </c>
      <c r="K169" s="32">
        <v>26</v>
      </c>
      <c r="L169" s="32">
        <v>26</v>
      </c>
      <c r="M169" s="32">
        <v>26.25</v>
      </c>
      <c r="N169" s="36"/>
      <c r="O169" s="36"/>
      <c r="P169" s="36"/>
      <c r="Q169" s="36"/>
      <c r="R169" s="36"/>
      <c r="S169" s="36"/>
      <c r="T169" s="36"/>
      <c r="U169" s="37"/>
      <c r="V169" s="38"/>
      <c r="W169" s="38"/>
      <c r="X169" s="38"/>
      <c r="Y169" s="38"/>
      <c r="Z169" s="38"/>
      <c r="AA169" s="33">
        <v>26.25</v>
      </c>
      <c r="AB169">
        <v>2003</v>
      </c>
      <c r="AC169">
        <v>7</v>
      </c>
    </row>
    <row r="170" spans="3:29" ht="13">
      <c r="C170" s="1" t="s">
        <v>50</v>
      </c>
      <c r="D170" s="1" t="s">
        <v>366</v>
      </c>
      <c r="E170" s="36"/>
      <c r="F170" s="36"/>
      <c r="G170" s="36"/>
      <c r="H170" s="36"/>
      <c r="I170" s="36"/>
      <c r="J170" s="36"/>
      <c r="K170" s="36"/>
      <c r="L170" s="32">
        <v>29.989999770000001</v>
      </c>
      <c r="M170" s="36"/>
      <c r="N170" s="36"/>
      <c r="O170" s="36"/>
      <c r="P170" s="36"/>
      <c r="Q170" s="36"/>
      <c r="R170" s="36"/>
      <c r="S170" s="36"/>
      <c r="T170" s="36"/>
      <c r="U170" s="37"/>
      <c r="V170" s="38"/>
      <c r="W170" s="38"/>
      <c r="X170" s="38"/>
      <c r="Y170" s="38"/>
      <c r="Z170" s="38"/>
      <c r="AA170" s="33">
        <v>29.989999770000001</v>
      </c>
      <c r="AB170">
        <v>2002</v>
      </c>
      <c r="AC170">
        <v>1</v>
      </c>
    </row>
    <row r="171" spans="3:29" ht="13">
      <c r="C171" s="1" t="s">
        <v>53</v>
      </c>
      <c r="D171" s="1" t="s">
        <v>49</v>
      </c>
      <c r="E171" s="39"/>
      <c r="F171" s="39"/>
      <c r="G171" s="39"/>
      <c r="H171" s="39"/>
      <c r="I171" s="39"/>
      <c r="J171" s="39"/>
      <c r="K171" s="39"/>
      <c r="L171" s="39"/>
      <c r="M171" s="39">
        <v>31.159999849999998</v>
      </c>
      <c r="N171" s="39">
        <v>30.510000229999999</v>
      </c>
      <c r="O171" s="39">
        <v>31.479999540000001</v>
      </c>
      <c r="P171" s="39">
        <v>31.65467288</v>
      </c>
      <c r="Q171" s="39">
        <v>31.662705339999999</v>
      </c>
      <c r="R171" s="39">
        <v>23.57</v>
      </c>
      <c r="S171" s="39"/>
      <c r="T171" s="36"/>
      <c r="U171" s="37"/>
      <c r="V171" s="38"/>
      <c r="W171" s="38"/>
      <c r="X171" s="38"/>
      <c r="Y171" s="38"/>
      <c r="Z171" s="38"/>
      <c r="AA171" s="33">
        <v>23.57</v>
      </c>
      <c r="AB171">
        <v>2008</v>
      </c>
      <c r="AC171">
        <v>6</v>
      </c>
    </row>
    <row r="172" spans="3:29" ht="13">
      <c r="C172" s="1" t="s">
        <v>254</v>
      </c>
      <c r="D172" s="1" t="s">
        <v>317</v>
      </c>
      <c r="E172" s="39"/>
      <c r="F172" s="39"/>
      <c r="G172" s="39"/>
      <c r="H172" s="39"/>
      <c r="I172" s="39"/>
      <c r="J172" s="39"/>
      <c r="K172" s="39"/>
      <c r="L172" s="39"/>
      <c r="M172" s="39">
        <v>100</v>
      </c>
      <c r="N172" s="39">
        <v>100</v>
      </c>
      <c r="O172" s="39">
        <v>100</v>
      </c>
      <c r="P172" s="39">
        <v>100</v>
      </c>
      <c r="Q172" s="39">
        <v>100</v>
      </c>
      <c r="R172" s="39">
        <v>100</v>
      </c>
      <c r="S172" s="39"/>
      <c r="T172" s="36"/>
      <c r="U172" s="37"/>
      <c r="V172" s="38"/>
      <c r="W172" s="38"/>
      <c r="X172" s="38"/>
      <c r="Y172" s="38"/>
      <c r="Z172" s="38"/>
      <c r="AA172" s="33">
        <v>100</v>
      </c>
      <c r="AB172">
        <v>2008</v>
      </c>
      <c r="AC172">
        <v>6</v>
      </c>
    </row>
    <row r="173" spans="3:29" ht="13">
      <c r="C173" s="1" t="s">
        <v>4</v>
      </c>
      <c r="D173" s="1" t="s">
        <v>188</v>
      </c>
      <c r="E173" s="39"/>
      <c r="F173" s="39"/>
      <c r="G173" s="39"/>
      <c r="H173" s="39"/>
      <c r="I173" s="39"/>
      <c r="J173" s="39"/>
      <c r="K173" s="39"/>
      <c r="L173" s="39"/>
      <c r="M173" s="39">
        <v>93.6</v>
      </c>
      <c r="N173" s="39">
        <v>94.58</v>
      </c>
      <c r="O173" s="39">
        <v>95.15</v>
      </c>
      <c r="P173" s="39">
        <v>95.75</v>
      </c>
      <c r="Q173" s="39">
        <v>92.98</v>
      </c>
      <c r="R173" s="39">
        <v>91.03</v>
      </c>
      <c r="S173" s="36"/>
      <c r="T173" s="36"/>
      <c r="U173" s="37"/>
      <c r="V173" s="38"/>
      <c r="W173" s="38"/>
      <c r="X173" s="38"/>
      <c r="Y173" s="38"/>
      <c r="Z173" s="38"/>
      <c r="AA173" s="33">
        <v>91.03</v>
      </c>
      <c r="AB173">
        <v>2008</v>
      </c>
      <c r="AC173">
        <v>6</v>
      </c>
    </row>
    <row r="174" spans="3:29" ht="13">
      <c r="C174" s="1" t="s">
        <v>197</v>
      </c>
      <c r="D174" s="1" t="s">
        <v>131</v>
      </c>
      <c r="E174" s="39">
        <v>82.699996949999999</v>
      </c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6"/>
      <c r="T174" s="36"/>
      <c r="U174" s="37"/>
      <c r="V174" s="38"/>
      <c r="W174" s="38"/>
      <c r="X174" s="38"/>
      <c r="Y174" s="38"/>
      <c r="Z174" s="38"/>
      <c r="AA174" s="33">
        <v>82.699996949999999</v>
      </c>
      <c r="AB174">
        <v>1995</v>
      </c>
      <c r="AC174">
        <v>1</v>
      </c>
    </row>
    <row r="175" spans="3:29" ht="13">
      <c r="C175" s="1" t="s">
        <v>34</v>
      </c>
      <c r="D175" s="1" t="s">
        <v>74</v>
      </c>
      <c r="E175" s="39"/>
      <c r="F175" s="39"/>
      <c r="G175" s="39"/>
      <c r="H175" s="39"/>
      <c r="I175" s="39"/>
      <c r="J175" s="39"/>
      <c r="K175" s="39"/>
      <c r="L175" s="39"/>
      <c r="M175" s="39">
        <v>8.6300001139999996</v>
      </c>
      <c r="N175" s="39"/>
      <c r="O175" s="39"/>
      <c r="P175" s="39"/>
      <c r="Q175" s="39"/>
      <c r="R175" s="39">
        <v>7.38</v>
      </c>
      <c r="S175" s="36"/>
      <c r="T175" s="36"/>
      <c r="U175" s="37"/>
      <c r="V175" s="38"/>
      <c r="W175" s="38"/>
      <c r="X175" s="38"/>
      <c r="Y175" s="38"/>
      <c r="Z175" s="38"/>
      <c r="AA175" s="33">
        <v>7.38</v>
      </c>
      <c r="AB175">
        <v>2008</v>
      </c>
      <c r="AC175">
        <v>2</v>
      </c>
    </row>
    <row r="176" spans="3:29" ht="13">
      <c r="C176" s="1" t="s">
        <v>231</v>
      </c>
      <c r="D176" s="1" t="s">
        <v>226</v>
      </c>
      <c r="E176" s="39">
        <v>97.400001529999997</v>
      </c>
      <c r="F176" s="39">
        <v>97.5</v>
      </c>
      <c r="G176" s="39">
        <v>97.5</v>
      </c>
      <c r="H176" s="39">
        <v>97.5</v>
      </c>
      <c r="I176" s="39">
        <v>97.5</v>
      </c>
      <c r="J176" s="39">
        <v>98.5</v>
      </c>
      <c r="K176" s="39"/>
      <c r="L176" s="39"/>
      <c r="M176" s="39"/>
      <c r="N176" s="39"/>
      <c r="O176" s="39"/>
      <c r="P176" s="39"/>
      <c r="Q176" s="39"/>
      <c r="R176" s="39"/>
      <c r="S176" s="36"/>
      <c r="T176" s="36"/>
      <c r="U176" s="37"/>
      <c r="V176" s="38"/>
      <c r="W176" s="38"/>
      <c r="X176" s="38"/>
      <c r="Y176" s="38"/>
      <c r="Z176" s="38"/>
      <c r="AA176" s="33">
        <v>98.5</v>
      </c>
      <c r="AB176">
        <v>2000</v>
      </c>
      <c r="AC176">
        <v>6</v>
      </c>
    </row>
    <row r="177" spans="3:29" ht="13">
      <c r="C177" s="1" t="s">
        <v>175</v>
      </c>
      <c r="D177" s="1" t="s">
        <v>215</v>
      </c>
      <c r="E177" s="36"/>
      <c r="F177" s="36"/>
      <c r="G177" s="36"/>
      <c r="H177" s="36"/>
      <c r="I177" s="36"/>
      <c r="J177" s="36"/>
      <c r="K177" s="36"/>
      <c r="L177" s="36"/>
      <c r="M177" s="36"/>
      <c r="N177" s="36"/>
      <c r="O177" s="36"/>
      <c r="P177" s="36"/>
      <c r="Q177" s="36"/>
      <c r="R177" s="36"/>
      <c r="S177" s="36"/>
      <c r="T177" s="36"/>
      <c r="U177" s="37"/>
      <c r="V177" s="38"/>
      <c r="W177" s="38"/>
      <c r="X177" s="38"/>
      <c r="Y177" s="38"/>
      <c r="Z177" s="38"/>
      <c r="AA177" s="33" t="e">
        <v>#N/A</v>
      </c>
      <c r="AC177">
        <v>0</v>
      </c>
    </row>
    <row r="178" spans="3:29" ht="13">
      <c r="C178" s="1" t="s">
        <v>266</v>
      </c>
      <c r="D178" s="1" t="s">
        <v>59</v>
      </c>
      <c r="E178" s="39">
        <v>31.600000380000001</v>
      </c>
      <c r="F178" s="39">
        <v>31.600000380000001</v>
      </c>
      <c r="G178" s="39">
        <v>31.600000380000001</v>
      </c>
      <c r="H178" s="39">
        <v>31.600000380000001</v>
      </c>
      <c r="I178" s="39">
        <v>31.600000380000001</v>
      </c>
      <c r="J178" s="39">
        <v>31.600000380000001</v>
      </c>
      <c r="K178" s="39">
        <v>31.600000380000001</v>
      </c>
      <c r="L178" s="39"/>
      <c r="M178" s="39"/>
      <c r="N178" s="39"/>
      <c r="O178" s="39"/>
      <c r="P178" s="39"/>
      <c r="Q178" s="39">
        <v>21</v>
      </c>
      <c r="R178" s="39"/>
      <c r="S178" s="36"/>
      <c r="T178" s="36"/>
      <c r="U178" s="37"/>
      <c r="V178" s="38"/>
      <c r="W178" s="38"/>
      <c r="X178" s="38"/>
      <c r="Y178" s="38"/>
      <c r="Z178" s="38"/>
      <c r="AA178" s="33">
        <v>21</v>
      </c>
      <c r="AB178">
        <v>2007</v>
      </c>
      <c r="AC178">
        <v>8</v>
      </c>
    </row>
    <row r="179" spans="3:29" ht="13">
      <c r="C179" s="1" t="s">
        <v>402</v>
      </c>
      <c r="D179" s="1" t="s">
        <v>230</v>
      </c>
      <c r="E179" s="32">
        <v>27</v>
      </c>
      <c r="F179" s="32">
        <v>27</v>
      </c>
      <c r="G179" s="32">
        <v>27</v>
      </c>
      <c r="H179" s="32">
        <v>27</v>
      </c>
      <c r="I179" s="32">
        <v>27</v>
      </c>
      <c r="J179" s="32">
        <v>27</v>
      </c>
      <c r="K179" s="32">
        <v>27</v>
      </c>
      <c r="L179" s="36"/>
      <c r="M179" s="36"/>
      <c r="N179" s="36"/>
      <c r="O179" s="36"/>
      <c r="P179" s="36"/>
      <c r="Q179" s="36"/>
      <c r="R179" s="36"/>
      <c r="S179" s="36"/>
      <c r="T179" s="36"/>
      <c r="U179" s="37"/>
      <c r="V179" s="38"/>
      <c r="W179" s="38"/>
      <c r="X179" s="38"/>
      <c r="Y179" s="38"/>
      <c r="Z179" s="38"/>
      <c r="AA179" s="33">
        <v>27</v>
      </c>
      <c r="AB179">
        <v>2001</v>
      </c>
      <c r="AC179">
        <v>7</v>
      </c>
    </row>
    <row r="180" spans="3:29" ht="13">
      <c r="C180" s="1" t="s">
        <v>283</v>
      </c>
      <c r="D180" s="1" t="s">
        <v>64</v>
      </c>
      <c r="E180" s="39">
        <v>51</v>
      </c>
      <c r="F180" s="39">
        <v>51.099998470000003</v>
      </c>
      <c r="G180" s="39">
        <v>51.099998470000003</v>
      </c>
      <c r="H180" s="39">
        <v>51.099998470000003</v>
      </c>
      <c r="I180" s="39">
        <v>51.099998470000003</v>
      </c>
      <c r="J180" s="39">
        <v>51.099998470000003</v>
      </c>
      <c r="K180" s="39">
        <v>51.099998470000003</v>
      </c>
      <c r="L180" s="39"/>
      <c r="M180" s="39"/>
      <c r="N180" s="39"/>
      <c r="O180" s="39"/>
      <c r="P180" s="39"/>
      <c r="Q180" s="39"/>
      <c r="R180" s="39"/>
      <c r="S180" s="36"/>
      <c r="T180" s="36"/>
      <c r="U180" s="37"/>
      <c r="V180" s="38"/>
      <c r="W180" s="38"/>
      <c r="X180" s="38"/>
      <c r="Y180" s="38"/>
      <c r="Z180" s="38"/>
      <c r="AA180" s="33">
        <v>51.099998470000003</v>
      </c>
      <c r="AB180">
        <v>2001</v>
      </c>
      <c r="AC180">
        <v>7</v>
      </c>
    </row>
    <row r="181" spans="3:29" ht="13">
      <c r="C181" s="1" t="s">
        <v>298</v>
      </c>
      <c r="D181" s="1" t="s">
        <v>264</v>
      </c>
      <c r="E181" s="39">
        <v>78.800003050000001</v>
      </c>
      <c r="F181" s="39">
        <v>78.900001529999997</v>
      </c>
      <c r="G181" s="39">
        <v>78.900001529999997</v>
      </c>
      <c r="H181" s="39">
        <v>63.700000760000002</v>
      </c>
      <c r="I181" s="39">
        <v>63.799999239999998</v>
      </c>
      <c r="J181" s="39">
        <v>68.400001529999997</v>
      </c>
      <c r="K181" s="39">
        <v>65.400001529999997</v>
      </c>
      <c r="L181" s="39"/>
      <c r="M181" s="39"/>
      <c r="N181" s="39">
        <v>65.800003050000001</v>
      </c>
      <c r="O181" s="39"/>
      <c r="P181" s="39"/>
      <c r="Q181" s="39"/>
      <c r="R181" s="39">
        <v>75.180000000000007</v>
      </c>
      <c r="S181" s="36"/>
      <c r="T181" s="36"/>
      <c r="U181" s="37"/>
      <c r="V181" s="38"/>
      <c r="W181" s="38"/>
      <c r="X181" s="38"/>
      <c r="Y181" s="38"/>
      <c r="Z181" s="38"/>
      <c r="AA181" s="33">
        <v>75.180000000000007</v>
      </c>
      <c r="AB181">
        <v>2008</v>
      </c>
      <c r="AC181">
        <v>9</v>
      </c>
    </row>
    <row r="182" spans="3:29" ht="13">
      <c r="C182" s="1" t="s">
        <v>301</v>
      </c>
      <c r="D182" s="1" t="s">
        <v>86</v>
      </c>
      <c r="E182" s="39">
        <v>23</v>
      </c>
      <c r="F182" s="39">
        <v>25</v>
      </c>
      <c r="G182" s="39">
        <v>25</v>
      </c>
      <c r="H182" s="39">
        <v>28</v>
      </c>
      <c r="I182" s="39">
        <v>34</v>
      </c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6"/>
      <c r="U182" s="37"/>
      <c r="V182" s="38"/>
      <c r="W182" s="38"/>
      <c r="X182" s="38"/>
      <c r="Y182" s="38"/>
      <c r="Z182" s="38"/>
      <c r="AA182" s="33">
        <v>34</v>
      </c>
      <c r="AB182">
        <v>1999</v>
      </c>
      <c r="AC182">
        <v>5</v>
      </c>
    </row>
    <row r="183" spans="3:29" ht="13">
      <c r="C183" s="1" t="s">
        <v>206</v>
      </c>
      <c r="D183" s="1" t="s">
        <v>258</v>
      </c>
      <c r="E183" s="39"/>
      <c r="F183" s="39"/>
      <c r="G183" s="39"/>
      <c r="H183" s="39"/>
      <c r="I183" s="39">
        <v>81.199996949999999</v>
      </c>
      <c r="J183" s="39">
        <v>81.199996949999999</v>
      </c>
      <c r="K183" s="39">
        <v>81.199996949999999</v>
      </c>
      <c r="L183" s="39"/>
      <c r="M183" s="39"/>
      <c r="N183" s="39"/>
      <c r="O183" s="39"/>
      <c r="P183" s="39"/>
      <c r="Q183" s="39"/>
      <c r="R183" s="39"/>
      <c r="S183" s="36"/>
      <c r="T183" s="36"/>
      <c r="U183" s="37"/>
      <c r="V183" s="38"/>
      <c r="W183" s="38"/>
      <c r="X183" s="38"/>
      <c r="Y183" s="38"/>
      <c r="Z183" s="38"/>
      <c r="AA183" s="33">
        <v>81.199996949999999</v>
      </c>
      <c r="AB183">
        <v>2001</v>
      </c>
      <c r="AC183">
        <v>3</v>
      </c>
    </row>
    <row r="184" spans="3:29" ht="13">
      <c r="C184" s="1" t="s">
        <v>304</v>
      </c>
      <c r="D184" s="1" t="s">
        <v>150</v>
      </c>
      <c r="E184" s="36"/>
      <c r="F184" s="36"/>
      <c r="G184" s="36"/>
      <c r="H184" s="36"/>
      <c r="I184" s="36"/>
      <c r="J184" s="36"/>
      <c r="K184" s="36"/>
      <c r="L184" s="36"/>
      <c r="M184" s="36"/>
      <c r="N184" s="36"/>
      <c r="O184" s="36"/>
      <c r="P184" s="36"/>
      <c r="Q184" s="36"/>
      <c r="R184" s="36"/>
      <c r="S184" s="36"/>
      <c r="T184" s="36"/>
      <c r="U184" s="37"/>
      <c r="V184" s="38"/>
      <c r="W184" s="38"/>
      <c r="X184" s="38"/>
      <c r="Y184" s="38"/>
      <c r="Z184" s="38"/>
      <c r="AA184" s="33" t="e">
        <v>#N/A</v>
      </c>
      <c r="AC184">
        <v>0</v>
      </c>
    </row>
    <row r="185" spans="3:29" ht="13">
      <c r="C185" s="1" t="s">
        <v>78</v>
      </c>
      <c r="D185" s="1" t="s">
        <v>60</v>
      </c>
      <c r="E185" s="36"/>
      <c r="F185" s="36"/>
      <c r="G185" s="36"/>
      <c r="H185" s="36"/>
      <c r="I185" s="36"/>
      <c r="J185" s="36"/>
      <c r="K185" s="36"/>
      <c r="L185" s="36"/>
      <c r="M185" s="32">
        <v>23</v>
      </c>
      <c r="N185" s="36"/>
      <c r="O185" s="36"/>
      <c r="P185" s="36"/>
      <c r="Q185" s="36"/>
      <c r="R185" s="36"/>
      <c r="S185" s="36"/>
      <c r="T185" s="36"/>
      <c r="U185" s="37"/>
      <c r="V185" s="38"/>
      <c r="W185" s="38"/>
      <c r="X185" s="38"/>
      <c r="Y185" s="38"/>
      <c r="Z185" s="38"/>
      <c r="AA185" s="33">
        <v>23</v>
      </c>
      <c r="AB185">
        <v>2003</v>
      </c>
      <c r="AC185">
        <v>1</v>
      </c>
    </row>
    <row r="186" spans="3:29" ht="13">
      <c r="C186" s="1" t="s">
        <v>221</v>
      </c>
      <c r="D186" s="1" t="s">
        <v>35</v>
      </c>
      <c r="E186" s="39">
        <v>94.800003050000001</v>
      </c>
      <c r="F186" s="39">
        <v>95</v>
      </c>
      <c r="G186" s="39">
        <v>95</v>
      </c>
      <c r="H186" s="39">
        <v>96.5</v>
      </c>
      <c r="I186" s="39">
        <v>96.599998470000003</v>
      </c>
      <c r="J186" s="39">
        <v>96.699996949999999</v>
      </c>
      <c r="K186" s="39">
        <v>96.699996949999999</v>
      </c>
      <c r="L186" s="39">
        <v>96.800003050000001</v>
      </c>
      <c r="M186" s="39">
        <v>96.400001529999997</v>
      </c>
      <c r="N186" s="39">
        <v>97.199996949999999</v>
      </c>
      <c r="O186" s="39">
        <v>97.41999817</v>
      </c>
      <c r="P186" s="39">
        <v>97.664750690000005</v>
      </c>
      <c r="Q186" s="39">
        <v>97.751177530000007</v>
      </c>
      <c r="R186" s="39">
        <v>97.81</v>
      </c>
      <c r="S186" s="36"/>
      <c r="T186" s="36"/>
      <c r="U186" s="37"/>
      <c r="V186" s="38"/>
      <c r="W186" s="38"/>
      <c r="X186" s="38"/>
      <c r="Y186" s="38"/>
      <c r="Z186" s="38"/>
      <c r="AA186" s="33">
        <v>97.81</v>
      </c>
      <c r="AB186">
        <v>2008</v>
      </c>
      <c r="AC186">
        <v>14</v>
      </c>
    </row>
    <row r="187" spans="3:29" ht="13">
      <c r="C187" s="1" t="s">
        <v>10</v>
      </c>
      <c r="D187" s="1" t="s">
        <v>336</v>
      </c>
      <c r="E187" s="39">
        <v>100</v>
      </c>
      <c r="F187" s="39">
        <v>100</v>
      </c>
      <c r="G187" s="39">
        <v>100</v>
      </c>
      <c r="H187" s="39">
        <v>100</v>
      </c>
      <c r="I187" s="39">
        <v>100</v>
      </c>
      <c r="J187" s="39">
        <v>100</v>
      </c>
      <c r="K187" s="39"/>
      <c r="L187" s="39"/>
      <c r="M187" s="39"/>
      <c r="N187" s="39"/>
      <c r="O187" s="39"/>
      <c r="P187" s="39"/>
      <c r="Q187" s="39"/>
      <c r="R187" s="39"/>
      <c r="S187" s="36"/>
      <c r="T187" s="36"/>
      <c r="U187" s="37"/>
      <c r="V187" s="38"/>
      <c r="W187" s="38"/>
      <c r="X187" s="38"/>
      <c r="Y187" s="38"/>
      <c r="Z187" s="38"/>
      <c r="AA187" s="33">
        <v>100</v>
      </c>
      <c r="AB187">
        <v>2000</v>
      </c>
      <c r="AC187">
        <v>6</v>
      </c>
    </row>
    <row r="188" spans="3:29" ht="13">
      <c r="C188" s="1" t="s">
        <v>157</v>
      </c>
      <c r="D188" s="1" t="s">
        <v>166</v>
      </c>
      <c r="E188" s="39">
        <v>100</v>
      </c>
      <c r="F188" s="39">
        <v>100</v>
      </c>
      <c r="G188" s="39">
        <v>100</v>
      </c>
      <c r="H188" s="39">
        <v>100</v>
      </c>
      <c r="I188" s="39">
        <v>100</v>
      </c>
      <c r="J188" s="39">
        <v>100</v>
      </c>
      <c r="K188" s="39">
        <v>100</v>
      </c>
      <c r="L188" s="39">
        <v>100</v>
      </c>
      <c r="M188" s="39">
        <v>100</v>
      </c>
      <c r="N188" s="39">
        <v>100</v>
      </c>
      <c r="O188" s="39">
        <v>100</v>
      </c>
      <c r="P188" s="39">
        <v>100</v>
      </c>
      <c r="Q188" s="39">
        <v>100</v>
      </c>
      <c r="R188" s="39">
        <v>100</v>
      </c>
      <c r="S188" s="39"/>
      <c r="T188" s="36"/>
      <c r="U188" s="37"/>
      <c r="V188" s="38"/>
      <c r="W188" s="38"/>
      <c r="X188" s="38"/>
      <c r="Y188" s="38"/>
      <c r="Z188" s="38"/>
      <c r="AA188" s="33">
        <v>100</v>
      </c>
      <c r="AB188">
        <v>2008</v>
      </c>
      <c r="AC188">
        <v>14</v>
      </c>
    </row>
    <row r="189" spans="3:29" ht="13">
      <c r="C189" s="1" t="s">
        <v>332</v>
      </c>
      <c r="D189" s="1" t="s">
        <v>311</v>
      </c>
      <c r="E189" s="39"/>
      <c r="F189" s="39"/>
      <c r="G189" s="39"/>
      <c r="H189" s="39"/>
      <c r="I189" s="39"/>
      <c r="J189" s="39"/>
      <c r="K189" s="39"/>
      <c r="L189" s="39"/>
      <c r="M189" s="39">
        <v>66.199996949999999</v>
      </c>
      <c r="N189" s="39">
        <v>64.5</v>
      </c>
      <c r="O189" s="39">
        <v>65.339996339999999</v>
      </c>
      <c r="P189" s="39"/>
      <c r="Q189" s="39">
        <v>65.12</v>
      </c>
      <c r="R189" s="39">
        <v>67.37</v>
      </c>
      <c r="S189" s="39"/>
      <c r="T189" s="36"/>
      <c r="U189" s="37"/>
      <c r="V189" s="38"/>
      <c r="W189" s="38"/>
      <c r="X189" s="38"/>
      <c r="Y189" s="38"/>
      <c r="Z189" s="38"/>
      <c r="AA189" s="33">
        <v>67.37</v>
      </c>
      <c r="AB189">
        <v>2008</v>
      </c>
      <c r="AC189">
        <v>5</v>
      </c>
    </row>
    <row r="190" spans="3:29" ht="13">
      <c r="C190" s="1" t="s">
        <v>318</v>
      </c>
      <c r="D190" s="1" t="s">
        <v>144</v>
      </c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6"/>
      <c r="T190" s="36"/>
      <c r="U190" s="37"/>
      <c r="V190" s="38"/>
      <c r="W190" s="38"/>
      <c r="X190" s="38"/>
      <c r="Y190" s="38"/>
      <c r="Z190" s="38"/>
      <c r="AA190" s="33" t="e">
        <v>#N/A</v>
      </c>
      <c r="AC190">
        <v>0</v>
      </c>
    </row>
    <row r="191" spans="3:29" ht="13">
      <c r="C191" s="1" t="s">
        <v>7</v>
      </c>
      <c r="D191" s="1" t="s">
        <v>12</v>
      </c>
      <c r="E191" s="39">
        <v>87.199996949999999</v>
      </c>
      <c r="F191" s="39">
        <v>87.300003050000001</v>
      </c>
      <c r="G191" s="39"/>
      <c r="H191" s="39">
        <v>87.300003050000001</v>
      </c>
      <c r="I191" s="39">
        <v>87.300003050000001</v>
      </c>
      <c r="J191" s="39">
        <v>87.300003050000001</v>
      </c>
      <c r="K191" s="39">
        <v>87.300003050000001</v>
      </c>
      <c r="L191" s="39"/>
      <c r="M191" s="39"/>
      <c r="N191" s="39"/>
      <c r="O191" s="39"/>
      <c r="P191" s="39"/>
      <c r="Q191" s="39"/>
      <c r="R191" s="39"/>
      <c r="S191" s="36"/>
      <c r="T191" s="36"/>
      <c r="U191" s="37"/>
      <c r="V191" s="38"/>
      <c r="W191" s="38"/>
      <c r="X191" s="38"/>
      <c r="Y191" s="38"/>
      <c r="Z191" s="38"/>
      <c r="AA191" s="33">
        <v>87.300003050000001</v>
      </c>
      <c r="AB191">
        <v>2001</v>
      </c>
      <c r="AC191">
        <v>6</v>
      </c>
    </row>
    <row r="192" spans="3:29" ht="13">
      <c r="C192" s="1" t="s">
        <v>299</v>
      </c>
      <c r="D192" s="1" t="s">
        <v>323</v>
      </c>
      <c r="E192" s="32">
        <v>23.799999239999998</v>
      </c>
      <c r="F192" s="32">
        <v>23.899999619999999</v>
      </c>
      <c r="G192" s="32">
        <v>23.899999619999999</v>
      </c>
      <c r="H192" s="32">
        <v>23.899999619999999</v>
      </c>
      <c r="I192" s="32">
        <v>23.899999619999999</v>
      </c>
      <c r="J192" s="32">
        <v>23.899999619999999</v>
      </c>
      <c r="K192" s="32">
        <v>23.899999619999999</v>
      </c>
      <c r="L192" s="36"/>
      <c r="M192" s="36"/>
      <c r="N192" s="36"/>
      <c r="O192" s="36"/>
      <c r="P192" s="36"/>
      <c r="Q192" s="36"/>
      <c r="R192" s="36"/>
      <c r="S192" s="36"/>
      <c r="T192" s="36"/>
      <c r="U192" s="37"/>
      <c r="V192" s="38"/>
      <c r="W192" s="38"/>
      <c r="X192" s="38"/>
      <c r="Y192" s="38"/>
      <c r="Z192" s="38"/>
      <c r="AA192" s="33">
        <v>23.899999619999999</v>
      </c>
      <c r="AB192">
        <v>2001</v>
      </c>
      <c r="AC192">
        <v>7</v>
      </c>
    </row>
    <row r="193" spans="3:29" ht="13">
      <c r="C193" s="1" t="s">
        <v>104</v>
      </c>
      <c r="D193" s="1" t="s">
        <v>339</v>
      </c>
      <c r="E193" s="39">
        <v>35.400001529999997</v>
      </c>
      <c r="F193" s="39">
        <v>35.400001529999997</v>
      </c>
      <c r="G193" s="39">
        <v>33.599998470000003</v>
      </c>
      <c r="H193" s="39">
        <v>33.599998470000003</v>
      </c>
      <c r="I193" s="39">
        <v>33.599998470000003</v>
      </c>
      <c r="J193" s="39">
        <v>33.599998470000003</v>
      </c>
      <c r="K193" s="39">
        <v>33.599998470000003</v>
      </c>
      <c r="L193" s="39"/>
      <c r="M193" s="39"/>
      <c r="N193" s="39"/>
      <c r="O193" s="39"/>
      <c r="P193" s="39"/>
      <c r="Q193" s="39"/>
      <c r="R193" s="39"/>
      <c r="S193" s="36"/>
      <c r="T193" s="36"/>
      <c r="U193" s="37"/>
      <c r="V193" s="38"/>
      <c r="W193" s="38"/>
      <c r="X193" s="38"/>
      <c r="Y193" s="38"/>
      <c r="Z193" s="38"/>
      <c r="AA193" s="33">
        <v>33.599998470000003</v>
      </c>
      <c r="AB193">
        <v>2001</v>
      </c>
      <c r="AC193">
        <v>7</v>
      </c>
    </row>
    <row r="194" spans="3:29" ht="13">
      <c r="C194" s="1" t="s">
        <v>255</v>
      </c>
      <c r="D194" s="1" t="s">
        <v>160</v>
      </c>
      <c r="E194" s="39">
        <v>25.899999619999999</v>
      </c>
      <c r="F194" s="39">
        <v>25.100000380000001</v>
      </c>
      <c r="G194" s="39">
        <v>25.100000380000001</v>
      </c>
      <c r="H194" s="39">
        <v>25.100000380000001</v>
      </c>
      <c r="I194" s="39"/>
      <c r="J194" s="39"/>
      <c r="K194" s="39"/>
      <c r="L194" s="39"/>
      <c r="M194" s="39"/>
      <c r="N194" s="39">
        <v>43.893010289999999</v>
      </c>
      <c r="O194" s="39"/>
      <c r="P194" s="39">
        <v>46.962382609999999</v>
      </c>
      <c r="Q194" s="39">
        <v>47.624134079999997</v>
      </c>
      <c r="R194" s="39"/>
      <c r="S194" s="36"/>
      <c r="T194" s="36"/>
      <c r="U194" s="37"/>
      <c r="V194" s="38"/>
      <c r="W194" s="38"/>
      <c r="X194" s="38"/>
      <c r="Y194" s="38"/>
      <c r="Z194" s="38"/>
      <c r="AA194" s="33">
        <v>47.624134079999997</v>
      </c>
      <c r="AB194">
        <v>2007</v>
      </c>
      <c r="AC194">
        <v>7</v>
      </c>
    </row>
    <row r="195" spans="3:29" ht="13">
      <c r="C195" s="1" t="s">
        <v>79</v>
      </c>
      <c r="D195" s="1" t="s">
        <v>324</v>
      </c>
      <c r="E195" s="39">
        <v>7.9000000950000002</v>
      </c>
      <c r="F195" s="39">
        <v>8.1000003809999992</v>
      </c>
      <c r="G195" s="39"/>
      <c r="H195" s="39"/>
      <c r="I195" s="39"/>
      <c r="J195" s="39"/>
      <c r="K195" s="39"/>
      <c r="L195" s="39"/>
      <c r="M195" s="39"/>
      <c r="N195" s="39"/>
      <c r="O195" s="39">
        <v>8.6999998089999995</v>
      </c>
      <c r="P195" s="39"/>
      <c r="Q195" s="39"/>
      <c r="R195" s="39"/>
      <c r="S195" s="36"/>
      <c r="T195" s="36"/>
      <c r="U195" s="37"/>
      <c r="V195" s="38"/>
      <c r="W195" s="38"/>
      <c r="X195" s="38"/>
      <c r="Y195" s="38"/>
      <c r="Z195" s="38"/>
      <c r="AA195" s="33">
        <v>8.6999998089999995</v>
      </c>
      <c r="AB195">
        <v>2005</v>
      </c>
      <c r="AC195">
        <v>3</v>
      </c>
    </row>
    <row r="196" spans="3:29" ht="13">
      <c r="C196" s="1" t="s">
        <v>29</v>
      </c>
      <c r="D196" s="1" t="s">
        <v>65</v>
      </c>
      <c r="E196" s="39"/>
      <c r="F196" s="39"/>
      <c r="G196" s="39"/>
      <c r="H196" s="39"/>
      <c r="I196" s="39"/>
      <c r="J196" s="39"/>
      <c r="K196" s="39">
        <v>22</v>
      </c>
      <c r="L196" s="39"/>
      <c r="M196" s="39"/>
      <c r="N196" s="39"/>
      <c r="O196" s="39"/>
      <c r="P196" s="39"/>
      <c r="Q196" s="39"/>
      <c r="R196" s="39"/>
      <c r="S196" s="36"/>
      <c r="T196" s="36"/>
      <c r="U196" s="37"/>
      <c r="V196" s="38"/>
      <c r="W196" s="38"/>
      <c r="X196" s="38"/>
      <c r="Y196" s="38"/>
      <c r="Z196" s="38"/>
      <c r="AA196" s="33">
        <v>22</v>
      </c>
      <c r="AB196">
        <v>2001</v>
      </c>
      <c r="AC196">
        <v>1</v>
      </c>
    </row>
    <row r="197" spans="3:29" ht="13">
      <c r="C197" s="1" t="s">
        <v>382</v>
      </c>
      <c r="D197" s="1" t="s">
        <v>245</v>
      </c>
      <c r="E197" s="39">
        <v>48</v>
      </c>
      <c r="F197" s="39">
        <v>47.400001529999997</v>
      </c>
      <c r="G197" s="39">
        <v>47.400001529999997</v>
      </c>
      <c r="H197" s="39">
        <v>47.400001529999997</v>
      </c>
      <c r="I197" s="39"/>
      <c r="J197" s="39"/>
      <c r="K197" s="39"/>
      <c r="L197" s="39">
        <v>19</v>
      </c>
      <c r="M197" s="39"/>
      <c r="N197" s="39"/>
      <c r="O197" s="39"/>
      <c r="P197" s="39"/>
      <c r="Q197" s="39"/>
      <c r="R197" s="39"/>
      <c r="S197" s="36"/>
      <c r="T197" s="36"/>
      <c r="U197" s="37"/>
      <c r="V197" s="38"/>
      <c r="W197" s="38"/>
      <c r="X197" s="38"/>
      <c r="Y197" s="38"/>
      <c r="Z197" s="38"/>
      <c r="AA197" s="33">
        <v>19</v>
      </c>
      <c r="AB197">
        <v>2002</v>
      </c>
      <c r="AC197">
        <v>5</v>
      </c>
    </row>
    <row r="198" spans="3:29" ht="13">
      <c r="C198" s="1"/>
      <c r="D198" s="1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U198" s="5"/>
    </row>
    <row r="199" spans="3:29" ht="13">
      <c r="C199" s="1"/>
      <c r="D199" s="6" t="s">
        <v>70</v>
      </c>
      <c r="E199" s="7" t="e">
        <f t="shared" ref="E199:U199" si="0">AVERAGE(E6:E197)</f>
        <v>#N/A</v>
      </c>
      <c r="F199" s="7" t="e">
        <f t="shared" si="0"/>
        <v>#N/A</v>
      </c>
      <c r="G199" s="7" t="e">
        <f t="shared" si="0"/>
        <v>#N/A</v>
      </c>
      <c r="H199" s="7" t="e">
        <f t="shared" si="0"/>
        <v>#N/A</v>
      </c>
      <c r="I199" s="7" t="e">
        <f t="shared" si="0"/>
        <v>#N/A</v>
      </c>
      <c r="J199" s="7" t="e">
        <f t="shared" si="0"/>
        <v>#N/A</v>
      </c>
      <c r="K199" s="7" t="e">
        <f t="shared" si="0"/>
        <v>#N/A</v>
      </c>
      <c r="L199" s="7" t="e">
        <f t="shared" si="0"/>
        <v>#N/A</v>
      </c>
      <c r="M199" s="7" t="e">
        <f t="shared" si="0"/>
        <v>#N/A</v>
      </c>
      <c r="N199" s="7" t="e">
        <f t="shared" si="0"/>
        <v>#N/A</v>
      </c>
      <c r="O199" s="7" t="e">
        <f t="shared" si="0"/>
        <v>#N/A</v>
      </c>
      <c r="P199" s="7" t="e">
        <f t="shared" si="0"/>
        <v>#N/A</v>
      </c>
      <c r="Q199" s="7" t="e">
        <f t="shared" si="0"/>
        <v>#N/A</v>
      </c>
      <c r="R199" s="7" t="e">
        <f t="shared" si="0"/>
        <v>#N/A</v>
      </c>
      <c r="S199" s="7" t="e">
        <f t="shared" si="0"/>
        <v>#N/A</v>
      </c>
      <c r="T199" s="7" t="e">
        <f t="shared" si="0"/>
        <v>#N/A</v>
      </c>
      <c r="U199" s="7" t="e">
        <f t="shared" si="0"/>
        <v>#N/A</v>
      </c>
    </row>
    <row r="200" spans="3:29" ht="13">
      <c r="C200" s="1"/>
      <c r="D200" s="6" t="s">
        <v>308</v>
      </c>
      <c r="E200" s="7" t="e">
        <f t="shared" ref="E200:U200" si="1">STDEV(E6:E197)</f>
        <v>#N/A</v>
      </c>
      <c r="F200" s="7" t="e">
        <f t="shared" si="1"/>
        <v>#N/A</v>
      </c>
      <c r="G200" s="7" t="e">
        <f t="shared" si="1"/>
        <v>#N/A</v>
      </c>
      <c r="H200" s="7" t="e">
        <f t="shared" si="1"/>
        <v>#N/A</v>
      </c>
      <c r="I200" s="7" t="e">
        <f t="shared" si="1"/>
        <v>#N/A</v>
      </c>
      <c r="J200" s="7" t="e">
        <f t="shared" si="1"/>
        <v>#N/A</v>
      </c>
      <c r="K200" s="7" t="e">
        <f t="shared" si="1"/>
        <v>#N/A</v>
      </c>
      <c r="L200" s="7" t="e">
        <f t="shared" si="1"/>
        <v>#N/A</v>
      </c>
      <c r="M200" s="7" t="e">
        <f t="shared" si="1"/>
        <v>#N/A</v>
      </c>
      <c r="N200" s="7" t="e">
        <f t="shared" si="1"/>
        <v>#N/A</v>
      </c>
      <c r="O200" s="7" t="e">
        <f t="shared" si="1"/>
        <v>#N/A</v>
      </c>
      <c r="P200" s="7" t="e">
        <f t="shared" si="1"/>
        <v>#N/A</v>
      </c>
      <c r="Q200" s="7" t="e">
        <f t="shared" si="1"/>
        <v>#N/A</v>
      </c>
      <c r="R200" s="7" t="e">
        <f t="shared" si="1"/>
        <v>#N/A</v>
      </c>
      <c r="S200" s="7" t="e">
        <f t="shared" si="1"/>
        <v>#N/A</v>
      </c>
      <c r="T200" s="7" t="e">
        <f t="shared" si="1"/>
        <v>#N/A</v>
      </c>
      <c r="U200" s="7" t="e">
        <f t="shared" si="1"/>
        <v>#N/A</v>
      </c>
    </row>
    <row r="201" spans="3:29" ht="13">
      <c r="C201" s="1"/>
      <c r="D201" s="6" t="s">
        <v>373</v>
      </c>
      <c r="E201" s="7">
        <f t="shared" ref="E201:U201" si="2">COUNT(E6:E197)</f>
        <v>141</v>
      </c>
      <c r="F201" s="7">
        <f t="shared" si="2"/>
        <v>138</v>
      </c>
      <c r="G201" s="7">
        <f t="shared" si="2"/>
        <v>125</v>
      </c>
      <c r="H201" s="7">
        <f t="shared" si="2"/>
        <v>128</v>
      </c>
      <c r="I201" s="7">
        <f t="shared" si="2"/>
        <v>124</v>
      </c>
      <c r="J201" s="7">
        <f t="shared" si="2"/>
        <v>120</v>
      </c>
      <c r="K201" s="7">
        <f t="shared" si="2"/>
        <v>94</v>
      </c>
      <c r="L201" s="7">
        <f t="shared" si="2"/>
        <v>55</v>
      </c>
      <c r="M201" s="7">
        <f t="shared" si="2"/>
        <v>74</v>
      </c>
      <c r="N201" s="7">
        <f t="shared" si="2"/>
        <v>74</v>
      </c>
      <c r="O201" s="7">
        <f t="shared" si="2"/>
        <v>58</v>
      </c>
      <c r="P201" s="7">
        <f t="shared" si="2"/>
        <v>59</v>
      </c>
      <c r="Q201" s="7">
        <f t="shared" si="2"/>
        <v>55</v>
      </c>
      <c r="R201" s="7">
        <f t="shared" si="2"/>
        <v>52</v>
      </c>
      <c r="S201" s="7">
        <f t="shared" si="2"/>
        <v>1</v>
      </c>
      <c r="T201" s="7">
        <f t="shared" si="2"/>
        <v>1</v>
      </c>
      <c r="U201" s="7">
        <f t="shared" si="2"/>
        <v>0</v>
      </c>
    </row>
  </sheetData>
  <mergeCells count="3">
    <mergeCell ref="A1:D1"/>
    <mergeCell ref="A2:D2"/>
    <mergeCell ref="A3:D3"/>
  </mergeCells>
  <pageMargins left="0.75" right="0.75" top="1" bottom="1" header="0.5" footer="0.5"/>
  <pageSetup paperSize="9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X203"/>
  <sheetViews>
    <sheetView workbookViewId="0">
      <pane xSplit="4" ySplit="5" topLeftCell="E147" activePane="bottomRight" state="frozen"/>
      <selection pane="topRight" activeCell="E1" sqref="E1"/>
      <selection pane="bottomLeft" activeCell="A6" sqref="A6"/>
      <selection pane="bottomRight" activeCell="K195" sqref="K195"/>
    </sheetView>
  </sheetViews>
  <sheetFormatPr baseColWidth="10" defaultColWidth="8.83203125" defaultRowHeight="14.25" customHeight="1" x14ac:dyDescent="0"/>
  <cols>
    <col min="1" max="1" width="5" customWidth="1"/>
    <col min="2" max="2" width="4.5" customWidth="1"/>
    <col min="3" max="3" width="3.5" customWidth="1"/>
    <col min="4" max="4" width="6.1640625" customWidth="1"/>
    <col min="5" max="18" width="6.83203125" bestFit="1" customWidth="1"/>
    <col min="19" max="20" width="6.33203125" bestFit="1" customWidth="1"/>
    <col min="21" max="21" width="5.83203125" bestFit="1" customWidth="1"/>
    <col min="22" max="24" width="8.83203125" customWidth="1"/>
  </cols>
  <sheetData>
    <row r="1" spans="1:24" ht="14.25" customHeight="1">
      <c r="A1" s="40" t="s">
        <v>102</v>
      </c>
      <c r="B1" s="42"/>
      <c r="C1" s="41"/>
      <c r="D1" s="41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W1" s="10"/>
      <c r="X1" s="11"/>
    </row>
    <row r="2" spans="1:24" ht="14.25" customHeight="1">
      <c r="A2" s="40" t="s">
        <v>350</v>
      </c>
      <c r="B2" s="42"/>
      <c r="C2" s="41"/>
      <c r="D2" s="41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X2" s="12"/>
    </row>
    <row r="3" spans="1:24" ht="14.25" customHeight="1">
      <c r="A3" s="40" t="s">
        <v>185</v>
      </c>
      <c r="B3" s="42"/>
      <c r="C3" s="41"/>
      <c r="D3" s="41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X3" s="12"/>
    </row>
    <row r="4" spans="1:24" ht="14.25" customHeight="1">
      <c r="A4" s="2"/>
      <c r="B4" s="8"/>
      <c r="C4" s="2"/>
      <c r="D4" s="2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9"/>
      <c r="X4" s="12"/>
    </row>
    <row r="5" spans="1:24" ht="24">
      <c r="A5" s="14"/>
      <c r="B5" s="15"/>
      <c r="C5" s="3" t="s">
        <v>130</v>
      </c>
      <c r="D5" s="3" t="s">
        <v>392</v>
      </c>
      <c r="E5" s="3">
        <v>1995</v>
      </c>
      <c r="F5" s="3">
        <v>1996</v>
      </c>
      <c r="G5" s="3">
        <v>1997</v>
      </c>
      <c r="H5" s="3">
        <v>1998</v>
      </c>
      <c r="I5" s="3">
        <v>1999</v>
      </c>
      <c r="J5" s="3">
        <v>2000</v>
      </c>
      <c r="K5" s="3">
        <v>2001</v>
      </c>
      <c r="L5" s="3">
        <v>2002</v>
      </c>
      <c r="M5" s="3">
        <v>2003</v>
      </c>
      <c r="N5" s="3">
        <v>2004</v>
      </c>
      <c r="O5" s="3">
        <v>2005</v>
      </c>
      <c r="P5" s="3">
        <v>2006</v>
      </c>
      <c r="Q5" s="3">
        <v>2007</v>
      </c>
      <c r="R5" s="3">
        <v>2008</v>
      </c>
      <c r="S5" s="3">
        <v>2009</v>
      </c>
      <c r="T5" s="3">
        <v>2010</v>
      </c>
      <c r="U5" s="16">
        <v>2011</v>
      </c>
      <c r="V5" s="14"/>
      <c r="W5" s="14" t="s">
        <v>111</v>
      </c>
      <c r="X5" s="15"/>
    </row>
    <row r="6" spans="1:24" ht="14.25" customHeight="1">
      <c r="B6" s="12" t="str">
        <f t="shared" ref="B6:B37" si="0">X6</f>
        <v/>
      </c>
      <c r="C6" s="1" t="s">
        <v>276</v>
      </c>
      <c r="D6" s="1" t="s">
        <v>2</v>
      </c>
      <c r="E6" s="17"/>
      <c r="F6" s="17"/>
      <c r="G6" s="17"/>
      <c r="H6" s="17"/>
      <c r="I6" s="17"/>
      <c r="J6" s="17"/>
      <c r="K6" s="17"/>
      <c r="L6" s="17"/>
      <c r="M6" s="17"/>
      <c r="N6" s="17">
        <v>23.659999849999998</v>
      </c>
      <c r="O6" s="17">
        <v>27.45942879</v>
      </c>
      <c r="P6" s="17">
        <v>29.3</v>
      </c>
      <c r="Q6" s="17"/>
      <c r="R6" s="17"/>
      <c r="S6" s="17"/>
      <c r="T6" s="17"/>
      <c r="U6" s="18"/>
      <c r="W6" s="4">
        <v>0.17647058823528999</v>
      </c>
      <c r="X6" s="12" t="str">
        <f t="shared" ref="X6:X37" si="1">IF((W6&gt;0),IF((W6&lt;0.059),D6,""),"")</f>
        <v/>
      </c>
    </row>
    <row r="7" spans="1:24" ht="14.25" customHeight="1">
      <c r="B7" s="12" t="str">
        <f t="shared" si="0"/>
        <v/>
      </c>
      <c r="C7" s="1" t="s">
        <v>320</v>
      </c>
      <c r="D7" s="1" t="s">
        <v>108</v>
      </c>
      <c r="E7" s="18">
        <v>39</v>
      </c>
      <c r="F7" s="18">
        <v>39</v>
      </c>
      <c r="G7" s="18">
        <v>39</v>
      </c>
      <c r="H7" s="18">
        <v>39</v>
      </c>
      <c r="I7" s="18">
        <v>39</v>
      </c>
      <c r="J7" s="18">
        <v>39</v>
      </c>
      <c r="K7" s="18">
        <v>39</v>
      </c>
      <c r="L7" s="18">
        <v>39</v>
      </c>
      <c r="M7" s="18"/>
      <c r="N7" s="18"/>
      <c r="O7" s="18"/>
      <c r="P7" s="18"/>
      <c r="Q7" s="18"/>
      <c r="R7" s="18"/>
      <c r="S7" s="17"/>
      <c r="T7" s="17"/>
      <c r="U7" s="18"/>
      <c r="W7" s="4">
        <v>0.47058823529412003</v>
      </c>
      <c r="X7" s="12" t="str">
        <f t="shared" si="1"/>
        <v/>
      </c>
    </row>
    <row r="8" spans="1:24" ht="14.25" customHeight="1">
      <c r="B8" s="12" t="str">
        <f t="shared" si="0"/>
        <v/>
      </c>
      <c r="C8" s="1" t="s">
        <v>52</v>
      </c>
      <c r="D8" s="1" t="s">
        <v>309</v>
      </c>
      <c r="E8" s="18">
        <v>68.900001529999997</v>
      </c>
      <c r="F8" s="18">
        <v>68.900001529999997</v>
      </c>
      <c r="G8" s="18">
        <v>68.900001529999997</v>
      </c>
      <c r="H8" s="18">
        <v>68.900001529999997</v>
      </c>
      <c r="I8" s="18">
        <v>68.900001529999997</v>
      </c>
      <c r="J8" s="18">
        <v>68.900001529999997</v>
      </c>
      <c r="K8" s="18"/>
      <c r="L8" s="18"/>
      <c r="M8" s="18"/>
      <c r="N8" s="18">
        <v>70.199996949999999</v>
      </c>
      <c r="O8" s="18"/>
      <c r="P8" s="18"/>
      <c r="Q8" s="18"/>
      <c r="R8" s="18">
        <v>73.459999999999994</v>
      </c>
      <c r="S8" s="17"/>
      <c r="T8" s="17"/>
      <c r="U8" s="18"/>
      <c r="W8" s="4">
        <v>0.47058823529412003</v>
      </c>
      <c r="X8" s="12" t="str">
        <f t="shared" si="1"/>
        <v/>
      </c>
    </row>
    <row r="9" spans="1:24" ht="14.25" customHeight="1">
      <c r="B9" s="12" t="str">
        <f t="shared" si="0"/>
        <v/>
      </c>
      <c r="C9" s="1" t="s">
        <v>353</v>
      </c>
      <c r="D9" s="1" t="s">
        <v>145</v>
      </c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8"/>
      <c r="W9" s="4">
        <v>0</v>
      </c>
      <c r="X9" s="12" t="str">
        <f t="shared" si="1"/>
        <v/>
      </c>
    </row>
    <row r="10" spans="1:24" ht="14.25" customHeight="1">
      <c r="B10" s="12" t="str">
        <f t="shared" si="0"/>
        <v/>
      </c>
      <c r="C10" s="1" t="s">
        <v>257</v>
      </c>
      <c r="D10" s="1" t="s">
        <v>222</v>
      </c>
      <c r="E10" s="18"/>
      <c r="F10" s="18"/>
      <c r="G10" s="18"/>
      <c r="H10" s="18"/>
      <c r="I10" s="18">
        <v>10.399999619999999</v>
      </c>
      <c r="J10" s="18">
        <v>10.399999619999999</v>
      </c>
      <c r="K10" s="18">
        <v>10.399999619999999</v>
      </c>
      <c r="L10" s="18"/>
      <c r="M10" s="18"/>
      <c r="N10" s="18"/>
      <c r="O10" s="18"/>
      <c r="P10" s="18"/>
      <c r="Q10" s="18"/>
      <c r="R10" s="18"/>
      <c r="S10" s="17"/>
      <c r="T10" s="17"/>
      <c r="U10" s="18"/>
      <c r="W10" s="4">
        <v>0.17647058823528999</v>
      </c>
      <c r="X10" s="12" t="str">
        <f t="shared" si="1"/>
        <v/>
      </c>
    </row>
    <row r="11" spans="1:24" ht="14.25" customHeight="1">
      <c r="B11" s="12" t="str">
        <f t="shared" si="0"/>
        <v/>
      </c>
      <c r="C11" s="1" t="s">
        <v>22</v>
      </c>
      <c r="D11" s="1" t="s">
        <v>162</v>
      </c>
      <c r="E11" s="19">
        <v>39.881598886799999</v>
      </c>
      <c r="F11" s="17"/>
      <c r="G11" s="17"/>
      <c r="H11" s="17"/>
      <c r="I11" s="17"/>
      <c r="J11" s="17"/>
      <c r="K11" s="17"/>
      <c r="L11" s="17">
        <v>32.959999080000003</v>
      </c>
      <c r="M11" s="17"/>
      <c r="N11" s="17"/>
      <c r="O11" s="17"/>
      <c r="P11" s="17"/>
      <c r="Q11" s="17"/>
      <c r="R11" s="17"/>
      <c r="S11" s="17"/>
      <c r="T11" s="17"/>
      <c r="U11" s="18"/>
      <c r="W11" s="4">
        <v>0.11764705882353001</v>
      </c>
      <c r="X11" s="12" t="str">
        <f t="shared" si="1"/>
        <v/>
      </c>
    </row>
    <row r="12" spans="1:24" ht="14.25" customHeight="1">
      <c r="B12" s="12" t="str">
        <f t="shared" si="0"/>
        <v/>
      </c>
      <c r="C12" s="1" t="s">
        <v>11</v>
      </c>
      <c r="D12" s="1" t="s">
        <v>334</v>
      </c>
      <c r="E12" s="18">
        <v>29.100000380000001</v>
      </c>
      <c r="F12" s="18">
        <v>29.100000380000001</v>
      </c>
      <c r="G12" s="18">
        <v>29.5</v>
      </c>
      <c r="H12" s="18">
        <v>29.5</v>
      </c>
      <c r="I12" s="18">
        <v>29.399999619999999</v>
      </c>
      <c r="J12" s="18">
        <v>29.399999619999999</v>
      </c>
      <c r="K12" s="18"/>
      <c r="L12" s="18"/>
      <c r="M12" s="18">
        <v>30</v>
      </c>
      <c r="N12" s="18"/>
      <c r="O12" s="18"/>
      <c r="P12" s="18"/>
      <c r="Q12" s="18"/>
      <c r="R12" s="18"/>
      <c r="S12" s="17"/>
      <c r="T12" s="17"/>
      <c r="U12" s="18"/>
      <c r="W12" s="4">
        <v>0.41176470588234998</v>
      </c>
      <c r="X12" s="12" t="str">
        <f t="shared" si="1"/>
        <v/>
      </c>
    </row>
    <row r="13" spans="1:24" ht="14.25" customHeight="1">
      <c r="B13" s="12" t="str">
        <f t="shared" si="0"/>
        <v/>
      </c>
      <c r="C13" s="1" t="s">
        <v>14</v>
      </c>
      <c r="D13" s="1" t="s">
        <v>43</v>
      </c>
      <c r="E13" s="18">
        <v>96.699996949999999</v>
      </c>
      <c r="F13" s="18">
        <v>96.699996949999999</v>
      </c>
      <c r="G13" s="18">
        <v>96.800003050000001</v>
      </c>
      <c r="H13" s="18">
        <v>96.800003050000001</v>
      </c>
      <c r="I13" s="18"/>
      <c r="J13" s="18"/>
      <c r="K13" s="18"/>
      <c r="L13" s="18"/>
      <c r="M13" s="18">
        <v>91.269996640000002</v>
      </c>
      <c r="N13" s="18">
        <v>90.120002749999998</v>
      </c>
      <c r="O13" s="18">
        <v>89.97000122</v>
      </c>
      <c r="P13" s="18">
        <v>88.978996280000004</v>
      </c>
      <c r="Q13" s="18">
        <v>89.04</v>
      </c>
      <c r="R13" s="18">
        <v>90.52</v>
      </c>
      <c r="S13" s="17"/>
      <c r="T13" s="17"/>
      <c r="U13" s="18"/>
      <c r="W13" s="4">
        <v>0.58823529411764996</v>
      </c>
      <c r="X13" s="12" t="str">
        <f t="shared" si="1"/>
        <v/>
      </c>
    </row>
    <row r="14" spans="1:24" ht="14.25" customHeight="1">
      <c r="B14" s="12" t="str">
        <f t="shared" si="0"/>
        <v/>
      </c>
      <c r="C14" s="1" t="s">
        <v>32</v>
      </c>
      <c r="D14" s="1" t="s">
        <v>385</v>
      </c>
      <c r="E14" s="18">
        <v>38.599998470000003</v>
      </c>
      <c r="F14" s="18">
        <v>38.700000760000002</v>
      </c>
      <c r="G14" s="18"/>
      <c r="H14" s="18">
        <v>38.700000760000002</v>
      </c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7"/>
      <c r="U14" s="18"/>
      <c r="W14" s="4">
        <v>0.17647058823528999</v>
      </c>
      <c r="X14" s="12" t="str">
        <f t="shared" si="1"/>
        <v/>
      </c>
    </row>
    <row r="15" spans="1:24" ht="14.25" customHeight="1">
      <c r="B15" s="12" t="str">
        <f t="shared" si="0"/>
        <v/>
      </c>
      <c r="C15" s="1" t="s">
        <v>45</v>
      </c>
      <c r="D15" s="1" t="s">
        <v>330</v>
      </c>
      <c r="E15" s="18">
        <v>100</v>
      </c>
      <c r="F15" s="18">
        <v>100</v>
      </c>
      <c r="G15" s="18">
        <v>100</v>
      </c>
      <c r="H15" s="18">
        <v>100</v>
      </c>
      <c r="I15" s="18">
        <v>100</v>
      </c>
      <c r="J15" s="18">
        <v>100</v>
      </c>
      <c r="K15" s="18">
        <v>100</v>
      </c>
      <c r="L15" s="18">
        <v>100</v>
      </c>
      <c r="M15" s="18">
        <v>100</v>
      </c>
      <c r="N15" s="18"/>
      <c r="O15" s="18">
        <v>100</v>
      </c>
      <c r="P15" s="18">
        <v>100</v>
      </c>
      <c r="Q15" s="18">
        <v>100</v>
      </c>
      <c r="R15" s="18">
        <v>100</v>
      </c>
      <c r="S15" s="18"/>
      <c r="T15" s="17"/>
      <c r="U15" s="18"/>
      <c r="W15" s="4">
        <v>0.76470588235294001</v>
      </c>
      <c r="X15" s="12" t="str">
        <f t="shared" si="1"/>
        <v/>
      </c>
    </row>
    <row r="16" spans="1:24" ht="14.25" customHeight="1">
      <c r="B16" s="12" t="str">
        <f t="shared" si="0"/>
        <v/>
      </c>
      <c r="C16" s="1" t="s">
        <v>87</v>
      </c>
      <c r="D16" s="1" t="s">
        <v>155</v>
      </c>
      <c r="E16" s="18"/>
      <c r="F16" s="18"/>
      <c r="G16" s="18"/>
      <c r="H16" s="18"/>
      <c r="I16" s="18"/>
      <c r="J16" s="18"/>
      <c r="K16" s="18"/>
      <c r="L16" s="18"/>
      <c r="M16" s="18"/>
      <c r="N16" s="18">
        <v>49.38999939</v>
      </c>
      <c r="O16" s="18"/>
      <c r="P16" s="18">
        <v>50.602546179999997</v>
      </c>
      <c r="Q16" s="18"/>
      <c r="R16" s="18"/>
      <c r="S16" s="17"/>
      <c r="T16" s="17"/>
      <c r="U16" s="18"/>
      <c r="W16" s="4">
        <v>0.11764705882353001</v>
      </c>
      <c r="X16" s="12" t="str">
        <f t="shared" si="1"/>
        <v/>
      </c>
    </row>
    <row r="17" spans="2:24" ht="14.25" customHeight="1">
      <c r="B17" s="12" t="str">
        <f t="shared" si="0"/>
        <v/>
      </c>
      <c r="C17" s="1" t="s">
        <v>256</v>
      </c>
      <c r="D17" s="1" t="s">
        <v>63</v>
      </c>
      <c r="E17" s="17">
        <v>57.400001529999997</v>
      </c>
      <c r="F17" s="17">
        <v>57.400001529999997</v>
      </c>
      <c r="G17" s="17">
        <v>57.400001529999997</v>
      </c>
      <c r="H17" s="17">
        <v>57.400001529999997</v>
      </c>
      <c r="I17" s="17">
        <v>57.400001529999997</v>
      </c>
      <c r="J17" s="17">
        <v>57.400001529999997</v>
      </c>
      <c r="K17" s="17">
        <v>57.400001529999997</v>
      </c>
      <c r="L17" s="17"/>
      <c r="M17" s="17"/>
      <c r="N17" s="17"/>
      <c r="O17" s="17"/>
      <c r="P17" s="17"/>
      <c r="Q17" s="17"/>
      <c r="R17" s="17"/>
      <c r="S17" s="17"/>
      <c r="T17" s="17"/>
      <c r="U17" s="18"/>
      <c r="W17" s="4">
        <v>0.41176470588234998</v>
      </c>
      <c r="X17" s="12" t="str">
        <f t="shared" si="1"/>
        <v/>
      </c>
    </row>
    <row r="18" spans="2:24" ht="14.25" customHeight="1">
      <c r="B18" s="12" t="str">
        <f t="shared" si="0"/>
        <v/>
      </c>
      <c r="C18" s="1" t="s">
        <v>252</v>
      </c>
      <c r="D18" s="1" t="s">
        <v>284</v>
      </c>
      <c r="E18" s="18"/>
      <c r="F18" s="18">
        <v>75.800003050000001</v>
      </c>
      <c r="G18" s="18">
        <v>76.5</v>
      </c>
      <c r="H18" s="18">
        <v>76.900001529999997</v>
      </c>
      <c r="I18" s="18">
        <v>77.400001529999997</v>
      </c>
      <c r="J18" s="18">
        <v>77.599998470000003</v>
      </c>
      <c r="K18" s="18">
        <v>75.300003050000001</v>
      </c>
      <c r="L18" s="18">
        <v>78.900001529999997</v>
      </c>
      <c r="M18" s="18">
        <v>79.129997250000002</v>
      </c>
      <c r="N18" s="18">
        <v>79.739106300000003</v>
      </c>
      <c r="O18" s="18">
        <v>80.312837110000004</v>
      </c>
      <c r="P18" s="18">
        <v>80.804627929999995</v>
      </c>
      <c r="Q18" s="18">
        <v>81.04388471</v>
      </c>
      <c r="R18" s="18">
        <v>81.481481479999999</v>
      </c>
      <c r="S18" s="17"/>
      <c r="T18" s="17"/>
      <c r="U18" s="18"/>
      <c r="W18" s="4">
        <v>0.76470588235294001</v>
      </c>
      <c r="X18" s="12" t="str">
        <f t="shared" si="1"/>
        <v/>
      </c>
    </row>
    <row r="19" spans="2:24" ht="14.25" customHeight="1">
      <c r="B19" s="12" t="str">
        <f t="shared" si="0"/>
        <v/>
      </c>
      <c r="C19" s="1" t="s">
        <v>225</v>
      </c>
      <c r="D19" s="1" t="s">
        <v>116</v>
      </c>
      <c r="E19" s="18">
        <v>7.9000000950000002</v>
      </c>
      <c r="F19" s="18">
        <v>8.3999996190000008</v>
      </c>
      <c r="G19" s="18">
        <v>9.5</v>
      </c>
      <c r="H19" s="18">
        <v>9.5299997330000004</v>
      </c>
      <c r="I19" s="18">
        <v>9.5299997330000004</v>
      </c>
      <c r="J19" s="18">
        <v>9.5299997330000004</v>
      </c>
      <c r="K19" s="18"/>
      <c r="L19" s="18"/>
      <c r="M19" s="18">
        <v>9.5</v>
      </c>
      <c r="N19" s="18"/>
      <c r="O19" s="18"/>
      <c r="P19" s="18"/>
      <c r="Q19" s="18"/>
      <c r="R19" s="18"/>
      <c r="S19" s="17"/>
      <c r="T19" s="17"/>
      <c r="U19" s="18"/>
      <c r="W19" s="4">
        <v>0.41176470588234998</v>
      </c>
      <c r="X19" s="12" t="str">
        <f t="shared" si="1"/>
        <v/>
      </c>
    </row>
    <row r="20" spans="2:24" ht="14.25" customHeight="1">
      <c r="B20" s="12" t="str">
        <f t="shared" si="0"/>
        <v/>
      </c>
      <c r="C20" s="1" t="s">
        <v>401</v>
      </c>
      <c r="D20" s="1" t="s">
        <v>19</v>
      </c>
      <c r="E20" s="17">
        <v>95.800003050000001</v>
      </c>
      <c r="F20" s="17">
        <v>95.900001529999997</v>
      </c>
      <c r="G20" s="17"/>
      <c r="H20" s="17">
        <v>98.599998470000003</v>
      </c>
      <c r="I20" s="17">
        <v>98.599998470000003</v>
      </c>
      <c r="J20" s="17">
        <v>98.599998470000003</v>
      </c>
      <c r="K20" s="17">
        <v>98.599998470000003</v>
      </c>
      <c r="L20" s="17">
        <v>98.599998470000003</v>
      </c>
      <c r="M20" s="17">
        <v>100</v>
      </c>
      <c r="N20" s="17">
        <v>100</v>
      </c>
      <c r="O20" s="17"/>
      <c r="P20" s="17"/>
      <c r="Q20" s="17"/>
      <c r="R20" s="17"/>
      <c r="S20" s="17"/>
      <c r="T20" s="17"/>
      <c r="U20" s="18"/>
      <c r="W20" s="4">
        <v>0.52941176470588003</v>
      </c>
      <c r="X20" s="12" t="str">
        <f t="shared" si="1"/>
        <v/>
      </c>
    </row>
    <row r="21" spans="2:24" ht="14.25" customHeight="1">
      <c r="B21" s="12" t="str">
        <f t="shared" si="0"/>
        <v/>
      </c>
      <c r="C21" s="1" t="s">
        <v>319</v>
      </c>
      <c r="D21" s="1" t="s">
        <v>169</v>
      </c>
      <c r="E21" s="18">
        <v>98.599998470000003</v>
      </c>
      <c r="F21" s="18">
        <v>98.800003050000001</v>
      </c>
      <c r="G21" s="18">
        <v>98.199996949999999</v>
      </c>
      <c r="H21" s="18">
        <v>95.599998470000003</v>
      </c>
      <c r="I21" s="18"/>
      <c r="J21" s="18"/>
      <c r="K21" s="18"/>
      <c r="L21" s="18"/>
      <c r="M21" s="18">
        <v>86.400001529999997</v>
      </c>
      <c r="N21" s="18">
        <v>87</v>
      </c>
      <c r="O21" s="18">
        <v>88.63999939</v>
      </c>
      <c r="P21" s="18"/>
      <c r="Q21" s="18"/>
      <c r="R21" s="18"/>
      <c r="S21" s="17"/>
      <c r="T21" s="17"/>
      <c r="U21" s="18"/>
      <c r="W21" s="4">
        <v>0.41176470588234998</v>
      </c>
      <c r="X21" s="12" t="str">
        <f t="shared" si="1"/>
        <v/>
      </c>
    </row>
    <row r="22" spans="2:24" ht="14.25" customHeight="1">
      <c r="B22" s="12" t="str">
        <f t="shared" si="0"/>
        <v/>
      </c>
      <c r="C22" s="1" t="s">
        <v>219</v>
      </c>
      <c r="D22" s="1" t="s">
        <v>274</v>
      </c>
      <c r="E22" s="18">
        <v>80.699996949999999</v>
      </c>
      <c r="F22" s="18">
        <v>80.699996949999999</v>
      </c>
      <c r="G22" s="18">
        <v>80.699996949999999</v>
      </c>
      <c r="H22" s="18">
        <v>78.199996949999999</v>
      </c>
      <c r="I22" s="18">
        <v>78.199996949999999</v>
      </c>
      <c r="J22" s="18">
        <v>78.199996949999999</v>
      </c>
      <c r="K22" s="18">
        <v>78.300003050000001</v>
      </c>
      <c r="L22" s="18">
        <v>78.199996949999999</v>
      </c>
      <c r="M22" s="18">
        <v>78</v>
      </c>
      <c r="N22" s="18">
        <v>78</v>
      </c>
      <c r="O22" s="18">
        <v>78.21199799</v>
      </c>
      <c r="P22" s="18">
        <v>78.208000179999999</v>
      </c>
      <c r="Q22" s="18">
        <v>78.2</v>
      </c>
      <c r="R22" s="18">
        <v>78.2</v>
      </c>
      <c r="S22" s="18"/>
      <c r="T22" s="17"/>
      <c r="U22" s="18"/>
      <c r="W22" s="4">
        <v>0.82352941176470995</v>
      </c>
      <c r="X22" s="12" t="str">
        <f t="shared" si="1"/>
        <v/>
      </c>
    </row>
    <row r="23" spans="2:24" ht="14.25" customHeight="1">
      <c r="B23" s="12" t="str">
        <f t="shared" si="0"/>
        <v/>
      </c>
      <c r="C23" s="1" t="s">
        <v>322</v>
      </c>
      <c r="D23" s="1" t="s">
        <v>312</v>
      </c>
      <c r="E23" s="17"/>
      <c r="F23" s="17">
        <v>19</v>
      </c>
      <c r="G23" s="17">
        <v>16</v>
      </c>
      <c r="H23" s="17">
        <v>17</v>
      </c>
      <c r="I23" s="17">
        <v>17</v>
      </c>
      <c r="J23" s="17">
        <v>17</v>
      </c>
      <c r="K23" s="17">
        <v>17</v>
      </c>
      <c r="L23" s="17"/>
      <c r="M23" s="17"/>
      <c r="N23" s="17"/>
      <c r="O23" s="17"/>
      <c r="P23" s="17"/>
      <c r="Q23" s="17"/>
      <c r="R23" s="17"/>
      <c r="S23" s="17"/>
      <c r="T23" s="17"/>
      <c r="U23" s="18"/>
      <c r="W23" s="4">
        <v>0.35294117647058998</v>
      </c>
      <c r="X23" s="12" t="str">
        <f t="shared" si="1"/>
        <v/>
      </c>
    </row>
    <row r="24" spans="2:24" ht="14.25" customHeight="1">
      <c r="B24" s="12" t="str">
        <f t="shared" si="0"/>
        <v/>
      </c>
      <c r="C24" s="1" t="s">
        <v>218</v>
      </c>
      <c r="D24" s="1" t="s">
        <v>89</v>
      </c>
      <c r="E24" s="18">
        <v>20</v>
      </c>
      <c r="F24" s="18">
        <v>20</v>
      </c>
      <c r="G24" s="18">
        <v>20</v>
      </c>
      <c r="H24" s="18">
        <v>20</v>
      </c>
      <c r="I24" s="18"/>
      <c r="J24" s="18"/>
      <c r="K24" s="18"/>
      <c r="L24" s="18"/>
      <c r="M24" s="18"/>
      <c r="N24" s="18">
        <v>9.5</v>
      </c>
      <c r="O24" s="18"/>
      <c r="P24" s="18"/>
      <c r="Q24" s="18"/>
      <c r="R24" s="18"/>
      <c r="S24" s="17"/>
      <c r="T24" s="17"/>
      <c r="U24" s="18"/>
      <c r="W24" s="4">
        <v>0.29411764705881999</v>
      </c>
      <c r="X24" s="12" t="str">
        <f t="shared" si="1"/>
        <v/>
      </c>
    </row>
    <row r="25" spans="2:24" ht="14.25" customHeight="1">
      <c r="B25" s="12" t="str">
        <f t="shared" si="0"/>
        <v/>
      </c>
      <c r="C25" s="1" t="s">
        <v>0</v>
      </c>
      <c r="D25" s="1" t="s">
        <v>379</v>
      </c>
      <c r="E25" s="17">
        <v>63.700000760000002</v>
      </c>
      <c r="F25" s="17">
        <v>60.700000760000002</v>
      </c>
      <c r="G25" s="17">
        <v>60.700000760000002</v>
      </c>
      <c r="H25" s="17"/>
      <c r="I25" s="17"/>
      <c r="J25" s="17"/>
      <c r="K25" s="17"/>
      <c r="L25" s="17"/>
      <c r="M25" s="17">
        <v>62</v>
      </c>
      <c r="N25" s="17"/>
      <c r="O25" s="17"/>
      <c r="P25" s="17"/>
      <c r="Q25" s="17"/>
      <c r="R25" s="17"/>
      <c r="S25" s="17"/>
      <c r="T25" s="17"/>
      <c r="U25" s="18"/>
      <c r="W25" s="4">
        <v>0.23529411764706001</v>
      </c>
      <c r="X25" s="12" t="str">
        <f t="shared" si="1"/>
        <v/>
      </c>
    </row>
    <row r="26" spans="2:24" ht="14.25" customHeight="1">
      <c r="B26" s="12" t="str">
        <f t="shared" si="0"/>
        <v/>
      </c>
      <c r="C26" s="1" t="s">
        <v>349</v>
      </c>
      <c r="D26" s="1" t="s">
        <v>93</v>
      </c>
      <c r="E26" s="18">
        <v>5.5</v>
      </c>
      <c r="F26" s="18">
        <v>5.5</v>
      </c>
      <c r="G26" s="18">
        <v>5.6999998090000004</v>
      </c>
      <c r="H26" s="18">
        <v>6</v>
      </c>
      <c r="I26" s="18">
        <v>6.4000000950000002</v>
      </c>
      <c r="J26" s="18">
        <v>6.5999999049999998</v>
      </c>
      <c r="K26" s="18">
        <v>6.6999998090000004</v>
      </c>
      <c r="L26" s="18">
        <v>6.6999998090000004</v>
      </c>
      <c r="M26" s="18">
        <v>7</v>
      </c>
      <c r="N26" s="18">
        <v>7</v>
      </c>
      <c r="O26" s="18"/>
      <c r="P26" s="18"/>
      <c r="Q26" s="18"/>
      <c r="R26" s="18"/>
      <c r="S26" s="17"/>
      <c r="T26" s="17"/>
      <c r="U26" s="18"/>
      <c r="W26" s="4">
        <v>0.58823529411764996</v>
      </c>
      <c r="X26" s="12" t="str">
        <f t="shared" si="1"/>
        <v/>
      </c>
    </row>
    <row r="27" spans="2:24" ht="14.25" customHeight="1">
      <c r="B27" s="12" t="str">
        <f t="shared" si="0"/>
        <v/>
      </c>
      <c r="C27" s="1" t="s">
        <v>277</v>
      </c>
      <c r="D27" s="1" t="s">
        <v>186</v>
      </c>
      <c r="E27" s="18">
        <v>52.299999239999998</v>
      </c>
      <c r="F27" s="18">
        <v>52.299999239999998</v>
      </c>
      <c r="G27" s="18">
        <v>52.299999239999998</v>
      </c>
      <c r="H27" s="18">
        <v>52.299999239999998</v>
      </c>
      <c r="I27" s="18">
        <v>52.299999239999998</v>
      </c>
      <c r="J27" s="18"/>
      <c r="K27" s="18"/>
      <c r="L27" s="18"/>
      <c r="M27" s="18"/>
      <c r="N27" s="18"/>
      <c r="O27" s="18">
        <v>52.299999239999998</v>
      </c>
      <c r="P27" s="18"/>
      <c r="Q27" s="18"/>
      <c r="R27" s="18"/>
      <c r="S27" s="17"/>
      <c r="T27" s="17"/>
      <c r="U27" s="18"/>
      <c r="W27" s="4">
        <v>0.35294117647058998</v>
      </c>
      <c r="X27" s="12" t="str">
        <f t="shared" si="1"/>
        <v/>
      </c>
    </row>
    <row r="28" spans="2:24" ht="14.25" customHeight="1">
      <c r="B28" s="12" t="str">
        <f t="shared" si="0"/>
        <v/>
      </c>
      <c r="C28" s="1" t="s">
        <v>42</v>
      </c>
      <c r="D28" s="1" t="s">
        <v>167</v>
      </c>
      <c r="E28" s="18"/>
      <c r="F28" s="18"/>
      <c r="G28" s="18"/>
      <c r="H28" s="18"/>
      <c r="I28" s="18"/>
      <c r="J28" s="18"/>
      <c r="K28" s="18"/>
      <c r="L28" s="18">
        <v>35.299999239999998</v>
      </c>
      <c r="M28" s="18">
        <v>35.13999939</v>
      </c>
      <c r="N28" s="18">
        <v>33.200000760000002</v>
      </c>
      <c r="O28" s="18">
        <v>32.599998470000003</v>
      </c>
      <c r="P28" s="18"/>
      <c r="Q28" s="18"/>
      <c r="R28" s="18"/>
      <c r="S28" s="17"/>
      <c r="T28" s="17"/>
      <c r="U28" s="18"/>
      <c r="W28" s="4">
        <v>0.23529411764706001</v>
      </c>
      <c r="X28" s="12" t="str">
        <f t="shared" si="1"/>
        <v/>
      </c>
    </row>
    <row r="29" spans="2:24" ht="14.25" customHeight="1">
      <c r="B29" s="12" t="str">
        <f t="shared" si="0"/>
        <v/>
      </c>
      <c r="C29" s="1" t="s">
        <v>400</v>
      </c>
      <c r="D29" s="1" t="s">
        <v>367</v>
      </c>
      <c r="E29" s="18">
        <v>8.8999996190000008</v>
      </c>
      <c r="F29" s="18">
        <v>9.3000001910000005</v>
      </c>
      <c r="G29" s="18">
        <v>9.1000003809999992</v>
      </c>
      <c r="H29" s="18">
        <v>9.6000003809999992</v>
      </c>
      <c r="I29" s="18">
        <v>5.5999999049999998</v>
      </c>
      <c r="J29" s="18">
        <v>5.5</v>
      </c>
      <c r="K29" s="18"/>
      <c r="L29" s="18"/>
      <c r="M29" s="18"/>
      <c r="N29" s="18"/>
      <c r="O29" s="18"/>
      <c r="P29" s="18"/>
      <c r="Q29" s="18"/>
      <c r="R29" s="18"/>
      <c r="S29" s="17"/>
      <c r="T29" s="17"/>
      <c r="U29" s="18"/>
      <c r="W29" s="4">
        <v>0.35294117647058998</v>
      </c>
      <c r="X29" s="12" t="str">
        <f t="shared" si="1"/>
        <v/>
      </c>
    </row>
    <row r="30" spans="2:24" ht="14.25" customHeight="1">
      <c r="B30" s="12" t="str">
        <f t="shared" si="0"/>
        <v/>
      </c>
      <c r="C30" s="1" t="s">
        <v>395</v>
      </c>
      <c r="D30" s="1" t="s">
        <v>154</v>
      </c>
      <c r="E30" s="18">
        <v>34.599998470000003</v>
      </c>
      <c r="F30" s="18"/>
      <c r="G30" s="18">
        <v>34.700000760000002</v>
      </c>
      <c r="H30" s="18">
        <v>34.700000760000002</v>
      </c>
      <c r="I30" s="18">
        <v>34.700000760000002</v>
      </c>
      <c r="J30" s="18">
        <v>34.700000760000002</v>
      </c>
      <c r="K30" s="18"/>
      <c r="L30" s="18"/>
      <c r="M30" s="18"/>
      <c r="N30" s="18"/>
      <c r="O30" s="18">
        <v>77.230003359999998</v>
      </c>
      <c r="P30" s="18"/>
      <c r="Q30" s="18"/>
      <c r="R30" s="18"/>
      <c r="S30" s="17"/>
      <c r="T30" s="17"/>
      <c r="U30" s="18"/>
      <c r="W30" s="4">
        <v>0.35294117647058998</v>
      </c>
      <c r="X30" s="12" t="str">
        <f t="shared" si="1"/>
        <v/>
      </c>
    </row>
    <row r="31" spans="2:24" ht="14.25" customHeight="1">
      <c r="B31" s="12" t="str">
        <f t="shared" si="0"/>
        <v/>
      </c>
      <c r="C31" s="1" t="s">
        <v>243</v>
      </c>
      <c r="D31" s="1" t="s">
        <v>121</v>
      </c>
      <c r="E31" s="18">
        <v>92</v>
      </c>
      <c r="F31" s="18">
        <v>92</v>
      </c>
      <c r="G31" s="18">
        <v>92</v>
      </c>
      <c r="H31" s="18">
        <v>92.099998470000003</v>
      </c>
      <c r="I31" s="18"/>
      <c r="J31" s="18"/>
      <c r="K31" s="18"/>
      <c r="L31" s="18"/>
      <c r="M31" s="18"/>
      <c r="N31" s="18"/>
      <c r="O31" s="18">
        <v>98.400001529999997</v>
      </c>
      <c r="P31" s="18"/>
      <c r="Q31" s="18"/>
      <c r="R31" s="18"/>
      <c r="S31" s="17"/>
      <c r="T31" s="17"/>
      <c r="U31" s="18"/>
      <c r="W31" s="4">
        <v>0.29411764705881999</v>
      </c>
      <c r="X31" s="12" t="str">
        <f t="shared" si="1"/>
        <v/>
      </c>
    </row>
    <row r="32" spans="2:24" ht="14.25" customHeight="1">
      <c r="B32" s="12" t="str">
        <f t="shared" si="0"/>
        <v/>
      </c>
      <c r="C32" s="1" t="s">
        <v>214</v>
      </c>
      <c r="D32" s="1" t="s">
        <v>209</v>
      </c>
      <c r="E32" s="17">
        <v>16</v>
      </c>
      <c r="F32" s="17">
        <v>16</v>
      </c>
      <c r="G32" s="17">
        <v>16</v>
      </c>
      <c r="H32" s="17">
        <v>16</v>
      </c>
      <c r="I32" s="17">
        <v>16</v>
      </c>
      <c r="J32" s="17"/>
      <c r="K32" s="17"/>
      <c r="L32" s="17"/>
      <c r="M32" s="17"/>
      <c r="N32" s="17">
        <v>4.170000076</v>
      </c>
      <c r="O32" s="17"/>
      <c r="P32" s="17"/>
      <c r="Q32" s="17"/>
      <c r="R32" s="17"/>
      <c r="S32" s="17"/>
      <c r="T32" s="17"/>
      <c r="U32" s="18"/>
      <c r="W32" s="4">
        <v>0.35294117647058998</v>
      </c>
      <c r="X32" s="12" t="str">
        <f t="shared" si="1"/>
        <v/>
      </c>
    </row>
    <row r="33" spans="2:24" ht="14.25" customHeight="1">
      <c r="B33" s="12" t="str">
        <f t="shared" si="0"/>
        <v/>
      </c>
      <c r="C33" s="1" t="s">
        <v>202</v>
      </c>
      <c r="D33" s="1" t="s">
        <v>189</v>
      </c>
      <c r="E33" s="17"/>
      <c r="F33" s="17"/>
      <c r="G33" s="17"/>
      <c r="H33" s="17"/>
      <c r="I33" s="17">
        <v>7.0999999049999998</v>
      </c>
      <c r="J33" s="17">
        <v>7.0999999049999998</v>
      </c>
      <c r="K33" s="17"/>
      <c r="L33" s="17"/>
      <c r="M33" s="17"/>
      <c r="N33" s="17">
        <v>10.43999958</v>
      </c>
      <c r="O33" s="17"/>
      <c r="P33" s="17"/>
      <c r="Q33" s="17"/>
      <c r="R33" s="17"/>
      <c r="S33" s="17"/>
      <c r="T33" s="17"/>
      <c r="U33" s="18"/>
      <c r="W33" s="4">
        <v>0.17647058823528999</v>
      </c>
      <c r="X33" s="12" t="str">
        <f t="shared" si="1"/>
        <v/>
      </c>
    </row>
    <row r="34" spans="2:24" ht="14.25" customHeight="1">
      <c r="B34" s="12" t="str">
        <f t="shared" si="0"/>
        <v/>
      </c>
      <c r="C34" s="1" t="s">
        <v>272</v>
      </c>
      <c r="D34" s="1" t="s">
        <v>273</v>
      </c>
      <c r="E34" s="18">
        <v>7.5</v>
      </c>
      <c r="F34" s="18">
        <v>7.5</v>
      </c>
      <c r="G34" s="18">
        <v>7.5</v>
      </c>
      <c r="H34" s="18"/>
      <c r="I34" s="18"/>
      <c r="J34" s="18"/>
      <c r="K34" s="18"/>
      <c r="L34" s="18"/>
      <c r="M34" s="18"/>
      <c r="N34" s="18">
        <v>6.2899999619999996</v>
      </c>
      <c r="O34" s="18"/>
      <c r="P34" s="18"/>
      <c r="Q34" s="18"/>
      <c r="R34" s="18"/>
      <c r="S34" s="17"/>
      <c r="T34" s="17"/>
      <c r="U34" s="18"/>
      <c r="W34" s="4">
        <v>0.23529411764706001</v>
      </c>
      <c r="X34" s="12" t="str">
        <f t="shared" si="1"/>
        <v/>
      </c>
    </row>
    <row r="35" spans="2:24" ht="14.25" customHeight="1">
      <c r="B35" s="12" t="str">
        <f t="shared" si="0"/>
        <v/>
      </c>
      <c r="C35" s="1" t="s">
        <v>327</v>
      </c>
      <c r="D35" s="1" t="s">
        <v>244</v>
      </c>
      <c r="E35" s="18">
        <v>12.5</v>
      </c>
      <c r="F35" s="18">
        <v>12.5</v>
      </c>
      <c r="G35" s="18">
        <v>12.5</v>
      </c>
      <c r="H35" s="18">
        <v>12.5</v>
      </c>
      <c r="I35" s="18">
        <v>12.5</v>
      </c>
      <c r="J35" s="18">
        <v>8.1000003809999992</v>
      </c>
      <c r="K35" s="18"/>
      <c r="L35" s="18"/>
      <c r="M35" s="18"/>
      <c r="N35" s="18">
        <v>8.3699998860000004</v>
      </c>
      <c r="O35" s="18"/>
      <c r="P35" s="18"/>
      <c r="Q35" s="18"/>
      <c r="R35" s="18"/>
      <c r="S35" s="17"/>
      <c r="T35" s="17"/>
      <c r="U35" s="18"/>
      <c r="W35" s="4">
        <v>0.41176470588234998</v>
      </c>
      <c r="X35" s="12" t="str">
        <f t="shared" si="1"/>
        <v/>
      </c>
    </row>
    <row r="36" spans="2:24" ht="14.25" customHeight="1">
      <c r="B36" s="12" t="str">
        <f t="shared" si="0"/>
        <v/>
      </c>
      <c r="C36" s="1" t="s">
        <v>138</v>
      </c>
      <c r="D36" s="1" t="s">
        <v>193</v>
      </c>
      <c r="E36" s="18">
        <v>35.299999239999998</v>
      </c>
      <c r="F36" s="18"/>
      <c r="G36" s="18"/>
      <c r="H36" s="18"/>
      <c r="I36" s="18"/>
      <c r="J36" s="18"/>
      <c r="K36" s="18"/>
      <c r="L36" s="18"/>
      <c r="M36" s="18"/>
      <c r="N36" s="18">
        <v>39.869998930000001</v>
      </c>
      <c r="O36" s="18"/>
      <c r="P36" s="18"/>
      <c r="Q36" s="18"/>
      <c r="R36" s="18"/>
      <c r="S36" s="18"/>
      <c r="T36" s="17"/>
      <c r="U36" s="18"/>
      <c r="W36" s="4">
        <v>0.11764705882353001</v>
      </c>
      <c r="X36" s="12" t="str">
        <f t="shared" si="1"/>
        <v/>
      </c>
    </row>
    <row r="37" spans="2:24" ht="14.25" customHeight="1">
      <c r="B37" s="12" t="str">
        <f t="shared" si="0"/>
        <v/>
      </c>
      <c r="C37" s="1" t="s">
        <v>380</v>
      </c>
      <c r="D37" s="1" t="s">
        <v>182</v>
      </c>
      <c r="E37" s="17">
        <v>78</v>
      </c>
      <c r="F37" s="17">
        <v>78</v>
      </c>
      <c r="G37" s="17">
        <v>78</v>
      </c>
      <c r="H37" s="17">
        <v>78</v>
      </c>
      <c r="I37" s="17">
        <v>78</v>
      </c>
      <c r="J37" s="17">
        <v>69.040000919999997</v>
      </c>
      <c r="K37" s="17">
        <v>69.040000919999997</v>
      </c>
      <c r="L37" s="17"/>
      <c r="M37" s="17"/>
      <c r="N37" s="17"/>
      <c r="O37" s="17"/>
      <c r="P37" s="17"/>
      <c r="Q37" s="17"/>
      <c r="R37" s="17"/>
      <c r="S37" s="17"/>
      <c r="T37" s="17"/>
      <c r="U37" s="18"/>
      <c r="W37" s="4">
        <v>0.41176470588234998</v>
      </c>
      <c r="X37" s="12" t="str">
        <f t="shared" si="1"/>
        <v/>
      </c>
    </row>
    <row r="38" spans="2:24" ht="14.25" customHeight="1">
      <c r="B38" s="12" t="str">
        <f t="shared" ref="B38:B69" si="2">X38</f>
        <v/>
      </c>
      <c r="C38" s="1" t="s">
        <v>127</v>
      </c>
      <c r="D38" s="1" t="s">
        <v>23</v>
      </c>
      <c r="E38" s="17">
        <v>2.0999999049999998</v>
      </c>
      <c r="F38" s="17">
        <v>2.0999999049999998</v>
      </c>
      <c r="G38" s="17">
        <v>2.4000000950000002</v>
      </c>
      <c r="H38" s="17">
        <v>2.7000000480000002</v>
      </c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8"/>
      <c r="W38" s="4">
        <v>0.23529411764706001</v>
      </c>
      <c r="X38" s="12" t="str">
        <f t="shared" ref="X38:X69" si="3">IF((W38&gt;0),IF((W38&lt;0.059),D38,""),"")</f>
        <v/>
      </c>
    </row>
    <row r="39" spans="2:24" ht="14.25" customHeight="1">
      <c r="B39" s="12" t="str">
        <f t="shared" si="2"/>
        <v/>
      </c>
      <c r="C39" s="1" t="s">
        <v>82</v>
      </c>
      <c r="D39" s="1" t="s">
        <v>88</v>
      </c>
      <c r="E39" s="17">
        <v>0.80000001200000004</v>
      </c>
      <c r="F39" s="17">
        <v>0.80000001200000004</v>
      </c>
      <c r="G39" s="17">
        <v>0.80000001200000004</v>
      </c>
      <c r="H39" s="17">
        <v>0.80000001200000004</v>
      </c>
      <c r="I39" s="17">
        <v>0.80000001200000004</v>
      </c>
      <c r="J39" s="17">
        <v>0.80000001200000004</v>
      </c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8"/>
      <c r="W39" s="4">
        <v>0.35294117647058998</v>
      </c>
      <c r="X39" s="12" t="str">
        <f t="shared" si="3"/>
        <v/>
      </c>
    </row>
    <row r="40" spans="2:24" ht="14.25" customHeight="1">
      <c r="B40" s="12" t="str">
        <f t="shared" si="2"/>
        <v/>
      </c>
      <c r="C40" s="1" t="s">
        <v>260</v>
      </c>
      <c r="D40" s="1" t="s">
        <v>281</v>
      </c>
      <c r="E40" s="18">
        <v>15.899999619999999</v>
      </c>
      <c r="F40" s="18">
        <v>16.700000760000002</v>
      </c>
      <c r="G40" s="18">
        <v>17.200000760000002</v>
      </c>
      <c r="H40" s="18">
        <v>18.299999239999998</v>
      </c>
      <c r="I40" s="18">
        <v>18.899999619999999</v>
      </c>
      <c r="J40" s="18">
        <v>18.399999619999999</v>
      </c>
      <c r="K40" s="18">
        <v>20.200000760000002</v>
      </c>
      <c r="L40" s="18"/>
      <c r="M40" s="18"/>
      <c r="N40" s="18"/>
      <c r="O40" s="18"/>
      <c r="P40" s="18"/>
      <c r="Q40" s="18"/>
      <c r="R40" s="18"/>
      <c r="S40" s="17"/>
      <c r="T40" s="17"/>
      <c r="U40" s="18"/>
      <c r="W40" s="4">
        <v>0.41176470588234998</v>
      </c>
      <c r="X40" s="12" t="str">
        <f t="shared" si="3"/>
        <v/>
      </c>
    </row>
    <row r="41" spans="2:24" ht="14.25" customHeight="1">
      <c r="B41" s="12" t="str">
        <f t="shared" si="2"/>
        <v/>
      </c>
      <c r="C41" s="1" t="s">
        <v>261</v>
      </c>
      <c r="D41" s="1" t="s">
        <v>265</v>
      </c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>
        <v>40.799999239999998</v>
      </c>
      <c r="P41" s="18">
        <v>44.099998470000003</v>
      </c>
      <c r="Q41" s="18">
        <v>49.6</v>
      </c>
      <c r="R41" s="18">
        <v>53.5</v>
      </c>
      <c r="S41" s="17"/>
      <c r="T41" s="17"/>
      <c r="U41" s="18"/>
      <c r="W41" s="4">
        <v>0.23529411764706001</v>
      </c>
      <c r="X41" s="12" t="str">
        <f t="shared" si="3"/>
        <v/>
      </c>
    </row>
    <row r="42" spans="2:24" ht="14.25" customHeight="1">
      <c r="B42" s="12" t="str">
        <f t="shared" si="2"/>
        <v/>
      </c>
      <c r="C42" s="1" t="s">
        <v>297</v>
      </c>
      <c r="D42" s="1" t="s">
        <v>315</v>
      </c>
      <c r="E42" s="18">
        <v>9.1999998089999995</v>
      </c>
      <c r="F42" s="18">
        <v>11.899999619999999</v>
      </c>
      <c r="G42" s="18">
        <v>12</v>
      </c>
      <c r="H42" s="18">
        <v>14.30000019</v>
      </c>
      <c r="I42" s="18">
        <v>14.399999619999999</v>
      </c>
      <c r="J42" s="18"/>
      <c r="K42" s="18"/>
      <c r="L42" s="18"/>
      <c r="M42" s="18"/>
      <c r="N42" s="18"/>
      <c r="O42" s="18"/>
      <c r="P42" s="18"/>
      <c r="Q42" s="18"/>
      <c r="R42" s="18"/>
      <c r="S42" s="17"/>
      <c r="T42" s="17"/>
      <c r="U42" s="18"/>
      <c r="W42" s="4">
        <v>0.29411764705881999</v>
      </c>
      <c r="X42" s="12" t="str">
        <f t="shared" si="3"/>
        <v/>
      </c>
    </row>
    <row r="43" spans="2:24" ht="14.25" customHeight="1">
      <c r="B43" s="12" t="str">
        <f t="shared" si="2"/>
        <v/>
      </c>
      <c r="C43" s="1" t="s">
        <v>296</v>
      </c>
      <c r="D43" s="1" t="s">
        <v>95</v>
      </c>
      <c r="E43" s="17">
        <v>76.5</v>
      </c>
      <c r="F43" s="17"/>
      <c r="G43" s="17"/>
      <c r="H43" s="17">
        <v>76.5</v>
      </c>
      <c r="I43" s="17">
        <v>76.5</v>
      </c>
      <c r="J43" s="17">
        <v>76.5</v>
      </c>
      <c r="K43" s="17">
        <v>76.5</v>
      </c>
      <c r="L43" s="17"/>
      <c r="M43" s="17"/>
      <c r="N43" s="17"/>
      <c r="O43" s="17"/>
      <c r="P43" s="17"/>
      <c r="Q43" s="17"/>
      <c r="R43" s="17"/>
      <c r="S43" s="17"/>
      <c r="T43" s="17"/>
      <c r="U43" s="18"/>
      <c r="W43" s="4">
        <v>0.29411764705881999</v>
      </c>
      <c r="X43" s="12" t="str">
        <f t="shared" si="3"/>
        <v/>
      </c>
    </row>
    <row r="44" spans="2:24" ht="14.25" customHeight="1">
      <c r="B44" s="12" t="str">
        <f t="shared" si="2"/>
        <v/>
      </c>
      <c r="C44" s="1" t="s">
        <v>285</v>
      </c>
      <c r="D44" s="1" t="s">
        <v>68</v>
      </c>
      <c r="E44" s="18">
        <v>9.6999998089999995</v>
      </c>
      <c r="F44" s="18">
        <v>9.6999998089999995</v>
      </c>
      <c r="G44" s="18">
        <v>9.6999998089999995</v>
      </c>
      <c r="H44" s="18">
        <v>9.6999998089999995</v>
      </c>
      <c r="I44" s="18">
        <v>9.6999998089999995</v>
      </c>
      <c r="J44" s="18">
        <v>9.6999998089999995</v>
      </c>
      <c r="K44" s="18"/>
      <c r="L44" s="18"/>
      <c r="M44" s="18"/>
      <c r="N44" s="18">
        <v>5</v>
      </c>
      <c r="O44" s="18"/>
      <c r="P44" s="18">
        <v>7.1294117650000004</v>
      </c>
      <c r="Q44" s="18"/>
      <c r="R44" s="18"/>
      <c r="S44" s="17"/>
      <c r="T44" s="17"/>
      <c r="U44" s="18"/>
      <c r="W44" s="4">
        <v>0.47058823529412003</v>
      </c>
      <c r="X44" s="12" t="str">
        <f t="shared" si="3"/>
        <v/>
      </c>
    </row>
    <row r="45" spans="2:24" ht="14.25" customHeight="1">
      <c r="B45" s="12" t="str">
        <f t="shared" si="2"/>
        <v/>
      </c>
      <c r="C45" s="1" t="s">
        <v>286</v>
      </c>
      <c r="D45" s="1" t="s">
        <v>24</v>
      </c>
      <c r="E45" s="19">
        <v>2.31140006604</v>
      </c>
      <c r="F45" s="18"/>
      <c r="G45" s="18"/>
      <c r="H45" s="18"/>
      <c r="I45" s="18"/>
      <c r="J45" s="18"/>
      <c r="K45" s="18"/>
      <c r="L45" s="18"/>
      <c r="M45" s="18"/>
      <c r="N45" s="18">
        <v>1.8200000519999999</v>
      </c>
      <c r="O45" s="18"/>
      <c r="P45" s="18"/>
      <c r="Q45" s="18"/>
      <c r="R45" s="18"/>
      <c r="S45" s="17"/>
      <c r="T45" s="17"/>
      <c r="U45" s="18"/>
      <c r="W45" s="4">
        <v>0.11764705882353001</v>
      </c>
      <c r="X45" s="12" t="str">
        <f t="shared" si="3"/>
        <v/>
      </c>
    </row>
    <row r="46" spans="2:24" ht="14.25" customHeight="1">
      <c r="B46" s="12" t="str">
        <f t="shared" si="2"/>
        <v/>
      </c>
      <c r="C46" s="1" t="s">
        <v>399</v>
      </c>
      <c r="D46" s="1" t="s">
        <v>128</v>
      </c>
      <c r="E46" s="18">
        <v>16.700000760000002</v>
      </c>
      <c r="F46" s="18">
        <v>17</v>
      </c>
      <c r="G46" s="18">
        <v>17</v>
      </c>
      <c r="H46" s="18">
        <v>21</v>
      </c>
      <c r="I46" s="18">
        <v>22</v>
      </c>
      <c r="J46" s="18">
        <v>22</v>
      </c>
      <c r="K46" s="18">
        <v>22</v>
      </c>
      <c r="L46" s="18">
        <v>22</v>
      </c>
      <c r="M46" s="18">
        <v>24.600000380000001</v>
      </c>
      <c r="N46" s="18">
        <v>24.399999619999999</v>
      </c>
      <c r="O46" s="18"/>
      <c r="P46" s="18">
        <v>25.200000760000002</v>
      </c>
      <c r="Q46" s="18">
        <v>25.53336607</v>
      </c>
      <c r="R46" s="18">
        <v>25.28</v>
      </c>
      <c r="S46" s="17"/>
      <c r="T46" s="17"/>
      <c r="U46" s="18"/>
      <c r="W46" s="4">
        <v>0.76470588235294001</v>
      </c>
      <c r="X46" s="12" t="str">
        <f t="shared" si="3"/>
        <v/>
      </c>
    </row>
    <row r="47" spans="2:24" ht="14.25" customHeight="1">
      <c r="B47" s="12" t="str">
        <f t="shared" si="2"/>
        <v/>
      </c>
      <c r="C47" s="1" t="s">
        <v>267</v>
      </c>
      <c r="D47" s="1" t="s">
        <v>18</v>
      </c>
      <c r="E47" s="18">
        <v>9.6000003809999992</v>
      </c>
      <c r="F47" s="18">
        <v>9.6999998089999995</v>
      </c>
      <c r="G47" s="18">
        <v>9.6999998089999995</v>
      </c>
      <c r="H47" s="18">
        <v>9.6999998089999995</v>
      </c>
      <c r="I47" s="18">
        <v>9.6999998089999995</v>
      </c>
      <c r="J47" s="18">
        <v>9.6999998089999995</v>
      </c>
      <c r="K47" s="18"/>
      <c r="L47" s="18"/>
      <c r="M47" s="18"/>
      <c r="N47" s="18">
        <v>8.1199998860000004</v>
      </c>
      <c r="O47" s="18"/>
      <c r="P47" s="18"/>
      <c r="Q47" s="18">
        <v>7.9296551050000001</v>
      </c>
      <c r="R47" s="18"/>
      <c r="S47" s="17"/>
      <c r="T47" s="17"/>
      <c r="U47" s="18"/>
      <c r="W47" s="4">
        <v>0.47058823529412003</v>
      </c>
      <c r="X47" s="12" t="str">
        <f t="shared" si="3"/>
        <v/>
      </c>
    </row>
    <row r="48" spans="2:24" ht="14.25" customHeight="1">
      <c r="B48" s="12" t="str">
        <f t="shared" si="2"/>
        <v/>
      </c>
      <c r="C48" s="1" t="s">
        <v>291</v>
      </c>
      <c r="D48" s="1" t="s">
        <v>46</v>
      </c>
      <c r="E48" s="18"/>
      <c r="F48" s="18">
        <v>81.5</v>
      </c>
      <c r="G48" s="18">
        <v>81.5</v>
      </c>
      <c r="H48" s="18">
        <v>84.400001529999997</v>
      </c>
      <c r="I48" s="18">
        <v>84.599998470000003</v>
      </c>
      <c r="J48" s="18">
        <v>85.4</v>
      </c>
      <c r="K48" s="18">
        <v>84.927745360000003</v>
      </c>
      <c r="L48" s="18"/>
      <c r="M48" s="18"/>
      <c r="N48" s="18"/>
      <c r="O48" s="18"/>
      <c r="P48" s="18"/>
      <c r="Q48" s="18">
        <v>89.131482879999993</v>
      </c>
      <c r="R48" s="18">
        <v>86.88</v>
      </c>
      <c r="S48" s="17"/>
      <c r="T48" s="17"/>
      <c r="U48" s="18"/>
      <c r="W48" s="4">
        <v>0.47058823529412003</v>
      </c>
      <c r="X48" s="12" t="str">
        <f t="shared" si="3"/>
        <v/>
      </c>
    </row>
    <row r="49" spans="2:24" ht="14.25" customHeight="1">
      <c r="B49" s="12" t="str">
        <f t="shared" si="2"/>
        <v/>
      </c>
      <c r="C49" s="1" t="s">
        <v>25</v>
      </c>
      <c r="D49" s="1" t="s">
        <v>126</v>
      </c>
      <c r="E49" s="18">
        <v>55.799999239999998</v>
      </c>
      <c r="F49" s="18">
        <v>55.900001529999997</v>
      </c>
      <c r="G49" s="18">
        <v>49</v>
      </c>
      <c r="H49" s="18">
        <v>49</v>
      </c>
      <c r="I49" s="18">
        <v>49</v>
      </c>
      <c r="J49" s="18">
        <v>49</v>
      </c>
      <c r="K49" s="18">
        <v>49</v>
      </c>
      <c r="L49" s="18"/>
      <c r="M49" s="18"/>
      <c r="N49" s="18"/>
      <c r="O49" s="18"/>
      <c r="P49" s="18"/>
      <c r="Q49" s="18"/>
      <c r="R49" s="18"/>
      <c r="S49" s="17"/>
      <c r="T49" s="17"/>
      <c r="U49" s="18"/>
      <c r="W49" s="4">
        <v>0.41176470588234998</v>
      </c>
      <c r="X49" s="12" t="str">
        <f t="shared" si="3"/>
        <v/>
      </c>
    </row>
    <row r="50" spans="2:24" ht="14.25" customHeight="1">
      <c r="B50" s="12" t="str">
        <f t="shared" si="2"/>
        <v/>
      </c>
      <c r="C50" s="1" t="s">
        <v>62</v>
      </c>
      <c r="D50" s="1" t="s">
        <v>39</v>
      </c>
      <c r="E50" s="18">
        <v>57</v>
      </c>
      <c r="F50" s="18">
        <v>57.200000760000002</v>
      </c>
      <c r="G50" s="18">
        <v>57.299999239999998</v>
      </c>
      <c r="H50" s="18">
        <v>59.200000760000002</v>
      </c>
      <c r="I50" s="18">
        <v>59.599998470000003</v>
      </c>
      <c r="J50" s="18">
        <v>60.599998470000003</v>
      </c>
      <c r="K50" s="18">
        <v>61.200000760000002</v>
      </c>
      <c r="L50" s="18">
        <v>62.200000760000002</v>
      </c>
      <c r="M50" s="18">
        <v>62.950000760000002</v>
      </c>
      <c r="N50" s="18">
        <v>63</v>
      </c>
      <c r="O50" s="18">
        <v>64.589996339999999</v>
      </c>
      <c r="P50" s="18">
        <v>65.050003050000001</v>
      </c>
      <c r="Q50" s="18">
        <v>64.037236649999997</v>
      </c>
      <c r="R50" s="18">
        <v>64.61</v>
      </c>
      <c r="S50" s="17"/>
      <c r="T50" s="17"/>
      <c r="U50" s="18"/>
      <c r="W50" s="4">
        <v>0.82352941176470995</v>
      </c>
      <c r="X50" s="12" t="str">
        <f t="shared" si="3"/>
        <v/>
      </c>
    </row>
    <row r="51" spans="2:24" ht="14.25" customHeight="1">
      <c r="B51" s="12" t="str">
        <f t="shared" si="2"/>
        <v/>
      </c>
      <c r="C51" s="1" t="s">
        <v>54</v>
      </c>
      <c r="D51" s="1" t="s">
        <v>303</v>
      </c>
      <c r="E51" s="18">
        <v>100</v>
      </c>
      <c r="F51" s="18">
        <v>100</v>
      </c>
      <c r="G51" s="18"/>
      <c r="H51" s="18">
        <v>100</v>
      </c>
      <c r="I51" s="18">
        <v>100</v>
      </c>
      <c r="J51" s="18">
        <v>100</v>
      </c>
      <c r="K51" s="18">
        <v>100</v>
      </c>
      <c r="L51" s="18">
        <v>100</v>
      </c>
      <c r="M51" s="18">
        <v>100</v>
      </c>
      <c r="N51" s="18">
        <v>100</v>
      </c>
      <c r="O51" s="18"/>
      <c r="P51" s="18"/>
      <c r="Q51" s="18"/>
      <c r="R51" s="18"/>
      <c r="S51" s="18"/>
      <c r="T51" s="17"/>
      <c r="U51" s="18"/>
      <c r="W51" s="4">
        <v>0.52941176470588003</v>
      </c>
      <c r="X51" s="12" t="str">
        <f t="shared" si="3"/>
        <v/>
      </c>
    </row>
    <row r="52" spans="2:24" ht="14.25" customHeight="1">
      <c r="B52" s="12" t="str">
        <f t="shared" si="2"/>
        <v/>
      </c>
      <c r="C52" s="1" t="s">
        <v>347</v>
      </c>
      <c r="D52" s="1" t="s">
        <v>234</v>
      </c>
      <c r="E52" s="18">
        <v>100</v>
      </c>
      <c r="F52" s="18">
        <v>100</v>
      </c>
      <c r="G52" s="18">
        <v>100</v>
      </c>
      <c r="H52" s="18">
        <v>100</v>
      </c>
      <c r="I52" s="18">
        <v>100</v>
      </c>
      <c r="J52" s="18">
        <v>100</v>
      </c>
      <c r="K52" s="18">
        <v>100</v>
      </c>
      <c r="L52" s="18">
        <v>100</v>
      </c>
      <c r="M52" s="18">
        <v>100</v>
      </c>
      <c r="N52" s="18">
        <v>100</v>
      </c>
      <c r="O52" s="18">
        <v>100</v>
      </c>
      <c r="P52" s="18">
        <v>100</v>
      </c>
      <c r="Q52" s="18">
        <v>100</v>
      </c>
      <c r="R52" s="18">
        <v>100</v>
      </c>
      <c r="S52" s="18"/>
      <c r="T52" s="17"/>
      <c r="U52" s="18"/>
      <c r="W52" s="4">
        <v>0.82352941176470995</v>
      </c>
      <c r="X52" s="12" t="str">
        <f t="shared" si="3"/>
        <v/>
      </c>
    </row>
    <row r="53" spans="2:24" ht="14.25" customHeight="1">
      <c r="B53" s="12" t="str">
        <f t="shared" si="2"/>
        <v/>
      </c>
      <c r="C53" s="1" t="s">
        <v>176</v>
      </c>
      <c r="D53" s="1" t="s">
        <v>184</v>
      </c>
      <c r="E53" s="17"/>
      <c r="F53" s="17"/>
      <c r="G53" s="17"/>
      <c r="H53" s="17"/>
      <c r="I53" s="17"/>
      <c r="J53" s="17">
        <v>45</v>
      </c>
      <c r="K53" s="17">
        <v>45</v>
      </c>
      <c r="L53" s="17"/>
      <c r="M53" s="17"/>
      <c r="N53" s="17"/>
      <c r="O53" s="17"/>
      <c r="P53" s="17"/>
      <c r="Q53" s="17"/>
      <c r="R53" s="17"/>
      <c r="S53" s="17"/>
      <c r="T53" s="17"/>
      <c r="U53" s="18"/>
      <c r="W53" s="4">
        <v>0.11764705882353001</v>
      </c>
      <c r="X53" s="12" t="str">
        <f t="shared" si="3"/>
        <v/>
      </c>
    </row>
    <row r="54" spans="2:24" ht="14.25" customHeight="1">
      <c r="B54" s="12" t="str">
        <f t="shared" si="2"/>
        <v/>
      </c>
      <c r="C54" s="1" t="s">
        <v>203</v>
      </c>
      <c r="D54" s="1" t="s">
        <v>262</v>
      </c>
      <c r="E54" s="17">
        <v>50.299999239999998</v>
      </c>
      <c r="F54" s="17">
        <v>50.400001529999997</v>
      </c>
      <c r="G54" s="17">
        <v>50.400001529999997</v>
      </c>
      <c r="H54" s="17">
        <v>50.400001529999997</v>
      </c>
      <c r="I54" s="17">
        <v>50.400001529999997</v>
      </c>
      <c r="J54" s="17">
        <v>50.400001529999997</v>
      </c>
      <c r="K54" s="17">
        <v>50.400001529999997</v>
      </c>
      <c r="L54" s="17"/>
      <c r="M54" s="17"/>
      <c r="N54" s="17"/>
      <c r="O54" s="17"/>
      <c r="P54" s="17"/>
      <c r="Q54" s="17"/>
      <c r="R54" s="17"/>
      <c r="S54" s="17"/>
      <c r="T54" s="17"/>
      <c r="U54" s="18"/>
      <c r="W54" s="4">
        <v>0.41176470588234998</v>
      </c>
      <c r="X54" s="12" t="str">
        <f t="shared" si="3"/>
        <v/>
      </c>
    </row>
    <row r="55" spans="2:24" ht="14.25" customHeight="1">
      <c r="B55" s="12" t="str">
        <f t="shared" si="2"/>
        <v/>
      </c>
      <c r="C55" s="1" t="s">
        <v>365</v>
      </c>
      <c r="D55" s="1" t="s">
        <v>67</v>
      </c>
      <c r="E55" s="18">
        <v>49.299999239999998</v>
      </c>
      <c r="F55" s="18">
        <v>49.400001529999997</v>
      </c>
      <c r="G55" s="18"/>
      <c r="H55" s="18"/>
      <c r="I55" s="18">
        <v>49.400001529999997</v>
      </c>
      <c r="J55" s="18">
        <v>49.400001529999997</v>
      </c>
      <c r="K55" s="18">
        <v>49.400001529999997</v>
      </c>
      <c r="L55" s="18"/>
      <c r="M55" s="18"/>
      <c r="N55" s="18"/>
      <c r="O55" s="18"/>
      <c r="P55" s="18"/>
      <c r="Q55" s="18"/>
      <c r="R55" s="18"/>
      <c r="S55" s="17"/>
      <c r="T55" s="17"/>
      <c r="U55" s="18"/>
      <c r="W55" s="4">
        <v>0.29411764705881999</v>
      </c>
      <c r="X55" s="12" t="str">
        <f t="shared" si="3"/>
        <v/>
      </c>
    </row>
    <row r="56" spans="2:24" ht="14.25" customHeight="1">
      <c r="B56" s="12" t="str">
        <f t="shared" si="2"/>
        <v/>
      </c>
      <c r="C56" s="1" t="s">
        <v>152</v>
      </c>
      <c r="D56" s="1" t="s">
        <v>75</v>
      </c>
      <c r="E56" s="18">
        <v>12.69999981</v>
      </c>
      <c r="F56" s="18">
        <v>13.30000019</v>
      </c>
      <c r="G56" s="18">
        <v>18.899999619999999</v>
      </c>
      <c r="H56" s="18">
        <v>18.899999619999999</v>
      </c>
      <c r="I56" s="18">
        <v>18.899999619999999</v>
      </c>
      <c r="J56" s="18">
        <v>18.899999619999999</v>
      </c>
      <c r="K56" s="18">
        <v>16.870000839999999</v>
      </c>
      <c r="L56" s="18">
        <v>16.870000839999999</v>
      </c>
      <c r="M56" s="18">
        <v>14.93999958</v>
      </c>
      <c r="N56" s="18">
        <v>14.97000027</v>
      </c>
      <c r="O56" s="18"/>
      <c r="P56" s="18">
        <v>14.81566334</v>
      </c>
      <c r="Q56" s="18">
        <v>14.81566293</v>
      </c>
      <c r="R56" s="18"/>
      <c r="S56" s="17"/>
      <c r="T56" s="17"/>
      <c r="U56" s="18"/>
      <c r="W56" s="4">
        <v>0.70588235294117996</v>
      </c>
      <c r="X56" s="12" t="str">
        <f t="shared" si="3"/>
        <v/>
      </c>
    </row>
    <row r="57" spans="2:24" ht="14.25" customHeight="1">
      <c r="B57" s="12" t="str">
        <f t="shared" si="2"/>
        <v/>
      </c>
      <c r="C57" s="1" t="s">
        <v>105</v>
      </c>
      <c r="D57" s="1" t="s">
        <v>216</v>
      </c>
      <c r="E57" s="18">
        <v>78</v>
      </c>
      <c r="F57" s="18">
        <v>78.099998470000003</v>
      </c>
      <c r="G57" s="18">
        <v>78.099998470000003</v>
      </c>
      <c r="H57" s="18">
        <v>78.099998470000003</v>
      </c>
      <c r="I57" s="18">
        <v>78.099998470000003</v>
      </c>
      <c r="J57" s="18">
        <v>78.099998470000003</v>
      </c>
      <c r="K57" s="18"/>
      <c r="L57" s="18"/>
      <c r="M57" s="18"/>
      <c r="N57" s="18">
        <v>81</v>
      </c>
      <c r="O57" s="18"/>
      <c r="P57" s="18"/>
      <c r="Q57" s="18"/>
      <c r="R57" s="18">
        <v>86.89</v>
      </c>
      <c r="S57" s="17"/>
      <c r="T57" s="17"/>
      <c r="U57" s="18"/>
      <c r="W57" s="4">
        <v>0.47058823529412003</v>
      </c>
      <c r="X57" s="12" t="str">
        <f t="shared" si="3"/>
        <v/>
      </c>
    </row>
    <row r="58" spans="2:24" ht="14.25" customHeight="1">
      <c r="B58" s="12" t="str">
        <f t="shared" si="2"/>
        <v/>
      </c>
      <c r="C58" s="1" t="s">
        <v>355</v>
      </c>
      <c r="D58" s="1" t="s">
        <v>20</v>
      </c>
      <c r="E58" s="18">
        <v>20</v>
      </c>
      <c r="F58" s="18">
        <v>19.899999619999999</v>
      </c>
      <c r="G58" s="18">
        <v>19.799999239999998</v>
      </c>
      <c r="H58" s="18">
        <v>19.799999239999998</v>
      </c>
      <c r="I58" s="18">
        <v>19.799999239999998</v>
      </c>
      <c r="J58" s="18">
        <v>19.799999239999998</v>
      </c>
      <c r="K58" s="18">
        <v>19.799999239999998</v>
      </c>
      <c r="L58" s="18"/>
      <c r="M58" s="18"/>
      <c r="N58" s="18"/>
      <c r="O58" s="18"/>
      <c r="P58" s="18"/>
      <c r="Q58" s="18"/>
      <c r="R58" s="18"/>
      <c r="S58" s="17"/>
      <c r="T58" s="17"/>
      <c r="U58" s="18"/>
      <c r="W58" s="4">
        <v>0.41176470588234998</v>
      </c>
      <c r="X58" s="12" t="str">
        <f t="shared" si="3"/>
        <v/>
      </c>
    </row>
    <row r="59" spans="2:24" ht="14.25" customHeight="1">
      <c r="B59" s="12" t="str">
        <f t="shared" si="2"/>
        <v/>
      </c>
      <c r="C59" s="1" t="s">
        <v>306</v>
      </c>
      <c r="D59" s="1" t="s">
        <v>44</v>
      </c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8"/>
      <c r="W59" s="4">
        <v>0</v>
      </c>
      <c r="X59" s="12" t="str">
        <f t="shared" si="3"/>
        <v/>
      </c>
    </row>
    <row r="60" spans="2:24" ht="14.25" customHeight="1">
      <c r="B60" s="12" t="str">
        <f t="shared" si="2"/>
        <v/>
      </c>
      <c r="C60" s="1" t="s">
        <v>387</v>
      </c>
      <c r="D60" s="1" t="s">
        <v>136</v>
      </c>
      <c r="E60" s="18">
        <v>21.399999619999999</v>
      </c>
      <c r="F60" s="18">
        <v>21.799999239999998</v>
      </c>
      <c r="G60" s="18">
        <v>21.799999239999998</v>
      </c>
      <c r="H60" s="18">
        <v>21.799999239999998</v>
      </c>
      <c r="I60" s="18">
        <v>21.799999239999998</v>
      </c>
      <c r="J60" s="18">
        <v>21.799999239999998</v>
      </c>
      <c r="K60" s="18">
        <v>21.799999239999998</v>
      </c>
      <c r="L60" s="18"/>
      <c r="M60" s="18"/>
      <c r="N60" s="18"/>
      <c r="O60" s="18"/>
      <c r="P60" s="18"/>
      <c r="Q60" s="18"/>
      <c r="R60" s="18"/>
      <c r="S60" s="17"/>
      <c r="T60" s="17"/>
      <c r="U60" s="18"/>
      <c r="W60" s="4">
        <v>0.41176470588234998</v>
      </c>
      <c r="X60" s="12" t="str">
        <f t="shared" si="3"/>
        <v/>
      </c>
    </row>
    <row r="61" spans="2:24" ht="14.25" customHeight="1">
      <c r="B61" s="12" t="str">
        <f t="shared" si="2"/>
        <v/>
      </c>
      <c r="C61" s="1" t="s">
        <v>368</v>
      </c>
      <c r="D61" s="1" t="s">
        <v>247</v>
      </c>
      <c r="E61" s="18">
        <v>54</v>
      </c>
      <c r="F61" s="18">
        <v>53.200000760000002</v>
      </c>
      <c r="G61" s="18">
        <v>50.799999239999998</v>
      </c>
      <c r="H61" s="18">
        <v>22.100000380000001</v>
      </c>
      <c r="I61" s="18">
        <v>21.299999239999998</v>
      </c>
      <c r="J61" s="18">
        <v>20.100000380000001</v>
      </c>
      <c r="K61" s="18">
        <v>19.700000760000002</v>
      </c>
      <c r="L61" s="18">
        <v>24.799999239999998</v>
      </c>
      <c r="M61" s="18">
        <v>23.399999619999999</v>
      </c>
      <c r="N61" s="18">
        <v>22.13999939</v>
      </c>
      <c r="O61" s="18">
        <v>22.670000080000001</v>
      </c>
      <c r="P61" s="18"/>
      <c r="Q61" s="18">
        <v>28.602449409999998</v>
      </c>
      <c r="R61" s="18">
        <v>28.774511489999998</v>
      </c>
      <c r="S61" s="17"/>
      <c r="T61" s="17"/>
      <c r="U61" s="18"/>
      <c r="W61" s="4">
        <v>0.76470588235294001</v>
      </c>
      <c r="X61" s="12" t="str">
        <f t="shared" si="3"/>
        <v/>
      </c>
    </row>
    <row r="62" spans="2:24" ht="14.25" customHeight="1">
      <c r="B62" s="12" t="str">
        <f t="shared" si="2"/>
        <v/>
      </c>
      <c r="C62" s="1" t="s">
        <v>359</v>
      </c>
      <c r="D62" s="1" t="s">
        <v>383</v>
      </c>
      <c r="E62" s="18">
        <v>15.5</v>
      </c>
      <c r="F62" s="18">
        <v>15.30000019</v>
      </c>
      <c r="G62" s="18">
        <v>15.30000019</v>
      </c>
      <c r="H62" s="18">
        <v>14</v>
      </c>
      <c r="I62" s="18">
        <v>13.30000019</v>
      </c>
      <c r="J62" s="18">
        <v>12</v>
      </c>
      <c r="K62" s="18">
        <v>12</v>
      </c>
      <c r="L62" s="18">
        <v>12</v>
      </c>
      <c r="M62" s="18">
        <v>12.899999619999999</v>
      </c>
      <c r="N62" s="18">
        <v>19.13999939</v>
      </c>
      <c r="O62" s="18">
        <v>11.047911259999999</v>
      </c>
      <c r="P62" s="18">
        <v>11.63154756</v>
      </c>
      <c r="Q62" s="18">
        <v>13.674789779999999</v>
      </c>
      <c r="R62" s="18"/>
      <c r="S62" s="17"/>
      <c r="T62" s="17"/>
      <c r="U62" s="18"/>
      <c r="W62" s="4">
        <v>0.76470588235294001</v>
      </c>
      <c r="X62" s="12" t="str">
        <f t="shared" si="3"/>
        <v/>
      </c>
    </row>
    <row r="63" spans="2:24" ht="14.25" customHeight="1">
      <c r="B63" s="12" t="str">
        <f t="shared" si="2"/>
        <v/>
      </c>
      <c r="C63" s="1" t="s">
        <v>305</v>
      </c>
      <c r="D63" s="1" t="s">
        <v>288</v>
      </c>
      <c r="E63" s="17">
        <v>49.099998470000003</v>
      </c>
      <c r="F63" s="17">
        <v>49.200000760000002</v>
      </c>
      <c r="G63" s="17">
        <v>49.200000760000002</v>
      </c>
      <c r="H63" s="17">
        <v>49.200000760000002</v>
      </c>
      <c r="I63" s="17">
        <v>49.200000760000002</v>
      </c>
      <c r="J63" s="17">
        <v>49.200000760000002</v>
      </c>
      <c r="K63" s="17">
        <v>49.200000760000002</v>
      </c>
      <c r="L63" s="17"/>
      <c r="M63" s="17"/>
      <c r="N63" s="17"/>
      <c r="O63" s="17"/>
      <c r="P63" s="17"/>
      <c r="Q63" s="17"/>
      <c r="R63" s="17"/>
      <c r="S63" s="17"/>
      <c r="T63" s="17"/>
      <c r="U63" s="18"/>
      <c r="W63" s="4">
        <v>0.41176470588234998</v>
      </c>
      <c r="X63" s="12" t="str">
        <f t="shared" si="3"/>
        <v/>
      </c>
    </row>
    <row r="64" spans="2:24" ht="14.25" customHeight="1">
      <c r="B64" s="12" t="str">
        <f t="shared" si="2"/>
        <v/>
      </c>
      <c r="C64" s="1" t="s">
        <v>81</v>
      </c>
      <c r="D64" s="1" t="s">
        <v>388</v>
      </c>
      <c r="E64" s="18">
        <v>63</v>
      </c>
      <c r="F64" s="18">
        <v>64</v>
      </c>
      <c r="G64" s="18">
        <v>64</v>
      </c>
      <c r="H64" s="18">
        <v>64</v>
      </c>
      <c r="I64" s="18">
        <v>64.5</v>
      </c>
      <c r="J64" s="18">
        <v>62</v>
      </c>
      <c r="K64" s="18">
        <v>64</v>
      </c>
      <c r="L64" s="18">
        <v>64</v>
      </c>
      <c r="M64" s="18">
        <v>64.599998470000003</v>
      </c>
      <c r="N64" s="18">
        <v>64.699996949999999</v>
      </c>
      <c r="O64" s="18">
        <v>65.040000919999997</v>
      </c>
      <c r="P64" s="18">
        <v>65.275332210000002</v>
      </c>
      <c r="Q64" s="18">
        <v>65.362724839999998</v>
      </c>
      <c r="R64" s="18">
        <v>65.47</v>
      </c>
      <c r="S64" s="18"/>
      <c r="T64" s="17"/>
      <c r="U64" s="18"/>
      <c r="W64" s="4">
        <v>0.82352941176470995</v>
      </c>
      <c r="X64" s="12" t="str">
        <f t="shared" si="3"/>
        <v/>
      </c>
    </row>
    <row r="65" spans="2:24" ht="14.25" customHeight="1">
      <c r="B65" s="12" t="str">
        <f t="shared" si="2"/>
        <v/>
      </c>
      <c r="C65" s="1" t="s">
        <v>378</v>
      </c>
      <c r="D65" s="1" t="s">
        <v>179</v>
      </c>
      <c r="E65" s="18"/>
      <c r="F65" s="18">
        <v>100</v>
      </c>
      <c r="G65" s="18">
        <v>100</v>
      </c>
      <c r="H65" s="18">
        <v>100</v>
      </c>
      <c r="I65" s="18">
        <v>100</v>
      </c>
      <c r="J65" s="18">
        <v>100</v>
      </c>
      <c r="K65" s="18">
        <v>100</v>
      </c>
      <c r="L65" s="18">
        <v>100</v>
      </c>
      <c r="M65" s="18">
        <v>100</v>
      </c>
      <c r="N65" s="18">
        <v>100</v>
      </c>
      <c r="O65" s="18">
        <v>100</v>
      </c>
      <c r="P65" s="18">
        <v>100</v>
      </c>
      <c r="Q65" s="18">
        <v>100</v>
      </c>
      <c r="R65" s="18">
        <v>100</v>
      </c>
      <c r="S65" s="18"/>
      <c r="T65" s="17"/>
      <c r="U65" s="18"/>
      <c r="W65" s="4">
        <v>0.76470588235294001</v>
      </c>
      <c r="X65" s="12" t="str">
        <f t="shared" si="3"/>
        <v/>
      </c>
    </row>
    <row r="66" spans="2:24" ht="14.25" customHeight="1">
      <c r="B66" s="12" t="str">
        <f t="shared" si="2"/>
        <v/>
      </c>
      <c r="C66" s="1" t="s">
        <v>148</v>
      </c>
      <c r="D66" s="1" t="s">
        <v>240</v>
      </c>
      <c r="E66" s="18">
        <v>8.1999998089999995</v>
      </c>
      <c r="F66" s="18">
        <v>9.8999996190000008</v>
      </c>
      <c r="G66" s="18">
        <v>9.8999996190000008</v>
      </c>
      <c r="H66" s="18">
        <v>9.8999996190000008</v>
      </c>
      <c r="I66" s="18">
        <v>9.8999996190000008</v>
      </c>
      <c r="J66" s="18">
        <v>9.8999996190000008</v>
      </c>
      <c r="K66" s="18"/>
      <c r="L66" s="18"/>
      <c r="M66" s="18"/>
      <c r="N66" s="18">
        <v>10.210000040000001</v>
      </c>
      <c r="O66" s="18"/>
      <c r="P66" s="18"/>
      <c r="Q66" s="18"/>
      <c r="R66" s="18"/>
      <c r="S66" s="17"/>
      <c r="T66" s="17"/>
      <c r="U66" s="18"/>
      <c r="W66" s="4">
        <v>0.41176470588234998</v>
      </c>
      <c r="X66" s="12" t="str">
        <f t="shared" si="3"/>
        <v/>
      </c>
    </row>
    <row r="67" spans="2:24" ht="14.25" customHeight="1">
      <c r="B67" s="12" t="str">
        <f t="shared" si="2"/>
        <v/>
      </c>
      <c r="C67" s="1" t="s">
        <v>328</v>
      </c>
      <c r="D67" s="1" t="s">
        <v>57</v>
      </c>
      <c r="E67" s="17"/>
      <c r="F67" s="17"/>
      <c r="G67" s="17"/>
      <c r="H67" s="17"/>
      <c r="I67" s="17"/>
      <c r="J67" s="17"/>
      <c r="K67" s="17"/>
      <c r="L67" s="17"/>
      <c r="M67" s="17">
        <v>19.31999969</v>
      </c>
      <c r="N67" s="17">
        <v>19.31999969</v>
      </c>
      <c r="O67" s="17"/>
      <c r="P67" s="17"/>
      <c r="Q67" s="17"/>
      <c r="R67" s="17"/>
      <c r="S67" s="17"/>
      <c r="T67" s="17"/>
      <c r="U67" s="18"/>
      <c r="W67" s="4">
        <v>0.11764705882353001</v>
      </c>
      <c r="X67" s="12" t="str">
        <f t="shared" si="3"/>
        <v/>
      </c>
    </row>
    <row r="68" spans="2:24" ht="14.25" customHeight="1">
      <c r="B68" s="12" t="str">
        <f t="shared" si="2"/>
        <v/>
      </c>
      <c r="C68" s="1" t="s">
        <v>17</v>
      </c>
      <c r="D68" s="1" t="s">
        <v>120</v>
      </c>
      <c r="E68" s="18">
        <v>93.5</v>
      </c>
      <c r="F68" s="18">
        <v>93.5</v>
      </c>
      <c r="G68" s="18">
        <v>93.699996949999999</v>
      </c>
      <c r="H68" s="18">
        <v>93.400001529999997</v>
      </c>
      <c r="I68" s="18"/>
      <c r="J68" s="18"/>
      <c r="K68" s="18"/>
      <c r="L68" s="18"/>
      <c r="M68" s="18"/>
      <c r="N68" s="18"/>
      <c r="O68" s="18"/>
      <c r="P68" s="18">
        <v>94.067588169999993</v>
      </c>
      <c r="Q68" s="18">
        <v>94.067588169999993</v>
      </c>
      <c r="R68" s="18"/>
      <c r="S68" s="17"/>
      <c r="T68" s="17"/>
      <c r="U68" s="18"/>
      <c r="W68" s="4">
        <v>0.35294117647058998</v>
      </c>
      <c r="X68" s="12" t="str">
        <f t="shared" si="3"/>
        <v/>
      </c>
    </row>
    <row r="69" spans="2:24" ht="14.25" customHeight="1">
      <c r="B69" s="12" t="str">
        <f t="shared" si="2"/>
        <v/>
      </c>
      <c r="C69" s="1" t="s">
        <v>133</v>
      </c>
      <c r="D69" s="1" t="s">
        <v>122</v>
      </c>
      <c r="E69" s="18">
        <v>99</v>
      </c>
      <c r="F69" s="18">
        <v>99.099998470000003</v>
      </c>
      <c r="G69" s="18"/>
      <c r="H69" s="18"/>
      <c r="I69" s="18"/>
      <c r="J69" s="18"/>
      <c r="K69" s="18"/>
      <c r="L69" s="18"/>
      <c r="M69" s="18">
        <v>100</v>
      </c>
      <c r="N69" s="18"/>
      <c r="O69" s="18"/>
      <c r="P69" s="18"/>
      <c r="Q69" s="18"/>
      <c r="R69" s="18"/>
      <c r="S69" s="18"/>
      <c r="T69" s="17"/>
      <c r="U69" s="18"/>
      <c r="W69" s="4">
        <v>0.17647058823528999</v>
      </c>
      <c r="X69" s="12" t="str">
        <f t="shared" si="3"/>
        <v/>
      </c>
    </row>
    <row r="70" spans="2:24" ht="14.25" customHeight="1">
      <c r="B70" s="12" t="str">
        <f t="shared" ref="B70:B101" si="4">X70</f>
        <v/>
      </c>
      <c r="C70" s="1" t="s">
        <v>37</v>
      </c>
      <c r="D70" s="1" t="s">
        <v>238</v>
      </c>
      <c r="E70" s="18">
        <v>24.899999619999999</v>
      </c>
      <c r="F70" s="18">
        <v>24.100000380000001</v>
      </c>
      <c r="G70" s="18"/>
      <c r="H70" s="18"/>
      <c r="I70" s="18">
        <v>29.600000380000001</v>
      </c>
      <c r="J70" s="18">
        <v>29.600000380000001</v>
      </c>
      <c r="K70" s="18">
        <v>18.399999619999999</v>
      </c>
      <c r="L70" s="18"/>
      <c r="M70" s="18">
        <v>17.920000080000001</v>
      </c>
      <c r="N70" s="18"/>
      <c r="O70" s="18">
        <v>14.93029308</v>
      </c>
      <c r="P70" s="18"/>
      <c r="Q70" s="18"/>
      <c r="R70" s="18"/>
      <c r="S70" s="17"/>
      <c r="T70" s="17"/>
      <c r="U70" s="18"/>
      <c r="W70" s="4">
        <v>0.41176470588234998</v>
      </c>
      <c r="X70" s="12" t="str">
        <f t="shared" ref="X70:X101" si="5">IF((W70&gt;0),IF((W70&lt;0.059),D70,""),"")</f>
        <v/>
      </c>
    </row>
    <row r="71" spans="2:24" ht="14.25" customHeight="1">
      <c r="B71" s="12" t="str">
        <f t="shared" si="4"/>
        <v/>
      </c>
      <c r="C71" s="1" t="s">
        <v>375</v>
      </c>
      <c r="D71" s="1" t="s">
        <v>224</v>
      </c>
      <c r="E71" s="18">
        <v>91.699996949999999</v>
      </c>
      <c r="F71" s="18">
        <v>91.800003050000001</v>
      </c>
      <c r="G71" s="18">
        <v>91.800003050000001</v>
      </c>
      <c r="H71" s="18">
        <v>91.800003050000001</v>
      </c>
      <c r="I71" s="18">
        <v>91.800003050000001</v>
      </c>
      <c r="J71" s="18">
        <v>91.800003050000001</v>
      </c>
      <c r="K71" s="18"/>
      <c r="L71" s="18"/>
      <c r="M71" s="18"/>
      <c r="N71" s="18"/>
      <c r="O71" s="18"/>
      <c r="P71" s="18"/>
      <c r="Q71" s="18"/>
      <c r="R71" s="18"/>
      <c r="S71" s="18"/>
      <c r="T71" s="17"/>
      <c r="U71" s="18"/>
      <c r="W71" s="4">
        <v>0.35294117647058998</v>
      </c>
      <c r="X71" s="12" t="str">
        <f t="shared" si="5"/>
        <v/>
      </c>
    </row>
    <row r="72" spans="2:24" ht="14.25" customHeight="1">
      <c r="B72" s="12" t="str">
        <f t="shared" si="4"/>
        <v/>
      </c>
      <c r="C72" s="1" t="s">
        <v>377</v>
      </c>
      <c r="D72" s="1" t="s">
        <v>393</v>
      </c>
      <c r="E72" s="17">
        <v>61.200000760000002</v>
      </c>
      <c r="F72" s="17">
        <v>61.299999239999998</v>
      </c>
      <c r="G72" s="17">
        <v>61.299999239999998</v>
      </c>
      <c r="H72" s="17">
        <v>61.299999239999998</v>
      </c>
      <c r="I72" s="17">
        <v>60.959999080000003</v>
      </c>
      <c r="J72" s="17">
        <v>60.959999080000003</v>
      </c>
      <c r="K72" s="17">
        <v>60.959999080000003</v>
      </c>
      <c r="L72" s="17"/>
      <c r="M72" s="17"/>
      <c r="N72" s="17"/>
      <c r="O72" s="17"/>
      <c r="P72" s="17"/>
      <c r="Q72" s="17"/>
      <c r="R72" s="17"/>
      <c r="S72" s="17"/>
      <c r="T72" s="17"/>
      <c r="U72" s="18"/>
      <c r="W72" s="4">
        <v>0.41176470588234998</v>
      </c>
      <c r="X72" s="12" t="str">
        <f t="shared" si="5"/>
        <v/>
      </c>
    </row>
    <row r="73" spans="2:24" ht="14.25" customHeight="1">
      <c r="B73" s="12" t="str">
        <f t="shared" si="4"/>
        <v/>
      </c>
      <c r="C73" s="1" t="s">
        <v>213</v>
      </c>
      <c r="D73" s="1" t="s">
        <v>211</v>
      </c>
      <c r="E73" s="18">
        <v>26</v>
      </c>
      <c r="F73" s="18">
        <v>25.799999239999998</v>
      </c>
      <c r="G73" s="18">
        <v>26.399999619999999</v>
      </c>
      <c r="H73" s="18">
        <v>31</v>
      </c>
      <c r="I73" s="18">
        <v>34.5</v>
      </c>
      <c r="J73" s="18">
        <v>34.5</v>
      </c>
      <c r="K73" s="18">
        <v>34.5</v>
      </c>
      <c r="L73" s="18"/>
      <c r="M73" s="18"/>
      <c r="N73" s="18"/>
      <c r="O73" s="18"/>
      <c r="P73" s="18"/>
      <c r="Q73" s="18"/>
      <c r="R73" s="18"/>
      <c r="S73" s="17"/>
      <c r="T73" s="17"/>
      <c r="U73" s="18"/>
      <c r="W73" s="4">
        <v>0.41176470588234998</v>
      </c>
      <c r="X73" s="12" t="str">
        <f t="shared" si="5"/>
        <v/>
      </c>
    </row>
    <row r="74" spans="2:24" ht="14.25" customHeight="1">
      <c r="B74" s="12" t="str">
        <f t="shared" si="4"/>
        <v/>
      </c>
      <c r="C74" s="1" t="s">
        <v>40</v>
      </c>
      <c r="D74" s="1" t="s">
        <v>232</v>
      </c>
      <c r="E74" s="17">
        <v>16.399999619999999</v>
      </c>
      <c r="F74" s="17">
        <v>16.5</v>
      </c>
      <c r="G74" s="17">
        <v>16.5</v>
      </c>
      <c r="H74" s="17">
        <v>16.5</v>
      </c>
      <c r="I74" s="17">
        <v>16.5</v>
      </c>
      <c r="J74" s="17">
        <v>16.5</v>
      </c>
      <c r="K74" s="17"/>
      <c r="L74" s="17"/>
      <c r="M74" s="17">
        <v>9.7899999619999996</v>
      </c>
      <c r="N74" s="17"/>
      <c r="O74" s="17"/>
      <c r="P74" s="17"/>
      <c r="Q74" s="17"/>
      <c r="R74" s="17"/>
      <c r="S74" s="17"/>
      <c r="T74" s="17"/>
      <c r="U74" s="18"/>
      <c r="W74" s="4">
        <v>0.41176470588234998</v>
      </c>
      <c r="X74" s="12" t="str">
        <f t="shared" si="5"/>
        <v/>
      </c>
    </row>
    <row r="75" spans="2:24" ht="14.25" customHeight="1">
      <c r="B75" s="12" t="str">
        <f t="shared" si="4"/>
        <v/>
      </c>
      <c r="C75" s="1" t="s">
        <v>310</v>
      </c>
      <c r="D75" s="1" t="s">
        <v>397</v>
      </c>
      <c r="E75" s="17">
        <v>10.19999981</v>
      </c>
      <c r="F75" s="17">
        <v>10.30000019</v>
      </c>
      <c r="G75" s="17">
        <v>10.30000019</v>
      </c>
      <c r="H75" s="17">
        <v>10.30000019</v>
      </c>
      <c r="I75" s="17"/>
      <c r="J75" s="17"/>
      <c r="K75" s="17"/>
      <c r="L75" s="17">
        <v>27.940000529999999</v>
      </c>
      <c r="M75" s="17"/>
      <c r="N75" s="17"/>
      <c r="O75" s="17"/>
      <c r="P75" s="17"/>
      <c r="Q75" s="17"/>
      <c r="R75" s="17"/>
      <c r="S75" s="17"/>
      <c r="T75" s="17"/>
      <c r="U75" s="18"/>
      <c r="W75" s="4">
        <v>0.29411764705881999</v>
      </c>
      <c r="X75" s="12" t="str">
        <f t="shared" si="5"/>
        <v/>
      </c>
    </row>
    <row r="76" spans="2:24" ht="14.25" customHeight="1">
      <c r="B76" s="12" t="str">
        <f t="shared" si="4"/>
        <v/>
      </c>
      <c r="C76" s="1" t="s">
        <v>198</v>
      </c>
      <c r="D76" s="1" t="s">
        <v>15</v>
      </c>
      <c r="E76" s="17">
        <v>7.3000001909999996</v>
      </c>
      <c r="F76" s="17">
        <v>7.4000000950000002</v>
      </c>
      <c r="G76" s="17">
        <v>7.4000000950000002</v>
      </c>
      <c r="H76" s="17">
        <v>7.4000000950000002</v>
      </c>
      <c r="I76" s="17">
        <v>7.4000000950000002</v>
      </c>
      <c r="J76" s="17">
        <v>7.4000000950000002</v>
      </c>
      <c r="K76" s="17">
        <v>7.4000000950000002</v>
      </c>
      <c r="L76" s="17"/>
      <c r="M76" s="17"/>
      <c r="N76" s="17"/>
      <c r="O76" s="17"/>
      <c r="P76" s="17"/>
      <c r="Q76" s="17"/>
      <c r="R76" s="17"/>
      <c r="S76" s="17"/>
      <c r="T76" s="17"/>
      <c r="U76" s="18"/>
      <c r="W76" s="4">
        <v>0.41176470588234998</v>
      </c>
      <c r="X76" s="12" t="str">
        <f t="shared" si="5"/>
        <v/>
      </c>
    </row>
    <row r="77" spans="2:24" ht="14.25" customHeight="1">
      <c r="B77" s="12" t="str">
        <f t="shared" si="4"/>
        <v/>
      </c>
      <c r="C77" s="1" t="s">
        <v>287</v>
      </c>
      <c r="D77" s="1" t="s">
        <v>178</v>
      </c>
      <c r="E77" s="18">
        <v>24.200000760000002</v>
      </c>
      <c r="F77" s="18">
        <v>24.299999239999998</v>
      </c>
      <c r="G77" s="18">
        <v>24.299999239999998</v>
      </c>
      <c r="H77" s="18">
        <v>24.299999239999998</v>
      </c>
      <c r="I77" s="18">
        <v>24.299999239999998</v>
      </c>
      <c r="J77" s="18">
        <v>24.299999239999998</v>
      </c>
      <c r="K77" s="18">
        <v>24.299999239999998</v>
      </c>
      <c r="L77" s="18"/>
      <c r="M77" s="18"/>
      <c r="N77" s="18"/>
      <c r="O77" s="18"/>
      <c r="P77" s="18"/>
      <c r="Q77" s="18"/>
      <c r="R77" s="18"/>
      <c r="S77" s="17"/>
      <c r="T77" s="17"/>
      <c r="U77" s="18"/>
      <c r="W77" s="4">
        <v>0.41176470588234998</v>
      </c>
      <c r="X77" s="12" t="str">
        <f t="shared" si="5"/>
        <v/>
      </c>
    </row>
    <row r="78" spans="2:24" ht="14.25" customHeight="1">
      <c r="B78" s="12" t="str">
        <f t="shared" si="4"/>
        <v/>
      </c>
      <c r="C78" s="1" t="s">
        <v>47</v>
      </c>
      <c r="D78" s="1" t="s">
        <v>158</v>
      </c>
      <c r="E78" s="18">
        <v>20.399999619999999</v>
      </c>
      <c r="F78" s="18">
        <v>20.399999619999999</v>
      </c>
      <c r="G78" s="18">
        <v>20.399999619999999</v>
      </c>
      <c r="H78" s="18">
        <v>20.399999619999999</v>
      </c>
      <c r="I78" s="18">
        <v>20.399999619999999</v>
      </c>
      <c r="J78" s="18">
        <v>20.399999619999999</v>
      </c>
      <c r="K78" s="18">
        <v>20.399999619999999</v>
      </c>
      <c r="L78" s="18"/>
      <c r="M78" s="18"/>
      <c r="N78" s="18"/>
      <c r="O78" s="18"/>
      <c r="P78" s="18"/>
      <c r="Q78" s="18"/>
      <c r="R78" s="18"/>
      <c r="S78" s="17"/>
      <c r="T78" s="17"/>
      <c r="U78" s="18"/>
      <c r="W78" s="4">
        <v>0.41176470588234998</v>
      </c>
      <c r="X78" s="12" t="str">
        <f t="shared" si="5"/>
        <v/>
      </c>
    </row>
    <row r="79" spans="2:24" ht="14.25" customHeight="1">
      <c r="B79" s="12" t="str">
        <f t="shared" si="4"/>
        <v/>
      </c>
      <c r="C79" s="1" t="s">
        <v>316</v>
      </c>
      <c r="D79" s="1" t="s">
        <v>331</v>
      </c>
      <c r="E79" s="18">
        <v>44.099998470000003</v>
      </c>
      <c r="F79" s="18">
        <v>43.099998470000003</v>
      </c>
      <c r="G79" s="18">
        <v>43.400001529999997</v>
      </c>
      <c r="H79" s="18">
        <v>43.400001529999997</v>
      </c>
      <c r="I79" s="18"/>
      <c r="J79" s="18"/>
      <c r="K79" s="18">
        <v>43.700000760000002</v>
      </c>
      <c r="L79" s="18">
        <v>43.900001529999997</v>
      </c>
      <c r="M79" s="18">
        <v>43.900001529999997</v>
      </c>
      <c r="N79" s="18"/>
      <c r="O79" s="18"/>
      <c r="P79" s="18">
        <v>38.040820259999997</v>
      </c>
      <c r="Q79" s="18">
        <v>37.716317779999997</v>
      </c>
      <c r="R79" s="18">
        <v>37.65</v>
      </c>
      <c r="S79" s="18"/>
      <c r="T79" s="17"/>
      <c r="U79" s="18"/>
      <c r="W79" s="4">
        <v>0.58823529411764996</v>
      </c>
      <c r="X79" s="12" t="str">
        <f t="shared" si="5"/>
        <v/>
      </c>
    </row>
    <row r="80" spans="2:24" ht="14.25" customHeight="1">
      <c r="B80" s="12" t="str">
        <f t="shared" si="4"/>
        <v/>
      </c>
      <c r="C80" s="1" t="s">
        <v>343</v>
      </c>
      <c r="D80" s="1" t="s">
        <v>195</v>
      </c>
      <c r="E80" s="18">
        <v>24.799999239999998</v>
      </c>
      <c r="F80" s="18">
        <v>25.899999619999999</v>
      </c>
      <c r="G80" s="18">
        <v>25.700000760000002</v>
      </c>
      <c r="H80" s="18">
        <v>27.100000380000001</v>
      </c>
      <c r="I80" s="18">
        <v>28.100000380000001</v>
      </c>
      <c r="J80" s="18">
        <v>29.5</v>
      </c>
      <c r="K80" s="18">
        <v>30.600000380000001</v>
      </c>
      <c r="L80" s="18">
        <v>31.5</v>
      </c>
      <c r="M80" s="18"/>
      <c r="N80" s="18">
        <v>34.400001529999997</v>
      </c>
      <c r="O80" s="18">
        <v>35.38999939</v>
      </c>
      <c r="P80" s="18">
        <v>35.86000061</v>
      </c>
      <c r="Q80" s="18">
        <v>36.641630900000003</v>
      </c>
      <c r="R80" s="18">
        <v>36.641630900000003</v>
      </c>
      <c r="S80" s="18"/>
      <c r="T80" s="17"/>
      <c r="U80" s="18"/>
      <c r="W80" s="4">
        <v>0.76470588235294001</v>
      </c>
      <c r="X80" s="12" t="str">
        <f t="shared" si="5"/>
        <v/>
      </c>
    </row>
    <row r="81" spans="2:24" ht="14.25" customHeight="1">
      <c r="B81" s="12" t="str">
        <f t="shared" si="4"/>
        <v/>
      </c>
      <c r="C81" s="1" t="s">
        <v>8</v>
      </c>
      <c r="D81" s="1" t="s">
        <v>132</v>
      </c>
      <c r="E81" s="18">
        <v>55.400001529999997</v>
      </c>
      <c r="F81" s="18">
        <v>54.700000760000002</v>
      </c>
      <c r="G81" s="18">
        <v>56.5</v>
      </c>
      <c r="H81" s="18">
        <v>57</v>
      </c>
      <c r="I81" s="18">
        <v>46.66999817</v>
      </c>
      <c r="J81" s="18">
        <v>47.459999080000003</v>
      </c>
      <c r="K81" s="18">
        <v>47.740001679999999</v>
      </c>
      <c r="L81" s="18">
        <v>47.400001529999997</v>
      </c>
      <c r="M81" s="18"/>
      <c r="N81" s="18">
        <v>48.62</v>
      </c>
      <c r="O81" s="18">
        <v>46.99</v>
      </c>
      <c r="P81" s="18">
        <v>47.72</v>
      </c>
      <c r="Q81" s="18">
        <v>48.24</v>
      </c>
      <c r="R81" s="18">
        <v>49.340659309999999</v>
      </c>
      <c r="S81" s="17"/>
      <c r="T81" s="17"/>
      <c r="U81" s="18"/>
      <c r="W81" s="4">
        <v>0.76470588235294001</v>
      </c>
      <c r="X81" s="12" t="str">
        <f t="shared" si="5"/>
        <v/>
      </c>
    </row>
    <row r="82" spans="2:24" ht="14.25" customHeight="1">
      <c r="B82" s="12" t="str">
        <f t="shared" si="4"/>
        <v/>
      </c>
      <c r="C82" s="1" t="s">
        <v>84</v>
      </c>
      <c r="D82" s="1" t="s">
        <v>279</v>
      </c>
      <c r="E82" s="18">
        <v>52.400001529999997</v>
      </c>
      <c r="F82" s="18">
        <v>46.299999239999998</v>
      </c>
      <c r="G82" s="18">
        <v>56.400001529999997</v>
      </c>
      <c r="H82" s="18">
        <v>47.299999239999998</v>
      </c>
      <c r="I82" s="18">
        <v>46.299999239999998</v>
      </c>
      <c r="J82" s="18">
        <v>57.099998470000003</v>
      </c>
      <c r="K82" s="18">
        <v>58.900001529999997</v>
      </c>
      <c r="L82" s="18">
        <v>58</v>
      </c>
      <c r="M82" s="18">
        <v>58.32649602</v>
      </c>
      <c r="N82" s="18">
        <v>55.321512820000002</v>
      </c>
      <c r="O82" s="18">
        <v>55.424299699999999</v>
      </c>
      <c r="P82" s="18">
        <v>53.005378450000002</v>
      </c>
      <c r="Q82" s="18">
        <v>60.860426769999997</v>
      </c>
      <c r="R82" s="18">
        <v>59.106494669999996</v>
      </c>
      <c r="S82" s="17"/>
      <c r="T82" s="17"/>
      <c r="U82" s="18"/>
      <c r="W82" s="4">
        <v>0.82352941176470995</v>
      </c>
      <c r="X82" s="12" t="str">
        <f t="shared" si="5"/>
        <v/>
      </c>
    </row>
    <row r="83" spans="2:24" ht="14.25" customHeight="1">
      <c r="B83" s="12" t="str">
        <f t="shared" si="4"/>
        <v/>
      </c>
      <c r="C83" s="1" t="s">
        <v>360</v>
      </c>
      <c r="D83" s="1" t="s">
        <v>66</v>
      </c>
      <c r="E83" s="18">
        <v>49.900001529999997</v>
      </c>
      <c r="F83" s="18">
        <v>52.099998470000003</v>
      </c>
      <c r="G83" s="18">
        <v>56.799999239999998</v>
      </c>
      <c r="H83" s="18">
        <v>56.299999239999998</v>
      </c>
      <c r="I83" s="18"/>
      <c r="J83" s="18"/>
      <c r="K83" s="18">
        <v>64.800003050000001</v>
      </c>
      <c r="L83" s="18">
        <v>66.300003050000001</v>
      </c>
      <c r="M83" s="18">
        <v>67.36000061</v>
      </c>
      <c r="N83" s="18"/>
      <c r="O83" s="18">
        <v>71.024315950000002</v>
      </c>
      <c r="P83" s="18">
        <v>73.297341950000003</v>
      </c>
      <c r="Q83" s="18"/>
      <c r="R83" s="18"/>
      <c r="S83" s="17"/>
      <c r="T83" s="17"/>
      <c r="U83" s="18"/>
      <c r="W83" s="4">
        <v>0.52941176470588003</v>
      </c>
      <c r="X83" s="12" t="str">
        <f t="shared" si="5"/>
        <v/>
      </c>
    </row>
    <row r="84" spans="2:24" ht="14.25" customHeight="1">
      <c r="B84" s="12" t="str">
        <f t="shared" si="4"/>
        <v/>
      </c>
      <c r="C84" s="1" t="s">
        <v>358</v>
      </c>
      <c r="D84" s="1" t="s">
        <v>229</v>
      </c>
      <c r="E84" s="18">
        <v>86</v>
      </c>
      <c r="F84" s="18">
        <v>86</v>
      </c>
      <c r="G84" s="18"/>
      <c r="H84" s="18">
        <v>84.300003050000001</v>
      </c>
      <c r="I84" s="18">
        <v>84.300003050000001</v>
      </c>
      <c r="J84" s="18">
        <v>84.300003050000001</v>
      </c>
      <c r="K84" s="18">
        <v>84.300003050000001</v>
      </c>
      <c r="L84" s="18"/>
      <c r="M84" s="18"/>
      <c r="N84" s="18"/>
      <c r="O84" s="18"/>
      <c r="P84" s="18"/>
      <c r="Q84" s="18"/>
      <c r="R84" s="18"/>
      <c r="S84" s="17"/>
      <c r="T84" s="17"/>
      <c r="U84" s="18"/>
      <c r="W84" s="4">
        <v>0.35294117647058998</v>
      </c>
      <c r="X84" s="12" t="str">
        <f t="shared" si="5"/>
        <v/>
      </c>
    </row>
    <row r="85" spans="2:24" ht="14.25" customHeight="1">
      <c r="B85" s="12" t="str">
        <f t="shared" si="4"/>
        <v/>
      </c>
      <c r="C85" s="1" t="s">
        <v>362</v>
      </c>
      <c r="D85" s="1" t="s">
        <v>100</v>
      </c>
      <c r="E85" s="18">
        <v>94</v>
      </c>
      <c r="F85" s="18">
        <v>94.099998470000003</v>
      </c>
      <c r="G85" s="18">
        <v>94.099998470000003</v>
      </c>
      <c r="H85" s="18">
        <v>100</v>
      </c>
      <c r="I85" s="18">
        <v>100</v>
      </c>
      <c r="J85" s="18">
        <v>100</v>
      </c>
      <c r="K85" s="18">
        <v>100</v>
      </c>
      <c r="L85" s="18">
        <v>100</v>
      </c>
      <c r="M85" s="18">
        <v>100</v>
      </c>
      <c r="N85" s="18"/>
      <c r="O85" s="18"/>
      <c r="P85" s="18"/>
      <c r="Q85" s="18">
        <v>100</v>
      </c>
      <c r="R85" s="18">
        <v>100</v>
      </c>
      <c r="S85" s="18"/>
      <c r="T85" s="17"/>
      <c r="U85" s="18"/>
      <c r="W85" s="4">
        <v>0.64705882352941002</v>
      </c>
      <c r="X85" s="12" t="str">
        <f t="shared" si="5"/>
        <v/>
      </c>
    </row>
    <row r="86" spans="2:24" ht="14.25" customHeight="1">
      <c r="B86" s="12" t="str">
        <f t="shared" si="4"/>
        <v/>
      </c>
      <c r="C86" s="1" t="s">
        <v>341</v>
      </c>
      <c r="D86" s="1" t="s">
        <v>376</v>
      </c>
      <c r="E86" s="18">
        <v>100</v>
      </c>
      <c r="F86" s="18">
        <v>100</v>
      </c>
      <c r="G86" s="18">
        <v>100</v>
      </c>
      <c r="H86" s="18">
        <v>100</v>
      </c>
      <c r="I86" s="18">
        <v>100</v>
      </c>
      <c r="J86" s="18">
        <v>100</v>
      </c>
      <c r="K86" s="18"/>
      <c r="L86" s="18">
        <v>100</v>
      </c>
      <c r="M86" s="18">
        <v>100</v>
      </c>
      <c r="N86" s="18">
        <v>100</v>
      </c>
      <c r="O86" s="18">
        <v>100</v>
      </c>
      <c r="P86" s="18">
        <v>100</v>
      </c>
      <c r="Q86" s="18">
        <v>100</v>
      </c>
      <c r="R86" s="18">
        <v>100</v>
      </c>
      <c r="S86" s="17"/>
      <c r="T86" s="17"/>
      <c r="U86" s="18"/>
      <c r="W86" s="4">
        <v>0.76470588235294001</v>
      </c>
      <c r="X86" s="12" t="str">
        <f t="shared" si="5"/>
        <v/>
      </c>
    </row>
    <row r="87" spans="2:24" ht="14.25" customHeight="1">
      <c r="B87" s="12" t="str">
        <f t="shared" si="4"/>
        <v/>
      </c>
      <c r="C87" s="1" t="s">
        <v>354</v>
      </c>
      <c r="D87" s="1" t="s">
        <v>36</v>
      </c>
      <c r="E87" s="18">
        <v>100</v>
      </c>
      <c r="F87" s="18">
        <v>100</v>
      </c>
      <c r="G87" s="18">
        <v>100</v>
      </c>
      <c r="H87" s="18">
        <v>100</v>
      </c>
      <c r="I87" s="18">
        <v>100</v>
      </c>
      <c r="J87" s="18">
        <v>100</v>
      </c>
      <c r="K87" s="18"/>
      <c r="L87" s="18"/>
      <c r="M87" s="18">
        <v>100</v>
      </c>
      <c r="N87" s="18"/>
      <c r="O87" s="18"/>
      <c r="P87" s="18"/>
      <c r="Q87" s="18"/>
      <c r="R87" s="18"/>
      <c r="S87" s="18"/>
      <c r="T87" s="17"/>
      <c r="U87" s="18"/>
      <c r="W87" s="4">
        <v>0.41176470588234998</v>
      </c>
      <c r="X87" s="12" t="str">
        <f t="shared" si="5"/>
        <v/>
      </c>
    </row>
    <row r="88" spans="2:24" ht="14.25" customHeight="1">
      <c r="B88" s="12" t="str">
        <f t="shared" si="4"/>
        <v/>
      </c>
      <c r="C88" s="1" t="s">
        <v>172</v>
      </c>
      <c r="D88" s="1" t="s">
        <v>164</v>
      </c>
      <c r="E88" s="18">
        <v>70.599998470000003</v>
      </c>
      <c r="F88" s="18">
        <v>70.699996949999999</v>
      </c>
      <c r="G88" s="18"/>
      <c r="H88" s="18">
        <v>70.099998470000003</v>
      </c>
      <c r="I88" s="18">
        <v>70.099998470000003</v>
      </c>
      <c r="J88" s="18">
        <v>70.099998470000003</v>
      </c>
      <c r="K88" s="18"/>
      <c r="L88" s="18"/>
      <c r="M88" s="18">
        <v>73.25</v>
      </c>
      <c r="N88" s="18">
        <v>73.27999878</v>
      </c>
      <c r="O88" s="18">
        <v>73.27999878</v>
      </c>
      <c r="P88" s="18"/>
      <c r="Q88" s="18"/>
      <c r="R88" s="18"/>
      <c r="S88" s="17"/>
      <c r="T88" s="17"/>
      <c r="U88" s="18"/>
      <c r="W88" s="4">
        <v>0.47058823529412003</v>
      </c>
      <c r="X88" s="12" t="str">
        <f t="shared" si="5"/>
        <v/>
      </c>
    </row>
    <row r="89" spans="2:24" ht="14.25" customHeight="1">
      <c r="B89" s="12" t="str">
        <f t="shared" si="4"/>
        <v/>
      </c>
      <c r="C89" s="1" t="s">
        <v>5</v>
      </c>
      <c r="D89" s="1" t="s">
        <v>335</v>
      </c>
      <c r="E89" s="18">
        <v>73.599998470000003</v>
      </c>
      <c r="F89" s="18">
        <v>74.300003050000001</v>
      </c>
      <c r="G89" s="18">
        <v>74.900001529999997</v>
      </c>
      <c r="H89" s="18">
        <v>76</v>
      </c>
      <c r="I89" s="18">
        <v>76.099998470000003</v>
      </c>
      <c r="J89" s="18">
        <v>76.599998470000003</v>
      </c>
      <c r="K89" s="18">
        <v>77.099998470000003</v>
      </c>
      <c r="L89" s="18">
        <v>77.699996949999999</v>
      </c>
      <c r="M89" s="18">
        <v>78.219800000000006</v>
      </c>
      <c r="N89" s="18"/>
      <c r="O89" s="18">
        <v>79</v>
      </c>
      <c r="P89" s="18">
        <v>79.286613459999998</v>
      </c>
      <c r="Q89" s="18">
        <v>79.600333059999997</v>
      </c>
      <c r="R89" s="18"/>
      <c r="S89" s="18"/>
      <c r="T89" s="17"/>
      <c r="U89" s="18"/>
      <c r="W89" s="4">
        <v>0.70588235294117996</v>
      </c>
      <c r="X89" s="12" t="str">
        <f t="shared" si="5"/>
        <v/>
      </c>
    </row>
    <row r="90" spans="2:24" ht="14.25" customHeight="1">
      <c r="B90" s="12" t="str">
        <f t="shared" si="4"/>
        <v/>
      </c>
      <c r="C90" s="1" t="s">
        <v>27</v>
      </c>
      <c r="D90" s="1" t="s">
        <v>352</v>
      </c>
      <c r="E90" s="18">
        <v>100</v>
      </c>
      <c r="F90" s="18">
        <v>100</v>
      </c>
      <c r="G90" s="18"/>
      <c r="H90" s="18"/>
      <c r="I90" s="18">
        <v>100</v>
      </c>
      <c r="J90" s="18"/>
      <c r="K90" s="18"/>
      <c r="L90" s="18"/>
      <c r="M90" s="18">
        <v>100</v>
      </c>
      <c r="N90" s="18">
        <v>100</v>
      </c>
      <c r="O90" s="18">
        <v>100</v>
      </c>
      <c r="P90" s="18">
        <v>100</v>
      </c>
      <c r="Q90" s="18">
        <v>100</v>
      </c>
      <c r="R90" s="18">
        <v>100</v>
      </c>
      <c r="S90" s="17"/>
      <c r="T90" s="17"/>
      <c r="U90" s="18"/>
      <c r="W90" s="4">
        <v>0.52941176470588003</v>
      </c>
      <c r="X90" s="12" t="str">
        <f t="shared" si="5"/>
        <v/>
      </c>
    </row>
    <row r="91" spans="2:24" ht="14.25" customHeight="1">
      <c r="B91" s="12" t="str">
        <f t="shared" si="4"/>
        <v/>
      </c>
      <c r="C91" s="1" t="s">
        <v>129</v>
      </c>
      <c r="D91" s="1" t="s">
        <v>168</v>
      </c>
      <c r="E91" s="18">
        <v>76.300003050000001</v>
      </c>
      <c r="F91" s="18">
        <v>80.5</v>
      </c>
      <c r="G91" s="18">
        <v>82.800003050000001</v>
      </c>
      <c r="H91" s="18">
        <v>86.5</v>
      </c>
      <c r="I91" s="18"/>
      <c r="J91" s="18"/>
      <c r="K91" s="18"/>
      <c r="L91" s="18"/>
      <c r="M91" s="18">
        <v>93.97000122</v>
      </c>
      <c r="N91" s="18">
        <v>93.430000309999997</v>
      </c>
      <c r="O91" s="18">
        <v>91.160003660000001</v>
      </c>
      <c r="P91" s="18">
        <v>91.434312989999995</v>
      </c>
      <c r="Q91" s="18">
        <v>90.258045809999999</v>
      </c>
      <c r="R91" s="18">
        <v>89.88</v>
      </c>
      <c r="S91" s="17"/>
      <c r="T91" s="17"/>
      <c r="U91" s="18"/>
      <c r="W91" s="4">
        <v>0.58823529411764996</v>
      </c>
      <c r="X91" s="12" t="str">
        <f t="shared" si="5"/>
        <v/>
      </c>
    </row>
    <row r="92" spans="2:24" ht="14.25" customHeight="1">
      <c r="B92" s="12" t="str">
        <f t="shared" si="4"/>
        <v/>
      </c>
      <c r="C92" s="1" t="s">
        <v>196</v>
      </c>
      <c r="D92" s="1" t="s">
        <v>259</v>
      </c>
      <c r="E92" s="18">
        <v>13.80000019</v>
      </c>
      <c r="F92" s="18">
        <v>12.100000380000001</v>
      </c>
      <c r="G92" s="18">
        <v>12.100000380000001</v>
      </c>
      <c r="H92" s="18">
        <v>12.100000380000001</v>
      </c>
      <c r="I92" s="18">
        <v>12.100000380000001</v>
      </c>
      <c r="J92" s="18">
        <v>12.100000380000001</v>
      </c>
      <c r="K92" s="18"/>
      <c r="L92" s="18"/>
      <c r="M92" s="18"/>
      <c r="N92" s="18">
        <v>14.119999890000001</v>
      </c>
      <c r="O92" s="18"/>
      <c r="P92" s="18"/>
      <c r="Q92" s="18"/>
      <c r="R92" s="18"/>
      <c r="S92" s="17"/>
      <c r="T92" s="17"/>
      <c r="U92" s="18"/>
      <c r="W92" s="4">
        <v>0.41176470588234998</v>
      </c>
      <c r="X92" s="12" t="str">
        <f t="shared" si="5"/>
        <v/>
      </c>
    </row>
    <row r="93" spans="2:24" ht="14.25" customHeight="1">
      <c r="B93" s="12" t="str">
        <f t="shared" si="4"/>
        <v/>
      </c>
      <c r="C93" s="1" t="s">
        <v>249</v>
      </c>
      <c r="D93" s="1" t="s">
        <v>16</v>
      </c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8"/>
      <c r="W93" s="4">
        <v>0</v>
      </c>
      <c r="X93" s="12" t="str">
        <f t="shared" si="5"/>
        <v/>
      </c>
    </row>
    <row r="94" spans="2:24" ht="14.25" customHeight="1">
      <c r="B94" s="12" t="str">
        <f t="shared" si="4"/>
        <v/>
      </c>
      <c r="C94" s="1" t="s">
        <v>356</v>
      </c>
      <c r="D94" s="1" t="s">
        <v>294</v>
      </c>
      <c r="E94" s="18">
        <v>6.3000001909999996</v>
      </c>
      <c r="F94" s="18">
        <v>6.4000000950000002</v>
      </c>
      <c r="G94" s="18">
        <v>6.4000000950000002</v>
      </c>
      <c r="H94" s="18">
        <v>6.4000000950000002</v>
      </c>
      <c r="I94" s="18">
        <v>6.4000000950000002</v>
      </c>
      <c r="J94" s="18">
        <v>6.4000000950000002</v>
      </c>
      <c r="K94" s="18"/>
      <c r="L94" s="18"/>
      <c r="M94" s="18"/>
      <c r="N94" s="18"/>
      <c r="O94" s="18"/>
      <c r="P94" s="18">
        <v>2.8332159520000002</v>
      </c>
      <c r="Q94" s="18"/>
      <c r="R94" s="18"/>
      <c r="S94" s="17"/>
      <c r="T94" s="17"/>
      <c r="U94" s="18"/>
      <c r="W94" s="4">
        <v>0.41176470588234998</v>
      </c>
      <c r="X94" s="12" t="str">
        <f t="shared" si="5"/>
        <v/>
      </c>
    </row>
    <row r="95" spans="2:24" ht="14.25" customHeight="1">
      <c r="B95" s="12" t="str">
        <f t="shared" si="4"/>
        <v/>
      </c>
      <c r="C95" s="1" t="s">
        <v>282</v>
      </c>
      <c r="D95" s="1" t="s">
        <v>140</v>
      </c>
      <c r="E95" s="18">
        <v>76</v>
      </c>
      <c r="F95" s="18">
        <v>72.699996949999999</v>
      </c>
      <c r="G95" s="18">
        <v>74</v>
      </c>
      <c r="H95" s="18">
        <v>74.5</v>
      </c>
      <c r="I95" s="18">
        <v>74.5</v>
      </c>
      <c r="J95" s="18">
        <v>74.5</v>
      </c>
      <c r="K95" s="18">
        <v>76.699996949999999</v>
      </c>
      <c r="L95" s="18">
        <v>76.699996949999999</v>
      </c>
      <c r="M95" s="18">
        <v>76.88999939</v>
      </c>
      <c r="N95" s="18">
        <v>86.760002139999997</v>
      </c>
      <c r="O95" s="18">
        <v>76.819999690000003</v>
      </c>
      <c r="P95" s="18">
        <v>77.5</v>
      </c>
      <c r="Q95" s="18">
        <v>78.3</v>
      </c>
      <c r="R95" s="18">
        <v>78.5</v>
      </c>
      <c r="S95" s="18"/>
      <c r="T95" s="17"/>
      <c r="U95" s="18"/>
      <c r="W95" s="4">
        <v>0.82352941176470995</v>
      </c>
      <c r="X95" s="12" t="str">
        <f t="shared" si="5"/>
        <v/>
      </c>
    </row>
    <row r="96" spans="2:24" ht="14.25" customHeight="1">
      <c r="B96" s="12" t="str">
        <f t="shared" si="4"/>
        <v/>
      </c>
      <c r="C96" s="1" t="s">
        <v>26</v>
      </c>
      <c r="D96" s="1" t="s">
        <v>235</v>
      </c>
      <c r="E96" s="18">
        <v>80.5</v>
      </c>
      <c r="F96" s="18">
        <v>80.599998470000003</v>
      </c>
      <c r="G96" s="18">
        <v>80.599998470000003</v>
      </c>
      <c r="H96" s="18">
        <v>80.599998470000003</v>
      </c>
      <c r="I96" s="18">
        <v>80.599998470000003</v>
      </c>
      <c r="J96" s="18">
        <v>80.599998470000003</v>
      </c>
      <c r="K96" s="18"/>
      <c r="L96" s="18"/>
      <c r="M96" s="18">
        <v>84.400001529999997</v>
      </c>
      <c r="N96" s="18">
        <v>85</v>
      </c>
      <c r="O96" s="18"/>
      <c r="P96" s="18"/>
      <c r="Q96" s="18"/>
      <c r="R96" s="18"/>
      <c r="S96" s="17"/>
      <c r="T96" s="17"/>
      <c r="U96" s="18"/>
      <c r="W96" s="4">
        <v>0.47058823529412003</v>
      </c>
      <c r="X96" s="12" t="str">
        <f t="shared" si="5"/>
        <v/>
      </c>
    </row>
    <row r="97" spans="2:24" ht="14.25" customHeight="1">
      <c r="B97" s="12" t="str">
        <f t="shared" si="4"/>
        <v/>
      </c>
      <c r="C97" s="1" t="s">
        <v>177</v>
      </c>
      <c r="D97" s="1" t="s">
        <v>174</v>
      </c>
      <c r="E97" s="18">
        <v>91</v>
      </c>
      <c r="F97" s="18">
        <v>91.099998470000003</v>
      </c>
      <c r="G97" s="18">
        <v>91.099998470000003</v>
      </c>
      <c r="H97" s="18">
        <v>91.099998470000003</v>
      </c>
      <c r="I97" s="18">
        <v>91.099998470000003</v>
      </c>
      <c r="J97" s="18">
        <v>91.099998470000003</v>
      </c>
      <c r="K97" s="18">
        <v>91.099998470000003</v>
      </c>
      <c r="L97" s="18"/>
      <c r="M97" s="18"/>
      <c r="N97" s="18"/>
      <c r="O97" s="18"/>
      <c r="P97" s="18"/>
      <c r="Q97" s="18"/>
      <c r="R97" s="18"/>
      <c r="S97" s="17"/>
      <c r="T97" s="17"/>
      <c r="U97" s="18"/>
      <c r="W97" s="4">
        <v>0.41176470588234998</v>
      </c>
      <c r="X97" s="12" t="str">
        <f t="shared" si="5"/>
        <v/>
      </c>
    </row>
    <row r="98" spans="2:24" ht="14.25" customHeight="1">
      <c r="B98" s="12" t="str">
        <f t="shared" si="4"/>
        <v/>
      </c>
      <c r="C98" s="1" t="s">
        <v>118</v>
      </c>
      <c r="D98" s="1" t="s">
        <v>76</v>
      </c>
      <c r="E98" s="17">
        <v>13.80000019</v>
      </c>
      <c r="F98" s="17"/>
      <c r="G98" s="17"/>
      <c r="H98" s="17"/>
      <c r="I98" s="17"/>
      <c r="J98" s="17"/>
      <c r="K98" s="17"/>
      <c r="L98" s="17">
        <v>14.06999969</v>
      </c>
      <c r="M98" s="17">
        <v>14.40999985</v>
      </c>
      <c r="N98" s="17"/>
      <c r="O98" s="17">
        <v>13.4</v>
      </c>
      <c r="P98" s="17">
        <v>12.9</v>
      </c>
      <c r="Q98" s="17">
        <v>13.06</v>
      </c>
      <c r="R98" s="17">
        <v>13.54</v>
      </c>
      <c r="S98" s="17"/>
      <c r="T98" s="17"/>
      <c r="U98" s="18"/>
      <c r="W98" s="4">
        <v>0.41176470588234998</v>
      </c>
      <c r="X98" s="12" t="str">
        <f t="shared" si="5"/>
        <v/>
      </c>
    </row>
    <row r="99" spans="2:24" ht="14.25" customHeight="1">
      <c r="B99" s="12" t="str">
        <f t="shared" si="4"/>
        <v/>
      </c>
      <c r="C99" s="1" t="s">
        <v>384</v>
      </c>
      <c r="D99" s="1" t="s">
        <v>183</v>
      </c>
      <c r="E99" s="18"/>
      <c r="F99" s="18"/>
      <c r="G99" s="18"/>
      <c r="H99" s="18"/>
      <c r="I99" s="18"/>
      <c r="J99" s="18"/>
      <c r="K99" s="18"/>
      <c r="L99" s="18">
        <v>100</v>
      </c>
      <c r="M99" s="18">
        <v>100</v>
      </c>
      <c r="N99" s="18">
        <v>100</v>
      </c>
      <c r="O99" s="18">
        <v>100</v>
      </c>
      <c r="P99" s="18">
        <v>100</v>
      </c>
      <c r="Q99" s="18">
        <v>100</v>
      </c>
      <c r="R99" s="18">
        <v>100</v>
      </c>
      <c r="S99" s="17"/>
      <c r="T99" s="17"/>
      <c r="U99" s="18"/>
      <c r="W99" s="4">
        <v>0.41176470588234998</v>
      </c>
      <c r="X99" s="12" t="str">
        <f t="shared" si="5"/>
        <v/>
      </c>
    </row>
    <row r="100" spans="2:24" ht="14.25" customHeight="1">
      <c r="B100" s="12" t="str">
        <f t="shared" si="4"/>
        <v/>
      </c>
      <c r="C100" s="1" t="s">
        <v>135</v>
      </c>
      <c r="D100" s="1" t="s">
        <v>199</v>
      </c>
      <c r="E100" s="18">
        <v>95</v>
      </c>
      <c r="F100" s="18">
        <v>95</v>
      </c>
      <c r="G100" s="18"/>
      <c r="H100" s="18"/>
      <c r="I100" s="18">
        <v>84.900001529999997</v>
      </c>
      <c r="J100" s="18"/>
      <c r="K100" s="18"/>
      <c r="L100" s="18"/>
      <c r="M100" s="18"/>
      <c r="N100" s="18"/>
      <c r="O100" s="18"/>
      <c r="P100" s="18"/>
      <c r="Q100" s="18"/>
      <c r="R100" s="18"/>
      <c r="S100" s="17"/>
      <c r="T100" s="17"/>
      <c r="U100" s="18"/>
      <c r="W100" s="4">
        <v>0.17647058823528999</v>
      </c>
      <c r="X100" s="12" t="str">
        <f t="shared" si="5"/>
        <v/>
      </c>
    </row>
    <row r="101" spans="2:24" ht="14.25" customHeight="1">
      <c r="B101" s="12" t="str">
        <f t="shared" si="4"/>
        <v/>
      </c>
      <c r="C101" s="1" t="s">
        <v>345</v>
      </c>
      <c r="D101" s="1" t="s">
        <v>200</v>
      </c>
      <c r="E101" s="17">
        <v>17.899999619999999</v>
      </c>
      <c r="F101" s="17">
        <v>17.899999619999999</v>
      </c>
      <c r="G101" s="17">
        <v>16.799999239999998</v>
      </c>
      <c r="H101" s="17">
        <v>17.299999239999998</v>
      </c>
      <c r="I101" s="17">
        <v>18.299999239999998</v>
      </c>
      <c r="J101" s="17">
        <v>18.299999239999998</v>
      </c>
      <c r="K101" s="17">
        <v>18.299999239999998</v>
      </c>
      <c r="L101" s="17"/>
      <c r="M101" s="17"/>
      <c r="N101" s="17"/>
      <c r="O101" s="17"/>
      <c r="P101" s="17"/>
      <c r="Q101" s="17"/>
      <c r="R101" s="17"/>
      <c r="S101" s="17"/>
      <c r="T101" s="17"/>
      <c r="U101" s="18"/>
      <c r="W101" s="4">
        <v>0.41176470588234998</v>
      </c>
      <c r="X101" s="12" t="str">
        <f t="shared" si="5"/>
        <v/>
      </c>
    </row>
    <row r="102" spans="2:24" ht="14.25" customHeight="1">
      <c r="B102" s="12" t="str">
        <f t="shared" ref="B102:B133" si="6">X102</f>
        <v/>
      </c>
      <c r="C102" s="1" t="s">
        <v>139</v>
      </c>
      <c r="D102" s="1" t="s">
        <v>253</v>
      </c>
      <c r="E102" s="17">
        <v>6.0999999049999998</v>
      </c>
      <c r="F102" s="17">
        <v>6.1999998090000004</v>
      </c>
      <c r="G102" s="17">
        <v>6.1999998090000004</v>
      </c>
      <c r="H102" s="17">
        <v>6.1999998090000004</v>
      </c>
      <c r="I102" s="17">
        <v>6.1999998090000004</v>
      </c>
      <c r="J102" s="17">
        <v>6.1999998090000004</v>
      </c>
      <c r="K102" s="17">
        <v>6.1999998090000004</v>
      </c>
      <c r="L102" s="17"/>
      <c r="M102" s="17"/>
      <c r="N102" s="17"/>
      <c r="O102" s="17"/>
      <c r="P102" s="17"/>
      <c r="Q102" s="17"/>
      <c r="R102" s="17"/>
      <c r="S102" s="17"/>
      <c r="T102" s="17"/>
      <c r="U102" s="18"/>
      <c r="W102" s="4">
        <v>0.41176470588234998</v>
      </c>
      <c r="X102" s="12" t="str">
        <f t="shared" ref="X102:X133" si="7">IF((W102&gt;0),IF((W102&lt;0.059),D102,""),"")</f>
        <v/>
      </c>
    </row>
    <row r="103" spans="2:24" ht="14.25" customHeight="1">
      <c r="B103" s="12" t="str">
        <f t="shared" si="6"/>
        <v/>
      </c>
      <c r="C103" s="1" t="s">
        <v>141</v>
      </c>
      <c r="D103" s="1" t="s">
        <v>77</v>
      </c>
      <c r="E103" s="18">
        <v>57.099998470000003</v>
      </c>
      <c r="F103" s="18"/>
      <c r="G103" s="18"/>
      <c r="H103" s="18"/>
      <c r="I103" s="18">
        <v>57.200000760000002</v>
      </c>
      <c r="J103" s="18">
        <v>57.200000760000002</v>
      </c>
      <c r="K103" s="18">
        <v>57.200000760000002</v>
      </c>
      <c r="L103" s="18"/>
      <c r="M103" s="18"/>
      <c r="N103" s="18"/>
      <c r="O103" s="18"/>
      <c r="P103" s="18"/>
      <c r="Q103" s="18"/>
      <c r="R103" s="18"/>
      <c r="S103" s="17"/>
      <c r="T103" s="17"/>
      <c r="U103" s="18"/>
      <c r="W103" s="4">
        <v>0.23529411764706001</v>
      </c>
      <c r="X103" s="12" t="str">
        <f t="shared" si="7"/>
        <v/>
      </c>
    </row>
    <row r="104" spans="2:24" ht="14.25" customHeight="1">
      <c r="B104" s="12" t="str">
        <f t="shared" si="6"/>
        <v/>
      </c>
      <c r="C104" s="1" t="s">
        <v>201</v>
      </c>
      <c r="D104" s="1" t="s">
        <v>21</v>
      </c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8"/>
      <c r="W104" s="4">
        <v>0</v>
      </c>
      <c r="X104" s="12" t="str">
        <f t="shared" si="7"/>
        <v/>
      </c>
    </row>
    <row r="105" spans="2:24" ht="14.25" customHeight="1">
      <c r="B105" s="12" t="str">
        <f t="shared" si="6"/>
        <v/>
      </c>
      <c r="C105" s="1" t="s">
        <v>391</v>
      </c>
      <c r="D105" s="1" t="s">
        <v>389</v>
      </c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>
        <v>28.299999239999998</v>
      </c>
      <c r="P105" s="18">
        <v>28.38942789</v>
      </c>
      <c r="Q105" s="18">
        <v>28.60558756</v>
      </c>
      <c r="R105" s="18">
        <v>28.6</v>
      </c>
      <c r="S105" s="17"/>
      <c r="T105" s="17"/>
      <c r="U105" s="18"/>
      <c r="W105" s="4">
        <v>0.23529411764706001</v>
      </c>
      <c r="X105" s="12" t="str">
        <f t="shared" si="7"/>
        <v/>
      </c>
    </row>
    <row r="106" spans="2:24" ht="14.25" customHeight="1">
      <c r="B106" s="12" t="str">
        <f t="shared" si="6"/>
        <v/>
      </c>
      <c r="C106" s="1" t="s">
        <v>381</v>
      </c>
      <c r="D106" s="1" t="s">
        <v>280</v>
      </c>
      <c r="E106" s="18">
        <v>99</v>
      </c>
      <c r="F106" s="18">
        <v>100</v>
      </c>
      <c r="G106" s="18">
        <v>99</v>
      </c>
      <c r="H106" s="18">
        <v>100</v>
      </c>
      <c r="I106" s="18">
        <v>100</v>
      </c>
      <c r="J106" s="18">
        <v>100</v>
      </c>
      <c r="K106" s="18">
        <v>100</v>
      </c>
      <c r="L106" s="18">
        <v>100</v>
      </c>
      <c r="M106" s="18">
        <v>100</v>
      </c>
      <c r="N106" s="18">
        <v>100</v>
      </c>
      <c r="O106" s="18"/>
      <c r="P106" s="18"/>
      <c r="Q106" s="18"/>
      <c r="R106" s="18"/>
      <c r="S106" s="18"/>
      <c r="T106" s="17"/>
      <c r="U106" s="18"/>
      <c r="W106" s="4">
        <v>0.58823529411764996</v>
      </c>
      <c r="X106" s="12" t="str">
        <f t="shared" si="7"/>
        <v/>
      </c>
    </row>
    <row r="107" spans="2:24" ht="14.25" customHeight="1">
      <c r="B107" s="12" t="str">
        <f t="shared" si="6"/>
        <v/>
      </c>
      <c r="C107" s="1" t="s">
        <v>101</v>
      </c>
      <c r="D107" s="1" t="s">
        <v>92</v>
      </c>
      <c r="E107" s="17">
        <v>11.5</v>
      </c>
      <c r="F107" s="17">
        <v>11.600000380000001</v>
      </c>
      <c r="G107" s="17"/>
      <c r="H107" s="17"/>
      <c r="I107" s="17">
        <v>11.600000380000001</v>
      </c>
      <c r="J107" s="17">
        <v>11.600000380000001</v>
      </c>
      <c r="K107" s="17">
        <v>11.600000380000001</v>
      </c>
      <c r="L107" s="17"/>
      <c r="M107" s="17"/>
      <c r="N107" s="17"/>
      <c r="O107" s="17"/>
      <c r="P107" s="17"/>
      <c r="Q107" s="17"/>
      <c r="R107" s="17"/>
      <c r="S107" s="17"/>
      <c r="T107" s="17"/>
      <c r="U107" s="18"/>
      <c r="W107" s="4">
        <v>0.29411764705881999</v>
      </c>
      <c r="X107" s="12" t="str">
        <f t="shared" si="7"/>
        <v/>
      </c>
    </row>
    <row r="108" spans="2:24" ht="14.25" customHeight="1">
      <c r="B108" s="12" t="str">
        <f t="shared" si="6"/>
        <v/>
      </c>
      <c r="C108" s="1" t="s">
        <v>292</v>
      </c>
      <c r="D108" s="1" t="s">
        <v>263</v>
      </c>
      <c r="E108" s="19">
        <v>77.434400791199991</v>
      </c>
      <c r="F108" s="17"/>
      <c r="G108" s="17"/>
      <c r="H108" s="17"/>
      <c r="I108" s="17"/>
      <c r="J108" s="17"/>
      <c r="K108" s="17"/>
      <c r="L108" s="17"/>
      <c r="M108" s="17">
        <v>45.020000459999999</v>
      </c>
      <c r="N108" s="17"/>
      <c r="O108" s="17"/>
      <c r="P108" s="17"/>
      <c r="Q108" s="17"/>
      <c r="R108" s="17"/>
      <c r="S108" s="17"/>
      <c r="T108" s="17"/>
      <c r="U108" s="18"/>
      <c r="W108" s="4">
        <v>0.11764705882353001</v>
      </c>
      <c r="X108" s="12" t="str">
        <f t="shared" si="7"/>
        <v/>
      </c>
    </row>
    <row r="109" spans="2:24" ht="14.25" customHeight="1">
      <c r="B109" s="12" t="str">
        <f t="shared" si="6"/>
        <v/>
      </c>
      <c r="C109" s="1" t="s">
        <v>41</v>
      </c>
      <c r="D109" s="1" t="s">
        <v>107</v>
      </c>
      <c r="E109" s="18">
        <v>73.919808689999996</v>
      </c>
      <c r="F109" s="18">
        <v>73.99108889</v>
      </c>
      <c r="G109" s="18">
        <v>74.455389719999999</v>
      </c>
      <c r="H109" s="18">
        <v>75.582883030000005</v>
      </c>
      <c r="I109" s="18">
        <v>75.317688529999998</v>
      </c>
      <c r="J109" s="18">
        <v>76.184814509999995</v>
      </c>
      <c r="K109" s="18">
        <v>77.885927539999997</v>
      </c>
      <c r="L109" s="18"/>
      <c r="M109" s="18">
        <v>80.849998470000003</v>
      </c>
      <c r="N109" s="18">
        <v>81.319999690000003</v>
      </c>
      <c r="O109" s="18"/>
      <c r="P109" s="18">
        <v>82.772813330000005</v>
      </c>
      <c r="Q109" s="18"/>
      <c r="R109" s="18"/>
      <c r="S109" s="17"/>
      <c r="T109" s="17"/>
      <c r="U109" s="18"/>
      <c r="W109" s="4">
        <v>0.58823529411764996</v>
      </c>
      <c r="X109" s="12" t="str">
        <f t="shared" si="7"/>
        <v/>
      </c>
    </row>
    <row r="110" spans="2:24" ht="14.25" customHeight="1">
      <c r="B110" s="12" t="str">
        <f t="shared" si="6"/>
        <v/>
      </c>
      <c r="C110" s="1" t="s">
        <v>98</v>
      </c>
      <c r="D110" s="1" t="s">
        <v>33</v>
      </c>
      <c r="E110" s="19">
        <v>130</v>
      </c>
      <c r="F110" s="17"/>
      <c r="G110" s="17"/>
      <c r="H110" s="17"/>
      <c r="I110" s="17"/>
      <c r="J110" s="17"/>
      <c r="K110" s="17"/>
      <c r="L110" s="17"/>
      <c r="M110" s="17"/>
      <c r="N110" s="17"/>
      <c r="O110" s="17">
        <v>100</v>
      </c>
      <c r="P110" s="17"/>
      <c r="Q110" s="17"/>
      <c r="R110" s="17"/>
      <c r="S110" s="17"/>
      <c r="T110" s="17"/>
      <c r="U110" s="18"/>
      <c r="W110" s="4">
        <v>0.11764705882353001</v>
      </c>
      <c r="X110" s="12" t="str">
        <f t="shared" si="7"/>
        <v/>
      </c>
    </row>
    <row r="111" spans="2:24" ht="14.25" customHeight="1">
      <c r="B111" s="12" t="str">
        <f t="shared" si="6"/>
        <v/>
      </c>
      <c r="C111" s="1" t="s">
        <v>208</v>
      </c>
      <c r="D111" s="1" t="s">
        <v>278</v>
      </c>
      <c r="E111" s="17">
        <v>12</v>
      </c>
      <c r="F111" s="17">
        <v>12.100000380000001</v>
      </c>
      <c r="G111" s="17">
        <v>12.100000380000001</v>
      </c>
      <c r="H111" s="17">
        <v>12.100000380000001</v>
      </c>
      <c r="I111" s="17">
        <v>12.100000380000001</v>
      </c>
      <c r="J111" s="17">
        <v>12.100000380000001</v>
      </c>
      <c r="K111" s="17"/>
      <c r="L111" s="17"/>
      <c r="M111" s="17"/>
      <c r="N111" s="17">
        <v>18</v>
      </c>
      <c r="O111" s="17">
        <v>19.03553299</v>
      </c>
      <c r="P111" s="17"/>
      <c r="Q111" s="17"/>
      <c r="R111" s="17"/>
      <c r="S111" s="17"/>
      <c r="T111" s="17"/>
      <c r="U111" s="18"/>
      <c r="W111" s="4">
        <v>0.47058823529412003</v>
      </c>
      <c r="X111" s="12" t="str">
        <f t="shared" si="7"/>
        <v/>
      </c>
    </row>
    <row r="112" spans="2:24" ht="14.25" customHeight="1">
      <c r="B112" s="12" t="str">
        <f t="shared" si="6"/>
        <v/>
      </c>
      <c r="C112" s="1" t="s">
        <v>217</v>
      </c>
      <c r="D112" s="1" t="s">
        <v>269</v>
      </c>
      <c r="E112" s="18">
        <v>95</v>
      </c>
      <c r="F112" s="18">
        <v>95</v>
      </c>
      <c r="G112" s="18">
        <v>95</v>
      </c>
      <c r="H112" s="18">
        <v>95</v>
      </c>
      <c r="I112" s="18"/>
      <c r="J112" s="18">
        <v>88</v>
      </c>
      <c r="K112" s="18">
        <v>88</v>
      </c>
      <c r="L112" s="18">
        <v>90</v>
      </c>
      <c r="M112" s="18">
        <v>87.52999878</v>
      </c>
      <c r="N112" s="18">
        <v>87.52999878</v>
      </c>
      <c r="O112" s="18"/>
      <c r="P112" s="18"/>
      <c r="Q112" s="18"/>
      <c r="R112" s="18">
        <v>87.53</v>
      </c>
      <c r="S112" s="17"/>
      <c r="T112" s="17"/>
      <c r="U112" s="18"/>
      <c r="W112" s="4">
        <v>0.58823529411764996</v>
      </c>
      <c r="X112" s="12" t="str">
        <f t="shared" si="7"/>
        <v/>
      </c>
    </row>
    <row r="113" spans="2:24" ht="14.25" customHeight="1">
      <c r="B113" s="12" t="str">
        <f t="shared" si="6"/>
        <v/>
      </c>
      <c r="C113" s="1" t="s">
        <v>275</v>
      </c>
      <c r="D113" s="1" t="s">
        <v>194</v>
      </c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8"/>
      <c r="W113" s="4">
        <v>0</v>
      </c>
      <c r="X113" s="12" t="str">
        <f t="shared" si="7"/>
        <v/>
      </c>
    </row>
    <row r="114" spans="2:24" ht="14.25" customHeight="1">
      <c r="B114" s="12" t="str">
        <f t="shared" si="6"/>
        <v/>
      </c>
      <c r="C114" s="1" t="s">
        <v>370</v>
      </c>
      <c r="D114" s="1" t="s">
        <v>114</v>
      </c>
      <c r="E114" s="17"/>
      <c r="F114" s="17"/>
      <c r="G114" s="17"/>
      <c r="H114" s="17"/>
      <c r="I114" s="17"/>
      <c r="J114" s="17"/>
      <c r="K114" s="17"/>
      <c r="L114" s="17"/>
      <c r="M114" s="17"/>
      <c r="N114" s="17">
        <v>32.618025750000001</v>
      </c>
      <c r="O114" s="17">
        <v>30.299999239999998</v>
      </c>
      <c r="P114" s="17">
        <v>26.847999999999999</v>
      </c>
      <c r="Q114" s="17">
        <v>26.847999999999999</v>
      </c>
      <c r="R114" s="17"/>
      <c r="S114" s="17"/>
      <c r="T114" s="17"/>
      <c r="U114" s="18"/>
      <c r="W114" s="4">
        <v>0.23529411764706001</v>
      </c>
      <c r="X114" s="12" t="str">
        <f t="shared" si="7"/>
        <v/>
      </c>
    </row>
    <row r="115" spans="2:24" ht="14.25" customHeight="1">
      <c r="B115" s="12" t="str">
        <f t="shared" si="6"/>
        <v/>
      </c>
      <c r="C115" s="1" t="s">
        <v>321</v>
      </c>
      <c r="D115" s="1" t="s">
        <v>333</v>
      </c>
      <c r="E115" s="17">
        <v>93</v>
      </c>
      <c r="F115" s="17">
        <v>95</v>
      </c>
      <c r="G115" s="17">
        <v>95</v>
      </c>
      <c r="H115" s="17">
        <v>96</v>
      </c>
      <c r="I115" s="17">
        <v>96</v>
      </c>
      <c r="J115" s="17">
        <v>97</v>
      </c>
      <c r="K115" s="17">
        <v>98</v>
      </c>
      <c r="L115" s="17">
        <v>98</v>
      </c>
      <c r="M115" s="17">
        <v>100</v>
      </c>
      <c r="N115" s="17">
        <v>100</v>
      </c>
      <c r="O115" s="17">
        <v>100</v>
      </c>
      <c r="P115" s="17">
        <v>98.020781790000001</v>
      </c>
      <c r="Q115" s="17">
        <v>98.027613410000001</v>
      </c>
      <c r="R115" s="17">
        <v>98.03</v>
      </c>
      <c r="S115" s="17"/>
      <c r="T115" s="17"/>
      <c r="U115" s="18"/>
      <c r="W115" s="4">
        <v>0.82352941176470995</v>
      </c>
      <c r="X115" s="12" t="str">
        <f t="shared" si="7"/>
        <v/>
      </c>
    </row>
    <row r="116" spans="2:24" ht="14.25" customHeight="1">
      <c r="B116" s="12" t="str">
        <f t="shared" si="6"/>
        <v/>
      </c>
      <c r="C116" s="1" t="s">
        <v>83</v>
      </c>
      <c r="D116" s="1" t="s">
        <v>192</v>
      </c>
      <c r="E116" s="18">
        <v>31.299999239999998</v>
      </c>
      <c r="F116" s="18">
        <v>31.799999239999998</v>
      </c>
      <c r="G116" s="18">
        <v>29.700000760000002</v>
      </c>
      <c r="H116" s="18">
        <v>34.299999239999998</v>
      </c>
      <c r="I116" s="18">
        <v>32.799999239999998</v>
      </c>
      <c r="J116" s="18">
        <v>32.799999239999998</v>
      </c>
      <c r="K116" s="18"/>
      <c r="L116" s="18">
        <v>33.5</v>
      </c>
      <c r="M116" s="18">
        <v>35.759998320000001</v>
      </c>
      <c r="N116" s="18">
        <v>36.310001370000002</v>
      </c>
      <c r="O116" s="18">
        <v>36.979999540000001</v>
      </c>
      <c r="P116" s="18">
        <v>33.47</v>
      </c>
      <c r="Q116" s="18">
        <v>34.96</v>
      </c>
      <c r="R116" s="18">
        <v>35.28</v>
      </c>
      <c r="S116" s="18"/>
      <c r="T116" s="17"/>
      <c r="U116" s="18"/>
      <c r="W116" s="4">
        <v>0.76470588235294001</v>
      </c>
      <c r="X116" s="12" t="str">
        <f t="shared" si="7"/>
        <v/>
      </c>
    </row>
    <row r="117" spans="2:24" ht="14.25" customHeight="1">
      <c r="B117" s="12" t="str">
        <f t="shared" si="6"/>
        <v/>
      </c>
      <c r="C117" s="1" t="s">
        <v>170</v>
      </c>
      <c r="D117" s="1" t="s">
        <v>293</v>
      </c>
      <c r="E117" s="17">
        <v>17.600000380000001</v>
      </c>
      <c r="F117" s="17">
        <v>17.700000760000002</v>
      </c>
      <c r="G117" s="17">
        <v>17.5</v>
      </c>
      <c r="H117" s="17">
        <v>17.5</v>
      </c>
      <c r="I117" s="17">
        <v>17.5</v>
      </c>
      <c r="J117" s="17">
        <v>17.5</v>
      </c>
      <c r="K117" s="17">
        <v>17.5</v>
      </c>
      <c r="L117" s="17"/>
      <c r="M117" s="17"/>
      <c r="N117" s="17"/>
      <c r="O117" s="17"/>
      <c r="P117" s="17"/>
      <c r="Q117" s="17"/>
      <c r="R117" s="17"/>
      <c r="S117" s="17"/>
      <c r="T117" s="17"/>
      <c r="U117" s="18"/>
      <c r="W117" s="4">
        <v>0.41176470588234998</v>
      </c>
      <c r="X117" s="12" t="str">
        <f t="shared" si="7"/>
        <v/>
      </c>
    </row>
    <row r="118" spans="2:24" ht="14.25" customHeight="1">
      <c r="B118" s="12" t="str">
        <f t="shared" si="6"/>
        <v/>
      </c>
      <c r="C118" s="1" t="s">
        <v>106</v>
      </c>
      <c r="D118" s="1" t="s">
        <v>237</v>
      </c>
      <c r="E118" s="18">
        <v>87.300003050000001</v>
      </c>
      <c r="F118" s="18">
        <v>86.900001529999997</v>
      </c>
      <c r="G118" s="18">
        <v>86.900001529999997</v>
      </c>
      <c r="H118" s="18">
        <v>87</v>
      </c>
      <c r="I118" s="18">
        <v>87</v>
      </c>
      <c r="J118" s="18">
        <v>86.099998470000003</v>
      </c>
      <c r="K118" s="18"/>
      <c r="L118" s="18">
        <v>86</v>
      </c>
      <c r="M118" s="18">
        <v>86.199996949999999</v>
      </c>
      <c r="N118" s="18">
        <v>86.199996949999999</v>
      </c>
      <c r="O118" s="18">
        <v>86.25</v>
      </c>
      <c r="P118" s="18">
        <v>85.5</v>
      </c>
      <c r="Q118" s="18">
        <v>85.699725599999994</v>
      </c>
      <c r="R118" s="18">
        <v>85.8</v>
      </c>
      <c r="S118" s="17"/>
      <c r="T118" s="17"/>
      <c r="U118" s="18"/>
      <c r="W118" s="4">
        <v>0.76470588235294001</v>
      </c>
      <c r="X118" s="12" t="str">
        <f t="shared" si="7"/>
        <v/>
      </c>
    </row>
    <row r="119" spans="2:24" ht="14.25" customHeight="1">
      <c r="B119" s="12" t="str">
        <f t="shared" si="6"/>
        <v/>
      </c>
      <c r="C119" s="1" t="s">
        <v>146</v>
      </c>
      <c r="D119" s="1" t="s">
        <v>112</v>
      </c>
      <c r="E119" s="17">
        <v>100</v>
      </c>
      <c r="F119" s="17">
        <v>100</v>
      </c>
      <c r="G119" s="17">
        <v>100</v>
      </c>
      <c r="H119" s="17">
        <v>100</v>
      </c>
      <c r="I119" s="17">
        <v>100</v>
      </c>
      <c r="J119" s="17">
        <v>100</v>
      </c>
      <c r="K119" s="17">
        <v>100</v>
      </c>
      <c r="L119" s="17"/>
      <c r="M119" s="17"/>
      <c r="N119" s="17"/>
      <c r="O119" s="17"/>
      <c r="P119" s="17">
        <v>100</v>
      </c>
      <c r="Q119" s="17">
        <v>100</v>
      </c>
      <c r="R119" s="17">
        <v>100</v>
      </c>
      <c r="S119" s="17"/>
      <c r="T119" s="17"/>
      <c r="U119" s="18"/>
      <c r="W119" s="4">
        <v>0.58823529411764996</v>
      </c>
      <c r="X119" s="12" t="str">
        <f t="shared" si="7"/>
        <v/>
      </c>
    </row>
    <row r="120" spans="2:24" ht="14.25" customHeight="1">
      <c r="B120" s="12" t="str">
        <f t="shared" si="6"/>
        <v/>
      </c>
      <c r="C120" s="1" t="s">
        <v>227</v>
      </c>
      <c r="D120" s="1" t="s">
        <v>348</v>
      </c>
      <c r="E120" s="18">
        <v>63.299999239999998</v>
      </c>
      <c r="F120" s="18">
        <v>63.799999239999998</v>
      </c>
      <c r="G120" s="18">
        <v>63.799999239999998</v>
      </c>
      <c r="H120" s="18">
        <v>63.799999239999998</v>
      </c>
      <c r="I120" s="18">
        <v>63.799999239999998</v>
      </c>
      <c r="J120" s="18"/>
      <c r="K120" s="18"/>
      <c r="L120" s="18"/>
      <c r="M120" s="18">
        <v>51.74</v>
      </c>
      <c r="N120" s="18">
        <v>52.87</v>
      </c>
      <c r="O120" s="18">
        <v>55.62</v>
      </c>
      <c r="P120" s="18">
        <v>54.34</v>
      </c>
      <c r="Q120" s="18">
        <v>56.16</v>
      </c>
      <c r="R120" s="18">
        <v>56.54</v>
      </c>
      <c r="S120" s="17"/>
      <c r="T120" s="17"/>
      <c r="U120" s="18"/>
      <c r="W120" s="4">
        <v>0.64705882352941002</v>
      </c>
      <c r="X120" s="12" t="str">
        <f t="shared" si="7"/>
        <v/>
      </c>
    </row>
    <row r="121" spans="2:24" ht="14.25" customHeight="1">
      <c r="B121" s="12" t="str">
        <f t="shared" si="6"/>
        <v/>
      </c>
      <c r="C121" s="1" t="s">
        <v>190</v>
      </c>
      <c r="D121" s="1" t="s">
        <v>210</v>
      </c>
      <c r="E121" s="18">
        <v>3.2999999519999998</v>
      </c>
      <c r="F121" s="18">
        <v>3.2999999519999998</v>
      </c>
      <c r="G121" s="18">
        <v>3.4000000950000002</v>
      </c>
      <c r="H121" s="18">
        <v>3.4000000950000002</v>
      </c>
      <c r="I121" s="18">
        <v>3.5</v>
      </c>
      <c r="J121" s="18">
        <v>3.5</v>
      </c>
      <c r="K121" s="18">
        <v>3.5</v>
      </c>
      <c r="L121" s="18">
        <v>3.5</v>
      </c>
      <c r="M121" s="18"/>
      <c r="N121" s="18"/>
      <c r="O121" s="18"/>
      <c r="P121" s="18"/>
      <c r="Q121" s="18"/>
      <c r="R121" s="18"/>
      <c r="S121" s="17"/>
      <c r="T121" s="17"/>
      <c r="U121" s="18"/>
      <c r="W121" s="4">
        <v>0.47058823529412003</v>
      </c>
      <c r="X121" s="12" t="str">
        <f t="shared" si="7"/>
        <v/>
      </c>
    </row>
    <row r="122" spans="2:24" ht="14.25" customHeight="1">
      <c r="B122" s="12" t="str">
        <f t="shared" si="6"/>
        <v/>
      </c>
      <c r="C122" s="1" t="s">
        <v>191</v>
      </c>
      <c r="D122" s="1" t="s">
        <v>242</v>
      </c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8"/>
      <c r="W122" s="4">
        <v>0</v>
      </c>
      <c r="X122" s="12" t="str">
        <f t="shared" si="7"/>
        <v/>
      </c>
    </row>
    <row r="123" spans="2:24" ht="14.25" customHeight="1">
      <c r="B123" s="12" t="str">
        <f t="shared" si="6"/>
        <v/>
      </c>
      <c r="C123" s="1" t="s">
        <v>165</v>
      </c>
      <c r="D123" s="1" t="s">
        <v>173</v>
      </c>
      <c r="E123" s="18">
        <v>50.200000760000002</v>
      </c>
      <c r="F123" s="18">
        <v>50.200000760000002</v>
      </c>
      <c r="G123" s="18">
        <v>52.299999239999998</v>
      </c>
      <c r="H123" s="18">
        <v>52.299999239999998</v>
      </c>
      <c r="I123" s="18">
        <v>56.299999239999998</v>
      </c>
      <c r="J123" s="18">
        <v>56.41999817</v>
      </c>
      <c r="K123" s="18">
        <v>56.41999817</v>
      </c>
      <c r="L123" s="18">
        <v>56.41999817</v>
      </c>
      <c r="M123" s="18">
        <v>56.900001529999997</v>
      </c>
      <c r="N123" s="18">
        <v>56.900001529999997</v>
      </c>
      <c r="O123" s="18">
        <v>61.88999939</v>
      </c>
      <c r="P123" s="18">
        <v>61.88999939</v>
      </c>
      <c r="Q123" s="18">
        <v>61.98</v>
      </c>
      <c r="R123" s="18">
        <v>67.77</v>
      </c>
      <c r="S123" s="17"/>
      <c r="T123" s="17"/>
      <c r="U123" s="18"/>
      <c r="W123" s="4">
        <v>0.82352941176470995</v>
      </c>
      <c r="X123" s="12" t="str">
        <f t="shared" si="7"/>
        <v/>
      </c>
    </row>
    <row r="124" spans="2:24" ht="14.25" customHeight="1">
      <c r="B124" s="12" t="str">
        <f t="shared" si="6"/>
        <v/>
      </c>
      <c r="C124" s="1" t="s">
        <v>180</v>
      </c>
      <c r="D124" s="1" t="s">
        <v>307</v>
      </c>
      <c r="E124" s="18">
        <v>18.600000380000001</v>
      </c>
      <c r="F124" s="18">
        <v>18.700000760000002</v>
      </c>
      <c r="G124" s="18">
        <v>18.700000760000002</v>
      </c>
      <c r="H124" s="18">
        <v>18.700000760000002</v>
      </c>
      <c r="I124" s="18">
        <v>18.700000760000002</v>
      </c>
      <c r="J124" s="18">
        <v>18.700000760000002</v>
      </c>
      <c r="K124" s="18">
        <v>18.700000760000002</v>
      </c>
      <c r="L124" s="18"/>
      <c r="M124" s="18"/>
      <c r="N124" s="18"/>
      <c r="O124" s="18"/>
      <c r="P124" s="18"/>
      <c r="Q124" s="18"/>
      <c r="R124" s="18">
        <v>20.78</v>
      </c>
      <c r="S124" s="17"/>
      <c r="T124" s="17"/>
      <c r="U124" s="18"/>
      <c r="W124" s="4">
        <v>0.47058823529412003</v>
      </c>
      <c r="X124" s="12" t="str">
        <f t="shared" si="7"/>
        <v/>
      </c>
    </row>
    <row r="125" spans="2:24" ht="14.25" customHeight="1">
      <c r="B125" s="12" t="str">
        <f t="shared" si="6"/>
        <v/>
      </c>
      <c r="C125" s="1" t="s">
        <v>205</v>
      </c>
      <c r="D125" s="1" t="s">
        <v>357</v>
      </c>
      <c r="E125" s="18">
        <v>12.100000380000001</v>
      </c>
      <c r="F125" s="18">
        <v>12.19999981</v>
      </c>
      <c r="G125" s="18"/>
      <c r="H125" s="18"/>
      <c r="I125" s="18">
        <v>11.43999958</v>
      </c>
      <c r="J125" s="18">
        <v>11.43999958</v>
      </c>
      <c r="K125" s="18"/>
      <c r="L125" s="18"/>
      <c r="M125" s="18"/>
      <c r="N125" s="18"/>
      <c r="O125" s="18">
        <v>11.850000380000001</v>
      </c>
      <c r="P125" s="18"/>
      <c r="Q125" s="18"/>
      <c r="R125" s="18"/>
      <c r="S125" s="17"/>
      <c r="T125" s="17"/>
      <c r="U125" s="18"/>
      <c r="W125" s="4">
        <v>0.29411764705881999</v>
      </c>
      <c r="X125" s="12" t="str">
        <f t="shared" si="7"/>
        <v/>
      </c>
    </row>
    <row r="126" spans="2:24" ht="14.25" customHeight="1">
      <c r="B126" s="12" t="str">
        <f t="shared" si="6"/>
        <v/>
      </c>
      <c r="C126" s="1" t="s">
        <v>30</v>
      </c>
      <c r="D126" s="1" t="s">
        <v>137</v>
      </c>
      <c r="E126" s="18">
        <v>7.9000000950000002</v>
      </c>
      <c r="F126" s="18">
        <v>11.399999619999999</v>
      </c>
      <c r="G126" s="18">
        <v>13.19999981</v>
      </c>
      <c r="H126" s="18">
        <v>13.5</v>
      </c>
      <c r="I126" s="18">
        <v>13.600000380000001</v>
      </c>
      <c r="J126" s="18"/>
      <c r="K126" s="18"/>
      <c r="L126" s="18">
        <v>12.80000019</v>
      </c>
      <c r="M126" s="18"/>
      <c r="N126" s="18"/>
      <c r="O126" s="18"/>
      <c r="P126" s="18"/>
      <c r="Q126" s="18"/>
      <c r="R126" s="18"/>
      <c r="S126" s="17"/>
      <c r="T126" s="17"/>
      <c r="U126" s="18"/>
      <c r="W126" s="4">
        <v>0.35294117647058998</v>
      </c>
      <c r="X126" s="12" t="str">
        <f t="shared" si="7"/>
        <v/>
      </c>
    </row>
    <row r="127" spans="2:24" ht="14.25" customHeight="1">
      <c r="B127" s="12" t="str">
        <f t="shared" si="6"/>
        <v/>
      </c>
      <c r="C127" s="1" t="s">
        <v>361</v>
      </c>
      <c r="D127" s="1" t="s">
        <v>337</v>
      </c>
      <c r="E127" s="18" t="e">
        <v>#N/A</v>
      </c>
      <c r="F127" s="18" t="e">
        <v>#N/A</v>
      </c>
      <c r="G127" s="18" t="e">
        <v>#N/A</v>
      </c>
      <c r="H127" s="18" t="e">
        <v>#N/A</v>
      </c>
      <c r="I127" s="18" t="e">
        <v>#N/A</v>
      </c>
      <c r="J127" s="18" t="e">
        <v>#N/A</v>
      </c>
      <c r="K127" s="18" t="e">
        <v>#N/A</v>
      </c>
      <c r="L127" s="18" t="e">
        <v>#N/A</v>
      </c>
      <c r="M127" s="18" t="e">
        <v>#N/A</v>
      </c>
      <c r="N127" s="18" t="e">
        <v>#N/A</v>
      </c>
      <c r="O127" s="18" t="e">
        <v>#N/A</v>
      </c>
      <c r="P127" s="18" t="e">
        <v>#N/A</v>
      </c>
      <c r="Q127" s="18" t="e">
        <v>#N/A</v>
      </c>
      <c r="R127" s="18" t="e">
        <v>#N/A</v>
      </c>
      <c r="S127" s="18" t="e">
        <v>#N/A</v>
      </c>
      <c r="T127" s="18" t="e">
        <v>#N/A</v>
      </c>
      <c r="U127" s="18" t="e">
        <v>#N/A</v>
      </c>
      <c r="W127" s="4">
        <v>1</v>
      </c>
      <c r="X127" s="12" t="str">
        <f t="shared" si="7"/>
        <v/>
      </c>
    </row>
    <row r="128" spans="2:24" ht="14.25" customHeight="1">
      <c r="B128" s="12" t="str">
        <f t="shared" si="6"/>
        <v/>
      </c>
      <c r="C128" s="1" t="s">
        <v>212</v>
      </c>
      <c r="D128" s="1" t="s">
        <v>156</v>
      </c>
      <c r="E128" s="18">
        <v>41.400001529999997</v>
      </c>
      <c r="F128" s="18">
        <v>41.5</v>
      </c>
      <c r="G128" s="18"/>
      <c r="H128" s="18"/>
      <c r="I128" s="18"/>
      <c r="J128" s="18"/>
      <c r="K128" s="18"/>
      <c r="L128" s="18"/>
      <c r="M128" s="18">
        <v>53.900001529999997</v>
      </c>
      <c r="N128" s="18">
        <v>55.66</v>
      </c>
      <c r="O128" s="18">
        <v>56.07</v>
      </c>
      <c r="P128" s="18">
        <v>55.85</v>
      </c>
      <c r="Q128" s="18"/>
      <c r="R128" s="18"/>
      <c r="S128" s="17"/>
      <c r="T128" s="17"/>
      <c r="U128" s="18"/>
      <c r="W128" s="4">
        <v>0.35294117647058998</v>
      </c>
      <c r="X128" s="12" t="str">
        <f t="shared" si="7"/>
        <v/>
      </c>
    </row>
    <row r="129" spans="2:24" ht="14.25" customHeight="1">
      <c r="B129" s="12" t="str">
        <f t="shared" si="6"/>
        <v/>
      </c>
      <c r="C129" s="1" t="s">
        <v>270</v>
      </c>
      <c r="D129" s="1" t="s">
        <v>386</v>
      </c>
      <c r="E129" s="18">
        <v>90</v>
      </c>
      <c r="F129" s="18">
        <v>90</v>
      </c>
      <c r="G129" s="18">
        <v>90</v>
      </c>
      <c r="H129" s="18">
        <v>90</v>
      </c>
      <c r="I129" s="18">
        <v>90</v>
      </c>
      <c r="J129" s="18">
        <v>90</v>
      </c>
      <c r="K129" s="18"/>
      <c r="L129" s="18"/>
      <c r="M129" s="18"/>
      <c r="N129" s="18"/>
      <c r="O129" s="18"/>
      <c r="P129" s="18"/>
      <c r="Q129" s="18"/>
      <c r="R129" s="18"/>
      <c r="S129" s="18"/>
      <c r="T129" s="17"/>
      <c r="U129" s="18"/>
      <c r="W129" s="4">
        <v>0.35294117647058998</v>
      </c>
      <c r="X129" s="12" t="str">
        <f t="shared" si="7"/>
        <v/>
      </c>
    </row>
    <row r="130" spans="2:24" ht="14.25" customHeight="1">
      <c r="B130" s="12" t="str">
        <f t="shared" si="6"/>
        <v/>
      </c>
      <c r="C130" s="1" t="s">
        <v>117</v>
      </c>
      <c r="D130" s="1" t="s">
        <v>220</v>
      </c>
      <c r="E130" s="18">
        <v>60.400001529999997</v>
      </c>
      <c r="F130" s="18">
        <v>60.799999239999998</v>
      </c>
      <c r="G130" s="18">
        <v>61.299999239999998</v>
      </c>
      <c r="H130" s="18">
        <v>61.299999239999998</v>
      </c>
      <c r="I130" s="18">
        <v>61.900001529999997</v>
      </c>
      <c r="J130" s="18">
        <v>62.799999239999998</v>
      </c>
      <c r="K130" s="18">
        <v>63</v>
      </c>
      <c r="L130" s="18">
        <v>64</v>
      </c>
      <c r="M130" s="18">
        <v>64.33000183</v>
      </c>
      <c r="N130" s="18">
        <v>64.5</v>
      </c>
      <c r="O130" s="18">
        <v>64.88999939</v>
      </c>
      <c r="P130" s="18">
        <v>64.957369929999999</v>
      </c>
      <c r="Q130" s="18">
        <v>65.406622010000007</v>
      </c>
      <c r="R130" s="18">
        <v>65.89</v>
      </c>
      <c r="S130" s="18"/>
      <c r="T130" s="17"/>
      <c r="U130" s="18"/>
      <c r="W130" s="4">
        <v>0.82352941176470995</v>
      </c>
      <c r="X130" s="12" t="str">
        <f t="shared" si="7"/>
        <v/>
      </c>
    </row>
    <row r="131" spans="2:24" ht="14.25" customHeight="1">
      <c r="B131" s="12" t="str">
        <f t="shared" si="6"/>
        <v/>
      </c>
      <c r="C131" s="1" t="s">
        <v>125</v>
      </c>
      <c r="D131" s="1" t="s">
        <v>3</v>
      </c>
      <c r="E131" s="18">
        <v>10</v>
      </c>
      <c r="F131" s="18"/>
      <c r="G131" s="18"/>
      <c r="H131" s="18"/>
      <c r="I131" s="18"/>
      <c r="J131" s="18">
        <v>11.06000042</v>
      </c>
      <c r="K131" s="18">
        <v>11.35999966</v>
      </c>
      <c r="L131" s="18">
        <v>11.35999966</v>
      </c>
      <c r="M131" s="18"/>
      <c r="N131" s="18"/>
      <c r="O131" s="18"/>
      <c r="P131" s="18"/>
      <c r="Q131" s="18">
        <v>12</v>
      </c>
      <c r="R131" s="18"/>
      <c r="S131" s="17"/>
      <c r="T131" s="17"/>
      <c r="U131" s="18"/>
      <c r="W131" s="4">
        <v>0.29411764705881999</v>
      </c>
      <c r="X131" s="12" t="str">
        <f t="shared" si="7"/>
        <v/>
      </c>
    </row>
    <row r="132" spans="2:24" ht="14.25" customHeight="1">
      <c r="B132" s="12" t="str">
        <f t="shared" si="6"/>
        <v/>
      </c>
      <c r="C132" s="1" t="s">
        <v>163</v>
      </c>
      <c r="D132" s="1" t="s">
        <v>300</v>
      </c>
      <c r="E132" s="17"/>
      <c r="F132" s="17"/>
      <c r="G132" s="17"/>
      <c r="H132" s="17"/>
      <c r="I132" s="17"/>
      <c r="J132" s="17"/>
      <c r="K132" s="17">
        <v>25.659999849999998</v>
      </c>
      <c r="L132" s="17">
        <v>25.659999849999998</v>
      </c>
      <c r="M132" s="17">
        <v>24.950000760000002</v>
      </c>
      <c r="N132" s="17">
        <v>20.450000760000002</v>
      </c>
      <c r="O132" s="17">
        <v>20.61000061</v>
      </c>
      <c r="P132" s="17">
        <v>20.5</v>
      </c>
      <c r="Q132" s="17">
        <v>20.65</v>
      </c>
      <c r="R132" s="17">
        <v>20.65</v>
      </c>
      <c r="S132" s="17"/>
      <c r="T132" s="17"/>
      <c r="U132" s="18"/>
      <c r="W132" s="4">
        <v>0.47058823529412003</v>
      </c>
      <c r="X132" s="12" t="str">
        <f t="shared" si="7"/>
        <v/>
      </c>
    </row>
    <row r="133" spans="2:24" ht="14.25" customHeight="1">
      <c r="B133" s="12" t="str">
        <f t="shared" si="6"/>
        <v/>
      </c>
      <c r="C133" s="1" t="s">
        <v>91</v>
      </c>
      <c r="D133" s="1" t="s">
        <v>51</v>
      </c>
      <c r="E133" s="19">
        <v>19.05</v>
      </c>
      <c r="F133" s="18"/>
      <c r="G133" s="18"/>
      <c r="H133" s="18"/>
      <c r="I133" s="18"/>
      <c r="J133" s="18"/>
      <c r="K133" s="18"/>
      <c r="L133" s="18"/>
      <c r="M133" s="18"/>
      <c r="N133" s="18">
        <v>15</v>
      </c>
      <c r="O133" s="18"/>
      <c r="P133" s="18"/>
      <c r="Q133" s="18"/>
      <c r="R133" s="18"/>
      <c r="S133" s="17"/>
      <c r="T133" s="17"/>
      <c r="U133" s="18"/>
      <c r="W133" s="4">
        <v>0.11764705882353001</v>
      </c>
      <c r="X133" s="12" t="str">
        <f t="shared" si="7"/>
        <v/>
      </c>
    </row>
    <row r="134" spans="2:24" ht="14.25" customHeight="1">
      <c r="B134" s="12" t="str">
        <f t="shared" ref="B134:B165" si="8">X134</f>
        <v/>
      </c>
      <c r="C134" s="1" t="s">
        <v>181</v>
      </c>
      <c r="D134" s="1" t="s">
        <v>123</v>
      </c>
      <c r="E134" s="18">
        <v>73.5</v>
      </c>
      <c r="F134" s="18">
        <v>72</v>
      </c>
      <c r="G134" s="18">
        <v>74</v>
      </c>
      <c r="H134" s="18">
        <v>74.5</v>
      </c>
      <c r="I134" s="18">
        <v>75.5</v>
      </c>
      <c r="J134" s="18">
        <v>76</v>
      </c>
      <c r="K134" s="18">
        <v>77</v>
      </c>
      <c r="L134" s="18">
        <v>77.5</v>
      </c>
      <c r="M134" s="18"/>
      <c r="N134" s="18"/>
      <c r="O134" s="18"/>
      <c r="P134" s="18">
        <v>79.591046059999996</v>
      </c>
      <c r="Q134" s="18">
        <v>80.45</v>
      </c>
      <c r="R134" s="18"/>
      <c r="S134" s="18"/>
      <c r="T134" s="17"/>
      <c r="U134" s="18"/>
      <c r="W134" s="4">
        <v>0.58823529411764996</v>
      </c>
      <c r="X134" s="12" t="str">
        <f t="shared" ref="X134:X165" si="9">IF((W134&gt;0),IF((W134&lt;0.059),D134,""),"")</f>
        <v/>
      </c>
    </row>
    <row r="135" spans="2:24" ht="14.25" customHeight="1">
      <c r="B135" s="12" t="str">
        <f t="shared" si="8"/>
        <v/>
      </c>
      <c r="C135" s="1" t="s">
        <v>329</v>
      </c>
      <c r="D135" s="1" t="s">
        <v>295</v>
      </c>
      <c r="E135" s="18">
        <v>20.399999619999999</v>
      </c>
      <c r="F135" s="18">
        <v>30</v>
      </c>
      <c r="G135" s="18">
        <v>30</v>
      </c>
      <c r="H135" s="18">
        <v>30</v>
      </c>
      <c r="I135" s="18">
        <v>30</v>
      </c>
      <c r="J135" s="18">
        <v>30</v>
      </c>
      <c r="K135" s="18">
        <v>27.659999849999998</v>
      </c>
      <c r="L135" s="18"/>
      <c r="M135" s="18">
        <v>33.215139550000004</v>
      </c>
      <c r="N135" s="18">
        <v>36.707495569999999</v>
      </c>
      <c r="O135" s="18">
        <v>39.656244559999998</v>
      </c>
      <c r="P135" s="18">
        <v>42.112215980000002</v>
      </c>
      <c r="Q135" s="18">
        <v>41.250971890000002</v>
      </c>
      <c r="R135" s="18">
        <v>43.46</v>
      </c>
      <c r="S135" s="17"/>
      <c r="T135" s="17"/>
      <c r="U135" s="18"/>
      <c r="W135" s="4">
        <v>0.76470588235294001</v>
      </c>
      <c r="X135" s="12" t="str">
        <f t="shared" si="9"/>
        <v/>
      </c>
    </row>
    <row r="136" spans="2:24" ht="14.25" customHeight="1">
      <c r="B136" s="12" t="str">
        <f t="shared" si="8"/>
        <v/>
      </c>
      <c r="C136" s="1" t="s">
        <v>99</v>
      </c>
      <c r="D136" s="1" t="s">
        <v>239</v>
      </c>
      <c r="E136" s="18">
        <v>45</v>
      </c>
      <c r="F136" s="18">
        <v>44</v>
      </c>
      <c r="G136" s="18">
        <v>44</v>
      </c>
      <c r="H136" s="18">
        <v>53</v>
      </c>
      <c r="I136" s="18">
        <v>55</v>
      </c>
      <c r="J136" s="18">
        <v>56</v>
      </c>
      <c r="K136" s="18">
        <v>59</v>
      </c>
      <c r="L136" s="18"/>
      <c r="M136" s="18">
        <v>60</v>
      </c>
      <c r="N136" s="18">
        <v>64.699996949999999</v>
      </c>
      <c r="O136" s="18"/>
      <c r="P136" s="18">
        <v>65.360183719999995</v>
      </c>
      <c r="Q136" s="18"/>
      <c r="R136" s="18"/>
      <c r="S136" s="17"/>
      <c r="T136" s="17"/>
      <c r="U136" s="18"/>
      <c r="W136" s="4">
        <v>0.58823529411764996</v>
      </c>
      <c r="X136" s="12" t="str">
        <f t="shared" si="9"/>
        <v/>
      </c>
    </row>
    <row r="137" spans="2:24" ht="14.25" customHeight="1">
      <c r="B137" s="12" t="str">
        <f t="shared" si="8"/>
        <v/>
      </c>
      <c r="C137" s="1" t="s">
        <v>72</v>
      </c>
      <c r="D137" s="1" t="s">
        <v>374</v>
      </c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8"/>
      <c r="W137" s="4">
        <v>0</v>
      </c>
      <c r="X137" s="12" t="str">
        <f t="shared" si="9"/>
        <v/>
      </c>
    </row>
    <row r="138" spans="2:24" ht="14.25" customHeight="1">
      <c r="B138" s="12" t="str">
        <f t="shared" si="8"/>
        <v/>
      </c>
      <c r="C138" s="1" t="s">
        <v>94</v>
      </c>
      <c r="D138" s="1" t="s">
        <v>187</v>
      </c>
      <c r="E138" s="18">
        <v>33.5</v>
      </c>
      <c r="F138" s="18">
        <v>33.599998470000003</v>
      </c>
      <c r="G138" s="18">
        <v>29.399999619999999</v>
      </c>
      <c r="H138" s="18">
        <v>28.100000380000001</v>
      </c>
      <c r="I138" s="18">
        <v>34.599998470000003</v>
      </c>
      <c r="J138" s="18">
        <v>34.599998470000003</v>
      </c>
      <c r="K138" s="18">
        <v>34.599998470000003</v>
      </c>
      <c r="L138" s="18"/>
      <c r="M138" s="18"/>
      <c r="N138" s="18"/>
      <c r="O138" s="18"/>
      <c r="P138" s="18">
        <v>34.122634470000001</v>
      </c>
      <c r="Q138" s="18">
        <v>36.65</v>
      </c>
      <c r="R138" s="18">
        <v>38.14</v>
      </c>
      <c r="S138" s="17"/>
      <c r="T138" s="17"/>
      <c r="U138" s="18"/>
      <c r="W138" s="4">
        <v>0.58823529411764996</v>
      </c>
      <c r="X138" s="12" t="str">
        <f t="shared" si="9"/>
        <v/>
      </c>
    </row>
    <row r="139" spans="2:24" ht="14.25" customHeight="1">
      <c r="B139" s="12" t="str">
        <f t="shared" si="8"/>
        <v/>
      </c>
      <c r="C139" s="1" t="s">
        <v>289</v>
      </c>
      <c r="D139" s="1" t="s">
        <v>38</v>
      </c>
      <c r="E139" s="17">
        <v>3.4000000950000002</v>
      </c>
      <c r="F139" s="17">
        <v>3.5</v>
      </c>
      <c r="G139" s="17">
        <v>3.5</v>
      </c>
      <c r="H139" s="17">
        <v>3.5</v>
      </c>
      <c r="I139" s="17">
        <v>3.5</v>
      </c>
      <c r="J139" s="17">
        <v>3.5</v>
      </c>
      <c r="K139" s="17">
        <v>3.5</v>
      </c>
      <c r="L139" s="17"/>
      <c r="M139" s="17"/>
      <c r="N139" s="17"/>
      <c r="O139" s="17"/>
      <c r="P139" s="17"/>
      <c r="Q139" s="17"/>
      <c r="R139" s="17"/>
      <c r="S139" s="17"/>
      <c r="T139" s="17"/>
      <c r="U139" s="18"/>
      <c r="W139" s="4">
        <v>0.41176470588234998</v>
      </c>
      <c r="X139" s="12" t="str">
        <f t="shared" si="9"/>
        <v/>
      </c>
    </row>
    <row r="140" spans="2:24" ht="14.25" customHeight="1">
      <c r="B140" s="12" t="str">
        <f t="shared" si="8"/>
        <v/>
      </c>
      <c r="C140" s="1" t="s">
        <v>338</v>
      </c>
      <c r="D140" s="1" t="s">
        <v>97</v>
      </c>
      <c r="E140" s="18"/>
      <c r="F140" s="18"/>
      <c r="G140" s="18"/>
      <c r="H140" s="18"/>
      <c r="I140" s="18"/>
      <c r="J140" s="18">
        <v>50.799999239999998</v>
      </c>
      <c r="K140" s="18">
        <v>50.799999239999998</v>
      </c>
      <c r="L140" s="18"/>
      <c r="M140" s="18"/>
      <c r="N140" s="18"/>
      <c r="O140" s="18"/>
      <c r="P140" s="18"/>
      <c r="Q140" s="18"/>
      <c r="R140" s="18"/>
      <c r="S140" s="17"/>
      <c r="T140" s="17"/>
      <c r="U140" s="18"/>
      <c r="W140" s="4">
        <v>0.11764705882353001</v>
      </c>
      <c r="X140" s="12" t="str">
        <f t="shared" si="9"/>
        <v/>
      </c>
    </row>
    <row r="141" spans="2:24" ht="14.25" customHeight="1">
      <c r="B141" s="12" t="str">
        <f t="shared" si="8"/>
        <v/>
      </c>
      <c r="C141" s="1" t="s">
        <v>153</v>
      </c>
      <c r="D141" s="1" t="s">
        <v>55</v>
      </c>
      <c r="E141" s="18">
        <v>11.399999619999999</v>
      </c>
      <c r="F141" s="18">
        <v>11.600000380000001</v>
      </c>
      <c r="G141" s="18">
        <v>11.80000019</v>
      </c>
      <c r="H141" s="18">
        <v>12.97000027</v>
      </c>
      <c r="I141" s="18">
        <v>13.039999959999999</v>
      </c>
      <c r="J141" s="18">
        <v>13.350000380000001</v>
      </c>
      <c r="K141" s="18">
        <v>13.35999966</v>
      </c>
      <c r="L141" s="18">
        <v>14.399999619999999</v>
      </c>
      <c r="M141" s="18">
        <v>13.10999966</v>
      </c>
      <c r="N141" s="18">
        <v>14.399999619999999</v>
      </c>
      <c r="O141" s="18"/>
      <c r="P141" s="18">
        <v>13.88094093</v>
      </c>
      <c r="Q141" s="18"/>
      <c r="R141" s="18"/>
      <c r="S141" s="17"/>
      <c r="T141" s="17"/>
      <c r="U141" s="18"/>
      <c r="W141" s="4">
        <v>0.64705882352941002</v>
      </c>
      <c r="X141" s="12" t="str">
        <f t="shared" si="9"/>
        <v/>
      </c>
    </row>
    <row r="142" spans="2:24" ht="14.25" customHeight="1">
      <c r="B142" s="12" t="str">
        <f t="shared" si="8"/>
        <v/>
      </c>
      <c r="C142" s="1" t="s">
        <v>28</v>
      </c>
      <c r="D142" s="1" t="s">
        <v>171</v>
      </c>
      <c r="E142" s="18">
        <v>16.700000760000002</v>
      </c>
      <c r="F142" s="18">
        <v>17.399999619999999</v>
      </c>
      <c r="G142" s="18">
        <v>17.700000760000002</v>
      </c>
      <c r="H142" s="18">
        <v>19.799999239999998</v>
      </c>
      <c r="I142" s="18">
        <v>20</v>
      </c>
      <c r="J142" s="18"/>
      <c r="K142" s="18"/>
      <c r="L142" s="18">
        <v>9.5</v>
      </c>
      <c r="M142" s="18">
        <v>9.8999996190000008</v>
      </c>
      <c r="N142" s="18"/>
      <c r="O142" s="18"/>
      <c r="P142" s="18"/>
      <c r="Q142" s="18"/>
      <c r="R142" s="18"/>
      <c r="S142" s="17"/>
      <c r="T142" s="17"/>
      <c r="U142" s="18"/>
      <c r="W142" s="4">
        <v>0.41176470588234998</v>
      </c>
      <c r="X142" s="12" t="str">
        <f t="shared" si="9"/>
        <v/>
      </c>
    </row>
    <row r="143" spans="2:24" ht="14.25" customHeight="1">
      <c r="B143" s="12" t="str">
        <f t="shared" si="8"/>
        <v/>
      </c>
      <c r="C143" s="1" t="s">
        <v>302</v>
      </c>
      <c r="D143" s="1" t="s">
        <v>119</v>
      </c>
      <c r="E143" s="18">
        <v>65.300003050000001</v>
      </c>
      <c r="F143" s="18">
        <v>65.400001529999997</v>
      </c>
      <c r="G143" s="18">
        <v>65.699996949999999</v>
      </c>
      <c r="H143" s="18">
        <v>65.599998470000003</v>
      </c>
      <c r="I143" s="18">
        <v>65.599998470000003</v>
      </c>
      <c r="J143" s="18">
        <v>68.300003050000001</v>
      </c>
      <c r="K143" s="18">
        <v>68.300003050000001</v>
      </c>
      <c r="L143" s="18"/>
      <c r="M143" s="18">
        <v>69.660003660000001</v>
      </c>
      <c r="N143" s="18"/>
      <c r="O143" s="18">
        <v>66.528479320000002</v>
      </c>
      <c r="P143" s="18">
        <v>66.788346730000001</v>
      </c>
      <c r="Q143" s="18">
        <v>67.591072879999999</v>
      </c>
      <c r="R143" s="18">
        <v>68.151292470000001</v>
      </c>
      <c r="S143" s="18"/>
      <c r="T143" s="17"/>
      <c r="U143" s="18"/>
      <c r="W143" s="4">
        <v>0.70588235294117996</v>
      </c>
      <c r="X143" s="12" t="str">
        <f t="shared" si="9"/>
        <v/>
      </c>
    </row>
    <row r="144" spans="2:24" ht="14.25" customHeight="1">
      <c r="B144" s="12" t="str">
        <f t="shared" si="8"/>
        <v/>
      </c>
      <c r="C144" s="1" t="s">
        <v>340</v>
      </c>
      <c r="D144" s="1" t="s">
        <v>73</v>
      </c>
      <c r="E144" s="18"/>
      <c r="F144" s="18"/>
      <c r="G144" s="18"/>
      <c r="H144" s="18"/>
      <c r="I144" s="18">
        <v>86</v>
      </c>
      <c r="J144" s="18">
        <v>86</v>
      </c>
      <c r="K144" s="18"/>
      <c r="L144" s="18"/>
      <c r="M144" s="18"/>
      <c r="N144" s="18">
        <v>86</v>
      </c>
      <c r="O144" s="18"/>
      <c r="P144" s="18"/>
      <c r="Q144" s="18"/>
      <c r="R144" s="18"/>
      <c r="S144" s="18"/>
      <c r="T144" s="17"/>
      <c r="U144" s="18"/>
      <c r="W144" s="4">
        <v>0.17647058823528999</v>
      </c>
      <c r="X144" s="12" t="str">
        <f t="shared" si="9"/>
        <v/>
      </c>
    </row>
    <row r="145" spans="2:24" ht="14.25" customHeight="1">
      <c r="B145" s="12" t="str">
        <f t="shared" si="8"/>
        <v/>
      </c>
      <c r="C145" s="1" t="s">
        <v>142</v>
      </c>
      <c r="D145" s="1" t="s">
        <v>372</v>
      </c>
      <c r="E145" s="18">
        <v>90</v>
      </c>
      <c r="F145" s="18">
        <v>90</v>
      </c>
      <c r="G145" s="18">
        <v>90</v>
      </c>
      <c r="H145" s="18">
        <v>90</v>
      </c>
      <c r="I145" s="18">
        <v>90</v>
      </c>
      <c r="J145" s="18">
        <v>90</v>
      </c>
      <c r="K145" s="18"/>
      <c r="L145" s="18"/>
      <c r="M145" s="18"/>
      <c r="N145" s="18"/>
      <c r="O145" s="18"/>
      <c r="P145" s="18"/>
      <c r="Q145" s="18"/>
      <c r="R145" s="18"/>
      <c r="S145" s="17"/>
      <c r="T145" s="17"/>
      <c r="U145" s="18"/>
      <c r="W145" s="4">
        <v>0.35294117647058998</v>
      </c>
      <c r="X145" s="12" t="str">
        <f t="shared" si="9"/>
        <v/>
      </c>
    </row>
    <row r="146" spans="2:24" ht="14.25" customHeight="1">
      <c r="B146" s="12" t="str">
        <f t="shared" si="8"/>
        <v/>
      </c>
      <c r="C146" s="1" t="s">
        <v>1</v>
      </c>
      <c r="D146" s="1" t="s">
        <v>90</v>
      </c>
      <c r="E146" s="18">
        <v>51</v>
      </c>
      <c r="F146" s="18">
        <v>52.299999239999998</v>
      </c>
      <c r="G146" s="18">
        <v>52.799999239999998</v>
      </c>
      <c r="H146" s="18">
        <v>53.099998470000003</v>
      </c>
      <c r="I146" s="18">
        <v>53</v>
      </c>
      <c r="J146" s="18">
        <v>49.5</v>
      </c>
      <c r="K146" s="18">
        <v>50.5</v>
      </c>
      <c r="L146" s="18">
        <v>50.400001529999997</v>
      </c>
      <c r="M146" s="18">
        <v>30.200000760000002</v>
      </c>
      <c r="N146" s="18">
        <v>30.200000760000002</v>
      </c>
      <c r="O146" s="18"/>
      <c r="P146" s="18"/>
      <c r="Q146" s="18"/>
      <c r="R146" s="18"/>
      <c r="S146" s="17"/>
      <c r="T146" s="17"/>
      <c r="U146" s="18"/>
      <c r="W146" s="4">
        <v>0.58823529411764996</v>
      </c>
      <c r="X146" s="12" t="str">
        <f t="shared" si="9"/>
        <v/>
      </c>
    </row>
    <row r="147" spans="2:24" ht="14.25" customHeight="1">
      <c r="B147" s="12" t="str">
        <f t="shared" si="8"/>
        <v/>
      </c>
      <c r="C147" s="1" t="s">
        <v>398</v>
      </c>
      <c r="D147" s="1" t="s">
        <v>103</v>
      </c>
      <c r="E147" s="18"/>
      <c r="F147" s="18"/>
      <c r="G147" s="18"/>
      <c r="H147" s="18">
        <v>67.199996949999999</v>
      </c>
      <c r="I147" s="18">
        <v>67.400001529999997</v>
      </c>
      <c r="J147" s="18"/>
      <c r="K147" s="18"/>
      <c r="L147" s="18"/>
      <c r="M147" s="18"/>
      <c r="N147" s="18"/>
      <c r="O147" s="18">
        <v>84.400001529999997</v>
      </c>
      <c r="P147" s="18">
        <v>80.91999817</v>
      </c>
      <c r="Q147" s="18">
        <v>80.06</v>
      </c>
      <c r="R147" s="18"/>
      <c r="S147" s="17"/>
      <c r="T147" s="17"/>
      <c r="U147" s="18"/>
      <c r="W147" s="4">
        <v>0.29411764705881999</v>
      </c>
      <c r="X147" s="12" t="str">
        <f t="shared" si="9"/>
        <v/>
      </c>
    </row>
    <row r="148" spans="2:24" ht="14.25" customHeight="1">
      <c r="B148" s="12" t="str">
        <f t="shared" si="8"/>
        <v/>
      </c>
      <c r="C148" s="1" t="s">
        <v>290</v>
      </c>
      <c r="D148" s="1" t="s">
        <v>363</v>
      </c>
      <c r="E148" s="17">
        <v>9.8999996190000008</v>
      </c>
      <c r="F148" s="17"/>
      <c r="G148" s="17"/>
      <c r="H148" s="17"/>
      <c r="I148" s="17"/>
      <c r="J148" s="17"/>
      <c r="K148" s="17"/>
      <c r="L148" s="17"/>
      <c r="M148" s="17"/>
      <c r="N148" s="17">
        <v>19</v>
      </c>
      <c r="O148" s="17"/>
      <c r="P148" s="17"/>
      <c r="Q148" s="17"/>
      <c r="R148" s="17"/>
      <c r="S148" s="17"/>
      <c r="T148" s="17"/>
      <c r="U148" s="18"/>
      <c r="W148" s="4">
        <v>0.11764705882353001</v>
      </c>
      <c r="X148" s="12" t="str">
        <f t="shared" si="9"/>
        <v/>
      </c>
    </row>
    <row r="149" spans="2:24" ht="14.25" customHeight="1">
      <c r="B149" s="12" t="str">
        <f t="shared" si="8"/>
        <v/>
      </c>
      <c r="C149" s="1" t="s">
        <v>325</v>
      </c>
      <c r="D149" s="1" t="s">
        <v>364</v>
      </c>
      <c r="E149" s="17">
        <v>42.5</v>
      </c>
      <c r="F149" s="17">
        <v>42.5</v>
      </c>
      <c r="G149" s="17">
        <v>42.5</v>
      </c>
      <c r="H149" s="17">
        <v>42.5</v>
      </c>
      <c r="I149" s="17">
        <v>42.5</v>
      </c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8"/>
      <c r="W149" s="4">
        <v>0.29411764705881999</v>
      </c>
      <c r="X149" s="12" t="str">
        <f t="shared" si="9"/>
        <v/>
      </c>
    </row>
    <row r="150" spans="2:24" ht="14.25" customHeight="1">
      <c r="B150" s="12" t="str">
        <f t="shared" si="8"/>
        <v/>
      </c>
      <c r="C150" s="1" t="s">
        <v>143</v>
      </c>
      <c r="D150" s="1" t="s">
        <v>147</v>
      </c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8"/>
      <c r="W150" s="4">
        <v>0</v>
      </c>
      <c r="X150" s="12" t="str">
        <f t="shared" si="9"/>
        <v/>
      </c>
    </row>
    <row r="151" spans="2:24" ht="14.25" customHeight="1">
      <c r="B151" s="12" t="str">
        <f t="shared" si="8"/>
        <v/>
      </c>
      <c r="C151" s="1" t="s">
        <v>115</v>
      </c>
      <c r="D151" s="1" t="s">
        <v>250</v>
      </c>
      <c r="E151" s="17"/>
      <c r="F151" s="17"/>
      <c r="G151" s="17"/>
      <c r="H151" s="17">
        <v>63</v>
      </c>
      <c r="I151" s="17">
        <v>65</v>
      </c>
      <c r="J151" s="17">
        <v>68</v>
      </c>
      <c r="K151" s="17">
        <v>70</v>
      </c>
      <c r="L151" s="17">
        <v>70</v>
      </c>
      <c r="M151" s="17">
        <v>70</v>
      </c>
      <c r="N151" s="17"/>
      <c r="O151" s="17"/>
      <c r="P151" s="17"/>
      <c r="Q151" s="17"/>
      <c r="R151" s="17"/>
      <c r="S151" s="17"/>
      <c r="T151" s="17"/>
      <c r="U151" s="18"/>
      <c r="W151" s="4">
        <v>0.35294117647058998</v>
      </c>
      <c r="X151" s="12" t="str">
        <f t="shared" si="9"/>
        <v/>
      </c>
    </row>
    <row r="152" spans="2:24" ht="14.25" customHeight="1">
      <c r="B152" s="12" t="str">
        <f t="shared" si="8"/>
        <v/>
      </c>
      <c r="C152" s="1" t="s">
        <v>314</v>
      </c>
      <c r="D152" s="1" t="s">
        <v>85</v>
      </c>
      <c r="E152" s="17"/>
      <c r="F152" s="17"/>
      <c r="G152" s="17"/>
      <c r="H152" s="17"/>
      <c r="I152" s="17"/>
      <c r="J152" s="17"/>
      <c r="K152" s="17">
        <v>14.210000040000001</v>
      </c>
      <c r="L152" s="17"/>
      <c r="M152" s="17"/>
      <c r="N152" s="17"/>
      <c r="O152" s="17"/>
      <c r="P152" s="17"/>
      <c r="Q152" s="17"/>
      <c r="R152" s="17"/>
      <c r="S152" s="17"/>
      <c r="T152" s="17"/>
      <c r="U152" s="20">
        <v>9.9470000279999997</v>
      </c>
      <c r="W152" s="4">
        <v>0.11764705882353001</v>
      </c>
      <c r="X152" s="12" t="str">
        <f t="shared" si="9"/>
        <v/>
      </c>
    </row>
    <row r="153" spans="2:24" ht="14.25" customHeight="1">
      <c r="B153" s="12" t="str">
        <f t="shared" si="8"/>
        <v/>
      </c>
      <c r="C153" s="1" t="s">
        <v>369</v>
      </c>
      <c r="D153" s="1" t="s">
        <v>110</v>
      </c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8"/>
      <c r="W153" s="4">
        <v>0</v>
      </c>
      <c r="X153" s="12" t="str">
        <f t="shared" si="9"/>
        <v/>
      </c>
    </row>
    <row r="154" spans="2:24" ht="14.25" customHeight="1">
      <c r="B154" s="12" t="str">
        <f t="shared" si="8"/>
        <v/>
      </c>
      <c r="C154" s="1" t="s">
        <v>48</v>
      </c>
      <c r="D154" s="1" t="s">
        <v>56</v>
      </c>
      <c r="E154" s="17">
        <v>68</v>
      </c>
      <c r="F154" s="17">
        <v>68.099998470000003</v>
      </c>
      <c r="G154" s="17">
        <v>68.099998470000003</v>
      </c>
      <c r="H154" s="17">
        <v>68.099998470000003</v>
      </c>
      <c r="I154" s="17">
        <v>68.099998470000003</v>
      </c>
      <c r="J154" s="17">
        <v>68.099998470000003</v>
      </c>
      <c r="K154" s="17">
        <v>68.099998470000003</v>
      </c>
      <c r="L154" s="17"/>
      <c r="M154" s="17"/>
      <c r="N154" s="17"/>
      <c r="O154" s="17"/>
      <c r="P154" s="17"/>
      <c r="Q154" s="17"/>
      <c r="R154" s="17"/>
      <c r="S154" s="17"/>
      <c r="T154" s="17"/>
      <c r="U154" s="18"/>
      <c r="W154" s="4">
        <v>0.41176470588234998</v>
      </c>
      <c r="X154" s="12" t="str">
        <f t="shared" si="9"/>
        <v/>
      </c>
    </row>
    <row r="155" spans="2:24" ht="14.25" customHeight="1">
      <c r="B155" s="12" t="str">
        <f t="shared" si="8"/>
        <v/>
      </c>
      <c r="C155" s="1" t="s">
        <v>204</v>
      </c>
      <c r="D155" s="1" t="s">
        <v>96</v>
      </c>
      <c r="E155" s="18">
        <v>30.100000380000001</v>
      </c>
      <c r="F155" s="18">
        <v>29.799999239999998</v>
      </c>
      <c r="G155" s="18">
        <v>30.100000380000001</v>
      </c>
      <c r="H155" s="18"/>
      <c r="I155" s="18"/>
      <c r="J155" s="18">
        <v>29.899999619999999</v>
      </c>
      <c r="K155" s="18"/>
      <c r="L155" s="18"/>
      <c r="M155" s="18"/>
      <c r="N155" s="18"/>
      <c r="O155" s="18">
        <v>21.469999309999999</v>
      </c>
      <c r="P155" s="18"/>
      <c r="Q155" s="18"/>
      <c r="R155" s="18"/>
      <c r="S155" s="17"/>
      <c r="T155" s="17"/>
      <c r="U155" s="18"/>
      <c r="W155" s="4">
        <v>0.29411764705881999</v>
      </c>
      <c r="X155" s="12" t="str">
        <f t="shared" si="9"/>
        <v/>
      </c>
    </row>
    <row r="156" spans="2:24" ht="14.25" customHeight="1">
      <c r="B156" s="12" t="str">
        <f t="shared" si="8"/>
        <v/>
      </c>
      <c r="C156" s="1" t="s">
        <v>241</v>
      </c>
      <c r="D156" s="1" t="s">
        <v>134</v>
      </c>
      <c r="E156" s="18">
        <v>28.5</v>
      </c>
      <c r="F156" s="18">
        <v>29.299999239999998</v>
      </c>
      <c r="G156" s="18">
        <v>29.299999239999998</v>
      </c>
      <c r="H156" s="18">
        <v>29.299999239999998</v>
      </c>
      <c r="I156" s="18">
        <v>29.299999239999998</v>
      </c>
      <c r="J156" s="18">
        <v>29.299999239999998</v>
      </c>
      <c r="K156" s="18"/>
      <c r="L156" s="18"/>
      <c r="M156" s="18">
        <v>29.260000229999999</v>
      </c>
      <c r="N156" s="18"/>
      <c r="O156" s="18"/>
      <c r="P156" s="18"/>
      <c r="Q156" s="18"/>
      <c r="R156" s="18"/>
      <c r="S156" s="17"/>
      <c r="T156" s="17"/>
      <c r="U156" s="18"/>
      <c r="W156" s="4">
        <v>0.41176470588234998</v>
      </c>
      <c r="X156" s="12" t="str">
        <f t="shared" si="9"/>
        <v/>
      </c>
    </row>
    <row r="157" spans="2:24" ht="14.25" customHeight="1">
      <c r="B157" s="12" t="str">
        <f t="shared" si="8"/>
        <v/>
      </c>
      <c r="C157" s="1" t="s">
        <v>313</v>
      </c>
      <c r="D157" s="1" t="s">
        <v>246</v>
      </c>
      <c r="E157" s="18"/>
      <c r="F157" s="18"/>
      <c r="G157" s="18"/>
      <c r="H157" s="18"/>
      <c r="I157" s="18"/>
      <c r="J157" s="18">
        <v>62.700000760000002</v>
      </c>
      <c r="K157" s="18"/>
      <c r="L157" s="18"/>
      <c r="M157" s="18"/>
      <c r="N157" s="18"/>
      <c r="O157" s="18"/>
      <c r="P157" s="18"/>
      <c r="Q157" s="18"/>
      <c r="R157" s="18">
        <v>47.74</v>
      </c>
      <c r="S157" s="17"/>
      <c r="T157" s="17"/>
      <c r="U157" s="18"/>
      <c r="W157" s="4">
        <v>0.11764705882353001</v>
      </c>
      <c r="X157" s="12" t="str">
        <f t="shared" si="9"/>
        <v/>
      </c>
    </row>
    <row r="158" spans="2:24" ht="14.25" customHeight="1">
      <c r="B158" s="12" t="str">
        <f t="shared" si="8"/>
        <v/>
      </c>
      <c r="C158" s="1" t="s">
        <v>9</v>
      </c>
      <c r="D158" s="1" t="s">
        <v>58</v>
      </c>
      <c r="E158" s="17">
        <v>62.799999239999998</v>
      </c>
      <c r="F158" s="17">
        <v>80.300003050000001</v>
      </c>
      <c r="G158" s="17">
        <v>84.5</v>
      </c>
      <c r="H158" s="17"/>
      <c r="I158" s="17"/>
      <c r="J158" s="17"/>
      <c r="K158" s="17"/>
      <c r="L158" s="17"/>
      <c r="M158" s="17">
        <v>96</v>
      </c>
      <c r="N158" s="17"/>
      <c r="O158" s="17">
        <v>95.983935740000007</v>
      </c>
      <c r="P158" s="17">
        <v>96.015936249999996</v>
      </c>
      <c r="Q158" s="17">
        <v>96.456692910000001</v>
      </c>
      <c r="R158" s="17">
        <v>96.456692910000001</v>
      </c>
      <c r="S158" s="17"/>
      <c r="T158" s="17"/>
      <c r="U158" s="18"/>
      <c r="W158" s="4">
        <v>0.47058823529412003</v>
      </c>
      <c r="X158" s="12" t="str">
        <f t="shared" si="9"/>
        <v/>
      </c>
    </row>
    <row r="159" spans="2:24" ht="14.25" customHeight="1">
      <c r="B159" s="12" t="str">
        <f t="shared" si="8"/>
        <v/>
      </c>
      <c r="C159" s="1" t="s">
        <v>342</v>
      </c>
      <c r="D159" s="1" t="s">
        <v>80</v>
      </c>
      <c r="E159" s="17">
        <v>8</v>
      </c>
      <c r="F159" s="17">
        <v>8</v>
      </c>
      <c r="G159" s="17">
        <v>8</v>
      </c>
      <c r="H159" s="17">
        <v>8</v>
      </c>
      <c r="I159" s="17">
        <v>7.9000000950000002</v>
      </c>
      <c r="J159" s="17">
        <v>7.9000000950000002</v>
      </c>
      <c r="K159" s="17"/>
      <c r="L159" s="17">
        <v>8</v>
      </c>
      <c r="M159" s="17"/>
      <c r="N159" s="17"/>
      <c r="O159" s="17"/>
      <c r="P159" s="17"/>
      <c r="Q159" s="17"/>
      <c r="R159" s="17"/>
      <c r="S159" s="17"/>
      <c r="T159" s="17"/>
      <c r="U159" s="18"/>
      <c r="W159" s="4">
        <v>0.41176470588234998</v>
      </c>
      <c r="X159" s="12" t="str">
        <f t="shared" si="9"/>
        <v/>
      </c>
    </row>
    <row r="160" spans="2:24" ht="14.25" customHeight="1">
      <c r="B160" s="12" t="str">
        <f t="shared" si="8"/>
        <v/>
      </c>
      <c r="C160" s="1" t="s">
        <v>271</v>
      </c>
      <c r="D160" s="1" t="s">
        <v>396</v>
      </c>
      <c r="E160" s="18">
        <v>97.300003050000001</v>
      </c>
      <c r="F160" s="18">
        <v>97.300003050000001</v>
      </c>
      <c r="G160" s="18">
        <v>97.300003050000001</v>
      </c>
      <c r="H160" s="18">
        <v>100</v>
      </c>
      <c r="I160" s="18">
        <v>100</v>
      </c>
      <c r="J160" s="18">
        <v>100</v>
      </c>
      <c r="K160" s="18">
        <v>100</v>
      </c>
      <c r="L160" s="18">
        <v>100</v>
      </c>
      <c r="M160" s="18">
        <v>100</v>
      </c>
      <c r="N160" s="18">
        <v>100</v>
      </c>
      <c r="O160" s="18">
        <v>100</v>
      </c>
      <c r="P160" s="18">
        <v>100</v>
      </c>
      <c r="Q160" s="18">
        <v>100</v>
      </c>
      <c r="R160" s="18">
        <v>100</v>
      </c>
      <c r="S160" s="17"/>
      <c r="T160" s="17"/>
      <c r="U160" s="18"/>
      <c r="W160" s="4">
        <v>0.82352941176470995</v>
      </c>
      <c r="X160" s="12" t="str">
        <f t="shared" si="9"/>
        <v/>
      </c>
    </row>
    <row r="161" spans="2:24" ht="14.25" customHeight="1">
      <c r="B161" s="12" t="str">
        <f t="shared" si="8"/>
        <v/>
      </c>
      <c r="C161" s="1" t="s">
        <v>69</v>
      </c>
      <c r="D161" s="1" t="s">
        <v>223</v>
      </c>
      <c r="E161" s="18">
        <v>85.800003050000001</v>
      </c>
      <c r="F161" s="18">
        <v>85.800003050000001</v>
      </c>
      <c r="G161" s="18">
        <v>86.599998470000003</v>
      </c>
      <c r="H161" s="18">
        <v>86.699996949999999</v>
      </c>
      <c r="I161" s="18"/>
      <c r="J161" s="18">
        <v>87</v>
      </c>
      <c r="K161" s="18">
        <v>87</v>
      </c>
      <c r="L161" s="18">
        <v>87.300003050000001</v>
      </c>
      <c r="M161" s="18">
        <v>87.309997559999999</v>
      </c>
      <c r="N161" s="18">
        <v>87.309997559999999</v>
      </c>
      <c r="O161" s="18">
        <v>87.019996640000002</v>
      </c>
      <c r="P161" s="18">
        <v>87.02999878</v>
      </c>
      <c r="Q161" s="18"/>
      <c r="R161" s="18"/>
      <c r="S161" s="18"/>
      <c r="T161" s="17"/>
      <c r="U161" s="18"/>
      <c r="W161" s="4">
        <v>0.64705882352941002</v>
      </c>
      <c r="X161" s="12" t="str">
        <f t="shared" si="9"/>
        <v/>
      </c>
    </row>
    <row r="162" spans="2:24" ht="14.25" customHeight="1">
      <c r="B162" s="12" t="str">
        <f t="shared" si="8"/>
        <v/>
      </c>
      <c r="C162" s="1" t="s">
        <v>71</v>
      </c>
      <c r="D162" s="1" t="s">
        <v>207</v>
      </c>
      <c r="E162" s="18">
        <v>80.199996949999999</v>
      </c>
      <c r="F162" s="18">
        <v>81.199996949999999</v>
      </c>
      <c r="G162" s="18">
        <v>81.699996949999999</v>
      </c>
      <c r="H162" s="18">
        <v>100</v>
      </c>
      <c r="I162" s="18"/>
      <c r="J162" s="18">
        <v>100</v>
      </c>
      <c r="K162" s="18">
        <v>100</v>
      </c>
      <c r="L162" s="18">
        <v>100</v>
      </c>
      <c r="M162" s="18">
        <v>100</v>
      </c>
      <c r="N162" s="18">
        <v>100</v>
      </c>
      <c r="O162" s="18">
        <v>100</v>
      </c>
      <c r="P162" s="18">
        <v>100</v>
      </c>
      <c r="Q162" s="18">
        <v>100</v>
      </c>
      <c r="R162" s="18">
        <v>100</v>
      </c>
      <c r="S162" s="17"/>
      <c r="T162" s="17"/>
      <c r="U162" s="18"/>
      <c r="W162" s="4">
        <v>0.76470588235294001</v>
      </c>
      <c r="X162" s="12" t="str">
        <f t="shared" si="9"/>
        <v/>
      </c>
    </row>
    <row r="163" spans="2:24" ht="14.25" customHeight="1">
      <c r="B163" s="12" t="str">
        <f t="shared" si="8"/>
        <v/>
      </c>
      <c r="C163" s="1" t="s">
        <v>346</v>
      </c>
      <c r="D163" s="1" t="s">
        <v>251</v>
      </c>
      <c r="E163" s="17">
        <v>2.4000000950000002</v>
      </c>
      <c r="F163" s="17">
        <v>2.5</v>
      </c>
      <c r="G163" s="17">
        <v>2.5</v>
      </c>
      <c r="H163" s="17">
        <v>2.5</v>
      </c>
      <c r="I163" s="17">
        <v>2.4400000570000002</v>
      </c>
      <c r="J163" s="17">
        <v>2.4400000570000002</v>
      </c>
      <c r="K163" s="17">
        <v>2.4400000570000002</v>
      </c>
      <c r="L163" s="17"/>
      <c r="M163" s="17"/>
      <c r="N163" s="17"/>
      <c r="O163" s="17"/>
      <c r="P163" s="17"/>
      <c r="Q163" s="17"/>
      <c r="R163" s="17"/>
      <c r="S163" s="17"/>
      <c r="T163" s="17"/>
      <c r="U163" s="18"/>
      <c r="W163" s="4">
        <v>0.41176470588234998</v>
      </c>
      <c r="X163" s="12" t="str">
        <f t="shared" si="9"/>
        <v/>
      </c>
    </row>
    <row r="164" spans="2:24" ht="14.25" customHeight="1">
      <c r="B164" s="12" t="str">
        <f t="shared" si="8"/>
        <v/>
      </c>
      <c r="C164" s="1" t="s">
        <v>394</v>
      </c>
      <c r="D164" s="1" t="s">
        <v>161</v>
      </c>
      <c r="E164" s="17">
        <v>11.80000019</v>
      </c>
      <c r="F164" s="17">
        <v>11.80000019</v>
      </c>
      <c r="G164" s="17">
        <v>11.80000019</v>
      </c>
      <c r="H164" s="17">
        <v>11.80000019</v>
      </c>
      <c r="I164" s="17">
        <v>11.80000019</v>
      </c>
      <c r="J164" s="17">
        <v>11.80000019</v>
      </c>
      <c r="K164" s="17">
        <v>11.80000019</v>
      </c>
      <c r="L164" s="17"/>
      <c r="M164" s="17"/>
      <c r="N164" s="17"/>
      <c r="O164" s="17"/>
      <c r="P164" s="17"/>
      <c r="Q164" s="17"/>
      <c r="R164" s="17"/>
      <c r="S164" s="17"/>
      <c r="T164" s="17"/>
      <c r="U164" s="18"/>
      <c r="W164" s="4">
        <v>0.41176470588234998</v>
      </c>
      <c r="X164" s="12" t="str">
        <f t="shared" si="9"/>
        <v/>
      </c>
    </row>
    <row r="165" spans="2:24" ht="14.25" customHeight="1">
      <c r="B165" s="12" t="str">
        <f t="shared" si="8"/>
        <v/>
      </c>
      <c r="C165" s="1" t="s">
        <v>248</v>
      </c>
      <c r="D165" s="1" t="s">
        <v>109</v>
      </c>
      <c r="E165" s="18"/>
      <c r="F165" s="18">
        <v>19.700000760000002</v>
      </c>
      <c r="G165" s="18">
        <v>19.700000760000002</v>
      </c>
      <c r="H165" s="18">
        <v>19.700000760000002</v>
      </c>
      <c r="I165" s="18">
        <v>20.299999239999998</v>
      </c>
      <c r="J165" s="18">
        <v>20.299999239999998</v>
      </c>
      <c r="K165" s="18">
        <v>17.299999239999998</v>
      </c>
      <c r="L165" s="18"/>
      <c r="M165" s="18"/>
      <c r="N165" s="18"/>
      <c r="O165" s="18"/>
      <c r="P165" s="18"/>
      <c r="Q165" s="18"/>
      <c r="R165" s="18"/>
      <c r="S165" s="17"/>
      <c r="T165" s="17"/>
      <c r="U165" s="18"/>
      <c r="W165" s="4">
        <v>0.35294117647058998</v>
      </c>
      <c r="X165" s="12" t="str">
        <f t="shared" si="9"/>
        <v/>
      </c>
    </row>
    <row r="166" spans="2:24" ht="14.25" customHeight="1">
      <c r="B166" s="12" t="str">
        <f t="shared" ref="B166:B197" si="10">X166</f>
        <v/>
      </c>
      <c r="C166" s="1" t="s">
        <v>371</v>
      </c>
      <c r="D166" s="1" t="s">
        <v>151</v>
      </c>
      <c r="E166" s="18">
        <v>99</v>
      </c>
      <c r="F166" s="18">
        <v>99</v>
      </c>
      <c r="G166" s="18">
        <v>99</v>
      </c>
      <c r="H166" s="18">
        <v>99</v>
      </c>
      <c r="I166" s="18">
        <v>99</v>
      </c>
      <c r="J166" s="18">
        <v>99</v>
      </c>
      <c r="K166" s="18">
        <v>99</v>
      </c>
      <c r="L166" s="18"/>
      <c r="M166" s="18">
        <v>99</v>
      </c>
      <c r="N166" s="18"/>
      <c r="O166" s="18"/>
      <c r="P166" s="18"/>
      <c r="Q166" s="18"/>
      <c r="R166" s="18"/>
      <c r="S166" s="18"/>
      <c r="T166" s="17"/>
      <c r="U166" s="18"/>
      <c r="W166" s="4">
        <v>0.47058823529412003</v>
      </c>
      <c r="X166" s="12" t="str">
        <f t="shared" ref="X166:X197" si="11">IF((W166&gt;0),IF((W166&lt;0.059),D166,""),"")</f>
        <v/>
      </c>
    </row>
    <row r="167" spans="2:24" ht="14.25" customHeight="1">
      <c r="B167" s="12" t="str">
        <f t="shared" si="10"/>
        <v/>
      </c>
      <c r="C167" s="1" t="s">
        <v>233</v>
      </c>
      <c r="D167" s="1" t="s">
        <v>344</v>
      </c>
      <c r="E167" s="18"/>
      <c r="F167" s="18"/>
      <c r="G167" s="18"/>
      <c r="H167" s="18"/>
      <c r="I167" s="18"/>
      <c r="J167" s="18"/>
      <c r="K167" s="18"/>
      <c r="L167" s="18">
        <v>85.839996339999999</v>
      </c>
      <c r="M167" s="18">
        <v>81</v>
      </c>
      <c r="N167" s="18"/>
      <c r="O167" s="18"/>
      <c r="P167" s="18"/>
      <c r="Q167" s="18"/>
      <c r="R167" s="18"/>
      <c r="S167" s="17"/>
      <c r="T167" s="17"/>
      <c r="U167" s="18"/>
      <c r="W167" s="4">
        <v>0.11764705882353001</v>
      </c>
      <c r="X167" s="12" t="str">
        <f t="shared" si="11"/>
        <v/>
      </c>
    </row>
    <row r="168" spans="2:24" ht="14.25" customHeight="1">
      <c r="B168" s="12" t="str">
        <f t="shared" si="10"/>
        <v/>
      </c>
      <c r="C168" s="1" t="s">
        <v>228</v>
      </c>
      <c r="D168" s="1" t="s">
        <v>61</v>
      </c>
      <c r="E168" s="18">
        <v>36.200000760000002</v>
      </c>
      <c r="F168" s="18">
        <v>36.299999239999998</v>
      </c>
      <c r="G168" s="18">
        <v>36.299999239999998</v>
      </c>
      <c r="H168" s="18">
        <v>36.299999239999998</v>
      </c>
      <c r="I168" s="18">
        <v>36.299999239999998</v>
      </c>
      <c r="J168" s="18">
        <v>36.299999239999998</v>
      </c>
      <c r="K168" s="18">
        <v>36.299999239999998</v>
      </c>
      <c r="L168" s="18"/>
      <c r="M168" s="18"/>
      <c r="N168" s="18"/>
      <c r="O168" s="18"/>
      <c r="P168" s="18"/>
      <c r="Q168" s="18"/>
      <c r="R168" s="18"/>
      <c r="S168" s="17"/>
      <c r="T168" s="17"/>
      <c r="U168" s="18"/>
      <c r="W168" s="4">
        <v>0.41176470588234998</v>
      </c>
      <c r="X168" s="12" t="str">
        <f t="shared" si="11"/>
        <v/>
      </c>
    </row>
    <row r="169" spans="2:24" ht="14.25" customHeight="1">
      <c r="B169" s="12" t="str">
        <f t="shared" si="10"/>
        <v/>
      </c>
      <c r="C169" s="1" t="s">
        <v>31</v>
      </c>
      <c r="D169" s="1" t="s">
        <v>390</v>
      </c>
      <c r="E169" s="17">
        <v>26</v>
      </c>
      <c r="F169" s="17">
        <v>26</v>
      </c>
      <c r="G169" s="17"/>
      <c r="H169" s="17"/>
      <c r="I169" s="17">
        <v>26</v>
      </c>
      <c r="J169" s="17">
        <v>26</v>
      </c>
      <c r="K169" s="17">
        <v>26</v>
      </c>
      <c r="L169" s="17">
        <v>26</v>
      </c>
      <c r="M169" s="17">
        <v>26.25</v>
      </c>
      <c r="N169" s="17"/>
      <c r="O169" s="17"/>
      <c r="P169" s="17"/>
      <c r="Q169" s="17"/>
      <c r="R169" s="17"/>
      <c r="S169" s="17"/>
      <c r="T169" s="17"/>
      <c r="U169" s="18"/>
      <c r="W169" s="4">
        <v>0.41176470588234998</v>
      </c>
      <c r="X169" s="12" t="str">
        <f t="shared" si="11"/>
        <v/>
      </c>
    </row>
    <row r="170" spans="2:24" ht="14.25" customHeight="1">
      <c r="B170" s="12" t="str">
        <f t="shared" si="10"/>
        <v/>
      </c>
      <c r="C170" s="1" t="s">
        <v>50</v>
      </c>
      <c r="D170" s="1" t="s">
        <v>366</v>
      </c>
      <c r="E170" s="19">
        <v>36.287899721700001</v>
      </c>
      <c r="F170" s="17"/>
      <c r="G170" s="17"/>
      <c r="H170" s="17"/>
      <c r="I170" s="17"/>
      <c r="J170" s="17"/>
      <c r="K170" s="17"/>
      <c r="L170" s="17">
        <v>29.989999770000001</v>
      </c>
      <c r="M170" s="17"/>
      <c r="N170" s="17"/>
      <c r="O170" s="17"/>
      <c r="P170" s="17"/>
      <c r="Q170" s="17"/>
      <c r="R170" s="17"/>
      <c r="S170" s="17"/>
      <c r="T170" s="17"/>
      <c r="U170" s="18"/>
      <c r="W170" s="4">
        <v>0.11764705882353001</v>
      </c>
      <c r="X170" s="12" t="str">
        <f t="shared" si="11"/>
        <v/>
      </c>
    </row>
    <row r="171" spans="2:24" ht="14.25" customHeight="1">
      <c r="B171" s="12" t="str">
        <f t="shared" si="10"/>
        <v/>
      </c>
      <c r="C171" s="1" t="s">
        <v>53</v>
      </c>
      <c r="D171" s="1" t="s">
        <v>49</v>
      </c>
      <c r="E171" s="18"/>
      <c r="F171" s="18"/>
      <c r="G171" s="18"/>
      <c r="H171" s="18"/>
      <c r="I171" s="18"/>
      <c r="J171" s="18"/>
      <c r="K171" s="18"/>
      <c r="L171" s="18"/>
      <c r="M171" s="18">
        <v>31.159999849999998</v>
      </c>
      <c r="N171" s="18">
        <v>30.510000229999999</v>
      </c>
      <c r="O171" s="18">
        <v>31.479999540000001</v>
      </c>
      <c r="P171" s="18">
        <v>31.65467288</v>
      </c>
      <c r="Q171" s="18">
        <v>31.662705339999999</v>
      </c>
      <c r="R171" s="18">
        <v>23.57</v>
      </c>
      <c r="S171" s="18"/>
      <c r="T171" s="17"/>
      <c r="U171" s="18"/>
      <c r="W171" s="4">
        <v>0.35294117647058998</v>
      </c>
      <c r="X171" s="12" t="str">
        <f t="shared" si="11"/>
        <v/>
      </c>
    </row>
    <row r="172" spans="2:24" ht="14.25" customHeight="1">
      <c r="B172" s="12" t="str">
        <f t="shared" si="10"/>
        <v/>
      </c>
      <c r="C172" s="1" t="s">
        <v>254</v>
      </c>
      <c r="D172" s="1" t="s">
        <v>317</v>
      </c>
      <c r="E172" s="18"/>
      <c r="F172" s="18"/>
      <c r="G172" s="18"/>
      <c r="H172" s="18"/>
      <c r="I172" s="18"/>
      <c r="J172" s="18"/>
      <c r="K172" s="18"/>
      <c r="L172" s="18"/>
      <c r="M172" s="18">
        <v>100</v>
      </c>
      <c r="N172" s="18">
        <v>100</v>
      </c>
      <c r="O172" s="18">
        <v>100</v>
      </c>
      <c r="P172" s="18">
        <v>100</v>
      </c>
      <c r="Q172" s="18">
        <v>100</v>
      </c>
      <c r="R172" s="18">
        <v>100</v>
      </c>
      <c r="S172" s="18"/>
      <c r="T172" s="17"/>
      <c r="U172" s="18"/>
      <c r="W172" s="4">
        <v>0.35294117647058998</v>
      </c>
      <c r="X172" s="12" t="str">
        <f t="shared" si="11"/>
        <v/>
      </c>
    </row>
    <row r="173" spans="2:24" ht="14.25" customHeight="1">
      <c r="B173" s="12" t="str">
        <f t="shared" si="10"/>
        <v/>
      </c>
      <c r="C173" s="1" t="s">
        <v>4</v>
      </c>
      <c r="D173" s="1" t="s">
        <v>188</v>
      </c>
      <c r="E173" s="18"/>
      <c r="F173" s="18"/>
      <c r="G173" s="18"/>
      <c r="H173" s="18"/>
      <c r="I173" s="18"/>
      <c r="J173" s="18"/>
      <c r="K173" s="18"/>
      <c r="L173" s="18"/>
      <c r="M173" s="18">
        <v>93.6</v>
      </c>
      <c r="N173" s="18">
        <v>94.58</v>
      </c>
      <c r="O173" s="18">
        <v>95.15</v>
      </c>
      <c r="P173" s="18">
        <v>95.75</v>
      </c>
      <c r="Q173" s="18">
        <v>92.98</v>
      </c>
      <c r="R173" s="18">
        <v>91.03</v>
      </c>
      <c r="S173" s="17"/>
      <c r="T173" s="17"/>
      <c r="U173" s="18"/>
      <c r="W173" s="4">
        <v>0.35294117647058998</v>
      </c>
      <c r="X173" s="12" t="str">
        <f t="shared" si="11"/>
        <v/>
      </c>
    </row>
    <row r="174" spans="2:24" ht="14.25" customHeight="1">
      <c r="B174" s="12" t="str">
        <f t="shared" si="10"/>
        <v/>
      </c>
      <c r="C174" s="1" t="s">
        <v>197</v>
      </c>
      <c r="D174" s="1" t="s">
        <v>131</v>
      </c>
      <c r="E174" s="18">
        <v>82.699996949999999</v>
      </c>
      <c r="F174" s="18"/>
      <c r="G174" s="18"/>
      <c r="H174" s="18"/>
      <c r="I174" s="18"/>
      <c r="J174" s="18"/>
      <c r="K174" s="18"/>
      <c r="L174" s="18"/>
      <c r="M174" s="18"/>
      <c r="N174" s="18"/>
      <c r="O174" s="20">
        <v>57.889997864999998</v>
      </c>
      <c r="P174" s="18"/>
      <c r="Q174" s="18"/>
      <c r="R174" s="18"/>
      <c r="S174" s="17"/>
      <c r="T174" s="17"/>
      <c r="U174" s="18"/>
      <c r="W174" s="4">
        <v>0.11764705882353001</v>
      </c>
      <c r="X174" s="12" t="str">
        <f t="shared" si="11"/>
        <v/>
      </c>
    </row>
    <row r="175" spans="2:24" ht="14.25" customHeight="1">
      <c r="B175" s="12" t="str">
        <f t="shared" si="10"/>
        <v/>
      </c>
      <c r="C175" s="1" t="s">
        <v>34</v>
      </c>
      <c r="D175" s="1" t="s">
        <v>74</v>
      </c>
      <c r="E175" s="18"/>
      <c r="F175" s="18"/>
      <c r="G175" s="18"/>
      <c r="H175" s="18"/>
      <c r="I175" s="18"/>
      <c r="J175" s="18"/>
      <c r="K175" s="18"/>
      <c r="L175" s="18"/>
      <c r="M175" s="18">
        <v>8.6300001139999996</v>
      </c>
      <c r="N175" s="18"/>
      <c r="O175" s="18"/>
      <c r="P175" s="18"/>
      <c r="Q175" s="18"/>
      <c r="R175" s="18">
        <v>7.38</v>
      </c>
      <c r="S175" s="17"/>
      <c r="T175" s="17"/>
      <c r="U175" s="18"/>
      <c r="W175" s="4">
        <v>0.11764705882353001</v>
      </c>
      <c r="X175" s="12" t="str">
        <f t="shared" si="11"/>
        <v/>
      </c>
    </row>
    <row r="176" spans="2:24" ht="14.25" customHeight="1">
      <c r="B176" s="12" t="str">
        <f t="shared" si="10"/>
        <v/>
      </c>
      <c r="C176" s="1" t="s">
        <v>231</v>
      </c>
      <c r="D176" s="1" t="s">
        <v>226</v>
      </c>
      <c r="E176" s="18">
        <v>97.400001529999997</v>
      </c>
      <c r="F176" s="18">
        <v>97.5</v>
      </c>
      <c r="G176" s="18">
        <v>97.5</v>
      </c>
      <c r="H176" s="18">
        <v>97.5</v>
      </c>
      <c r="I176" s="18">
        <v>97.5</v>
      </c>
      <c r="J176" s="18">
        <v>98.5</v>
      </c>
      <c r="K176" s="18"/>
      <c r="L176" s="18"/>
      <c r="M176" s="18"/>
      <c r="N176" s="18"/>
      <c r="O176" s="18"/>
      <c r="P176" s="18"/>
      <c r="Q176" s="18"/>
      <c r="R176" s="18"/>
      <c r="S176" s="17"/>
      <c r="T176" s="17"/>
      <c r="U176" s="18"/>
      <c r="W176" s="4">
        <v>0.35294117647058998</v>
      </c>
      <c r="X176" s="12" t="str">
        <f t="shared" si="11"/>
        <v/>
      </c>
    </row>
    <row r="177" spans="2:24" ht="14.25" customHeight="1">
      <c r="B177" s="12" t="str">
        <f t="shared" si="10"/>
        <v/>
      </c>
      <c r="C177" s="1" t="s">
        <v>175</v>
      </c>
      <c r="D177" s="1" t="s">
        <v>215</v>
      </c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8"/>
      <c r="W177" s="4">
        <v>0</v>
      </c>
      <c r="X177" s="12" t="str">
        <f t="shared" si="11"/>
        <v/>
      </c>
    </row>
    <row r="178" spans="2:24" ht="14.25" customHeight="1">
      <c r="B178" s="12" t="str">
        <f t="shared" si="10"/>
        <v/>
      </c>
      <c r="C178" s="1" t="s">
        <v>266</v>
      </c>
      <c r="D178" s="1" t="s">
        <v>59</v>
      </c>
      <c r="E178" s="18">
        <v>31.600000380000001</v>
      </c>
      <c r="F178" s="18">
        <v>31.600000380000001</v>
      </c>
      <c r="G178" s="18">
        <v>31.600000380000001</v>
      </c>
      <c r="H178" s="18">
        <v>31.600000380000001</v>
      </c>
      <c r="I178" s="18">
        <v>31.600000380000001</v>
      </c>
      <c r="J178" s="18">
        <v>31.600000380000001</v>
      </c>
      <c r="K178" s="18">
        <v>31.600000380000001</v>
      </c>
      <c r="L178" s="18"/>
      <c r="M178" s="18"/>
      <c r="N178" s="18"/>
      <c r="O178" s="18"/>
      <c r="P178" s="18"/>
      <c r="Q178" s="18">
        <v>21</v>
      </c>
      <c r="R178" s="18"/>
      <c r="S178" s="17"/>
      <c r="T178" s="17"/>
      <c r="U178" s="18"/>
      <c r="W178" s="4">
        <v>0.47058823529412003</v>
      </c>
      <c r="X178" s="12" t="str">
        <f t="shared" si="11"/>
        <v/>
      </c>
    </row>
    <row r="179" spans="2:24" ht="14.25" customHeight="1">
      <c r="B179" s="12" t="str">
        <f t="shared" si="10"/>
        <v/>
      </c>
      <c r="C179" s="1" t="s">
        <v>402</v>
      </c>
      <c r="D179" s="1" t="s">
        <v>230</v>
      </c>
      <c r="E179" s="17">
        <v>27</v>
      </c>
      <c r="F179" s="17">
        <v>27</v>
      </c>
      <c r="G179" s="17">
        <v>27</v>
      </c>
      <c r="H179" s="17">
        <v>27</v>
      </c>
      <c r="I179" s="17">
        <v>27</v>
      </c>
      <c r="J179" s="17">
        <v>27</v>
      </c>
      <c r="K179" s="17">
        <v>27</v>
      </c>
      <c r="L179" s="17"/>
      <c r="M179" s="17"/>
      <c r="N179" s="17"/>
      <c r="O179" s="17"/>
      <c r="P179" s="17"/>
      <c r="Q179" s="17"/>
      <c r="R179" s="17"/>
      <c r="S179" s="17"/>
      <c r="T179" s="17"/>
      <c r="U179" s="18"/>
      <c r="W179" s="4">
        <v>0.41176470588234998</v>
      </c>
      <c r="X179" s="12" t="str">
        <f t="shared" si="11"/>
        <v/>
      </c>
    </row>
    <row r="180" spans="2:24" ht="14.25" customHeight="1">
      <c r="B180" s="12" t="str">
        <f t="shared" si="10"/>
        <v/>
      </c>
      <c r="C180" s="1" t="s">
        <v>283</v>
      </c>
      <c r="D180" s="1" t="s">
        <v>64</v>
      </c>
      <c r="E180" s="18">
        <v>51</v>
      </c>
      <c r="F180" s="18">
        <v>51.099998470000003</v>
      </c>
      <c r="G180" s="18">
        <v>51.099998470000003</v>
      </c>
      <c r="H180" s="18">
        <v>51.099998470000003</v>
      </c>
      <c r="I180" s="18">
        <v>51.099998470000003</v>
      </c>
      <c r="J180" s="18">
        <v>51.099998470000003</v>
      </c>
      <c r="K180" s="18">
        <v>51.099998470000003</v>
      </c>
      <c r="L180" s="18"/>
      <c r="M180" s="18"/>
      <c r="N180" s="18"/>
      <c r="O180" s="18"/>
      <c r="P180" s="18"/>
      <c r="Q180" s="18"/>
      <c r="R180" s="18"/>
      <c r="S180" s="17"/>
      <c r="T180" s="17"/>
      <c r="U180" s="18"/>
      <c r="W180" s="4">
        <v>0.41176470588234998</v>
      </c>
      <c r="X180" s="12" t="str">
        <f t="shared" si="11"/>
        <v/>
      </c>
    </row>
    <row r="181" spans="2:24" ht="14.25" customHeight="1">
      <c r="B181" s="12" t="str">
        <f t="shared" si="10"/>
        <v/>
      </c>
      <c r="C181" s="1" t="s">
        <v>298</v>
      </c>
      <c r="D181" s="1" t="s">
        <v>264</v>
      </c>
      <c r="E181" s="18">
        <v>78.800003050000001</v>
      </c>
      <c r="F181" s="18">
        <v>78.900001529999997</v>
      </c>
      <c r="G181" s="18">
        <v>78.900001529999997</v>
      </c>
      <c r="H181" s="18">
        <v>63.700000760000002</v>
      </c>
      <c r="I181" s="18">
        <v>63.799999239999998</v>
      </c>
      <c r="J181" s="18">
        <v>68.400001529999997</v>
      </c>
      <c r="K181" s="18">
        <v>65.400001529999997</v>
      </c>
      <c r="L181" s="18"/>
      <c r="M181" s="18"/>
      <c r="N181" s="18">
        <v>65.800003050000001</v>
      </c>
      <c r="O181" s="18"/>
      <c r="P181" s="18"/>
      <c r="Q181" s="18"/>
      <c r="R181" s="18">
        <v>75.180000000000007</v>
      </c>
      <c r="S181" s="17"/>
      <c r="T181" s="17"/>
      <c r="U181" s="18"/>
      <c r="W181" s="4">
        <v>0.52941176470588003</v>
      </c>
      <c r="X181" s="12" t="str">
        <f t="shared" si="11"/>
        <v/>
      </c>
    </row>
    <row r="182" spans="2:24" ht="14.25" customHeight="1">
      <c r="B182" s="12" t="str">
        <f t="shared" si="10"/>
        <v/>
      </c>
      <c r="C182" s="1" t="s">
        <v>301</v>
      </c>
      <c r="D182" s="1" t="s">
        <v>86</v>
      </c>
      <c r="E182" s="18">
        <v>23</v>
      </c>
      <c r="F182" s="18">
        <v>25</v>
      </c>
      <c r="G182" s="18">
        <v>25</v>
      </c>
      <c r="H182" s="18">
        <v>28</v>
      </c>
      <c r="I182" s="18">
        <v>34</v>
      </c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7"/>
      <c r="U182" s="18"/>
      <c r="W182" s="4">
        <v>0.29411764705881999</v>
      </c>
      <c r="X182" s="12" t="str">
        <f t="shared" si="11"/>
        <v/>
      </c>
    </row>
    <row r="183" spans="2:24" ht="14.25" customHeight="1">
      <c r="B183" s="12" t="str">
        <f t="shared" si="10"/>
        <v/>
      </c>
      <c r="C183" s="1" t="s">
        <v>206</v>
      </c>
      <c r="D183" s="1" t="s">
        <v>258</v>
      </c>
      <c r="E183" s="18"/>
      <c r="F183" s="18"/>
      <c r="G183" s="18"/>
      <c r="H183" s="18"/>
      <c r="I183" s="18">
        <v>81.199996949999999</v>
      </c>
      <c r="J183" s="18">
        <v>81.199996949999999</v>
      </c>
      <c r="K183" s="18">
        <v>81.199996949999999</v>
      </c>
      <c r="L183" s="18"/>
      <c r="M183" s="18"/>
      <c r="N183" s="18"/>
      <c r="O183" s="18"/>
      <c r="P183" s="18"/>
      <c r="Q183" s="18"/>
      <c r="R183" s="18"/>
      <c r="S183" s="17"/>
      <c r="T183" s="17"/>
      <c r="U183" s="18"/>
      <c r="W183" s="4">
        <v>0.17647058823528999</v>
      </c>
      <c r="X183" s="12" t="str">
        <f t="shared" si="11"/>
        <v/>
      </c>
    </row>
    <row r="184" spans="2:24" ht="14.25" customHeight="1">
      <c r="B184" s="12" t="str">
        <f t="shared" si="10"/>
        <v/>
      </c>
      <c r="C184" s="1" t="s">
        <v>304</v>
      </c>
      <c r="D184" s="1" t="s">
        <v>150</v>
      </c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8"/>
      <c r="W184" s="4">
        <v>0</v>
      </c>
      <c r="X184" s="12" t="str">
        <f t="shared" si="11"/>
        <v/>
      </c>
    </row>
    <row r="185" spans="2:24" ht="14.25" customHeight="1">
      <c r="B185" s="12" t="str">
        <f t="shared" si="10"/>
        <v/>
      </c>
      <c r="C185" s="1" t="s">
        <v>78</v>
      </c>
      <c r="D185" s="1" t="s">
        <v>60</v>
      </c>
      <c r="E185" s="19">
        <v>28.52</v>
      </c>
      <c r="F185" s="17"/>
      <c r="G185" s="17"/>
      <c r="H185" s="17"/>
      <c r="I185" s="17"/>
      <c r="J185" s="17"/>
      <c r="K185" s="17"/>
      <c r="L185" s="17"/>
      <c r="M185" s="17">
        <v>23</v>
      </c>
      <c r="N185" s="17"/>
      <c r="O185" s="17"/>
      <c r="P185" s="17"/>
      <c r="Q185" s="17"/>
      <c r="R185" s="17"/>
      <c r="S185" s="17"/>
      <c r="T185" s="17"/>
      <c r="U185" s="18"/>
      <c r="W185" s="4">
        <v>0.11764705882353001</v>
      </c>
      <c r="X185" s="12" t="str">
        <f t="shared" si="11"/>
        <v/>
      </c>
    </row>
    <row r="186" spans="2:24" ht="14.25" customHeight="1">
      <c r="B186" s="12" t="str">
        <f t="shared" si="10"/>
        <v/>
      </c>
      <c r="C186" s="1" t="s">
        <v>221</v>
      </c>
      <c r="D186" s="1" t="s">
        <v>35</v>
      </c>
      <c r="E186" s="18">
        <v>94.800003050000001</v>
      </c>
      <c r="F186" s="18">
        <v>95</v>
      </c>
      <c r="G186" s="18">
        <v>95</v>
      </c>
      <c r="H186" s="18">
        <v>96.5</v>
      </c>
      <c r="I186" s="18">
        <v>96.599998470000003</v>
      </c>
      <c r="J186" s="18">
        <v>96.699996949999999</v>
      </c>
      <c r="K186" s="18">
        <v>96.699996949999999</v>
      </c>
      <c r="L186" s="18">
        <v>96.800003050000001</v>
      </c>
      <c r="M186" s="18">
        <v>96.400001529999997</v>
      </c>
      <c r="N186" s="18">
        <v>97.199996949999999</v>
      </c>
      <c r="O186" s="18">
        <v>97.41999817</v>
      </c>
      <c r="P186" s="18">
        <v>97.664750690000005</v>
      </c>
      <c r="Q186" s="18">
        <v>97.751177530000007</v>
      </c>
      <c r="R186" s="18">
        <v>97.81</v>
      </c>
      <c r="S186" s="17"/>
      <c r="T186" s="17"/>
      <c r="U186" s="18"/>
      <c r="W186" s="4">
        <v>0.82352941176470995</v>
      </c>
      <c r="X186" s="12" t="str">
        <f t="shared" si="11"/>
        <v/>
      </c>
    </row>
    <row r="187" spans="2:24" ht="14.25" customHeight="1">
      <c r="B187" s="12" t="str">
        <f t="shared" si="10"/>
        <v/>
      </c>
      <c r="C187" s="1" t="s">
        <v>10</v>
      </c>
      <c r="D187" s="1" t="s">
        <v>336</v>
      </c>
      <c r="E187" s="18">
        <v>100</v>
      </c>
      <c r="F187" s="18">
        <v>100</v>
      </c>
      <c r="G187" s="18">
        <v>100</v>
      </c>
      <c r="H187" s="18">
        <v>100</v>
      </c>
      <c r="I187" s="18">
        <v>100</v>
      </c>
      <c r="J187" s="18">
        <v>100</v>
      </c>
      <c r="K187" s="18"/>
      <c r="L187" s="18"/>
      <c r="M187" s="18"/>
      <c r="N187" s="18"/>
      <c r="O187" s="18"/>
      <c r="P187" s="18"/>
      <c r="Q187" s="18"/>
      <c r="R187" s="18"/>
      <c r="S187" s="17"/>
      <c r="T187" s="17"/>
      <c r="U187" s="18"/>
      <c r="W187" s="4">
        <v>0.35294117647058998</v>
      </c>
      <c r="X187" s="12" t="str">
        <f t="shared" si="11"/>
        <v/>
      </c>
    </row>
    <row r="188" spans="2:24" ht="14.25" customHeight="1">
      <c r="B188" s="12" t="str">
        <f t="shared" si="10"/>
        <v/>
      </c>
      <c r="C188" s="1" t="s">
        <v>157</v>
      </c>
      <c r="D188" s="1" t="s">
        <v>166</v>
      </c>
      <c r="E188" s="18">
        <v>100</v>
      </c>
      <c r="F188" s="18">
        <v>100</v>
      </c>
      <c r="G188" s="18">
        <v>100</v>
      </c>
      <c r="H188" s="18">
        <v>100</v>
      </c>
      <c r="I188" s="18">
        <v>100</v>
      </c>
      <c r="J188" s="18">
        <v>100</v>
      </c>
      <c r="K188" s="18">
        <v>100</v>
      </c>
      <c r="L188" s="18">
        <v>100</v>
      </c>
      <c r="M188" s="18">
        <v>100</v>
      </c>
      <c r="N188" s="18">
        <v>100</v>
      </c>
      <c r="O188" s="18">
        <v>100</v>
      </c>
      <c r="P188" s="18">
        <v>100</v>
      </c>
      <c r="Q188" s="18">
        <v>100</v>
      </c>
      <c r="R188" s="18">
        <v>100</v>
      </c>
      <c r="S188" s="18"/>
      <c r="T188" s="17"/>
      <c r="U188" s="18"/>
      <c r="W188" s="4">
        <v>0.82352941176470995</v>
      </c>
      <c r="X188" s="12" t="str">
        <f t="shared" si="11"/>
        <v/>
      </c>
    </row>
    <row r="189" spans="2:24" ht="14.25" customHeight="1">
      <c r="B189" s="12" t="str">
        <f t="shared" si="10"/>
        <v/>
      </c>
      <c r="C189" s="1" t="s">
        <v>332</v>
      </c>
      <c r="D189" s="1" t="s">
        <v>311</v>
      </c>
      <c r="E189" s="18"/>
      <c r="F189" s="18"/>
      <c r="G189" s="18"/>
      <c r="H189" s="18"/>
      <c r="I189" s="18"/>
      <c r="J189" s="18"/>
      <c r="K189" s="18"/>
      <c r="L189" s="18"/>
      <c r="M189" s="18">
        <v>66.199996949999999</v>
      </c>
      <c r="N189" s="18">
        <v>64.5</v>
      </c>
      <c r="O189" s="18">
        <v>65.339996339999999</v>
      </c>
      <c r="P189" s="18"/>
      <c r="Q189" s="18">
        <v>65.12</v>
      </c>
      <c r="R189" s="18">
        <v>67.37</v>
      </c>
      <c r="S189" s="18"/>
      <c r="T189" s="17"/>
      <c r="U189" s="18"/>
      <c r="W189" s="4">
        <v>0.29411764705881999</v>
      </c>
      <c r="X189" s="12" t="str">
        <f t="shared" si="11"/>
        <v/>
      </c>
    </row>
    <row r="190" spans="2:24" ht="14.25" customHeight="1">
      <c r="B190" s="12" t="str">
        <f t="shared" si="10"/>
        <v/>
      </c>
      <c r="C190" s="1" t="s">
        <v>318</v>
      </c>
      <c r="D190" s="1" t="s">
        <v>144</v>
      </c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7"/>
      <c r="T190" s="17"/>
      <c r="U190" s="18"/>
      <c r="W190" s="4">
        <v>0</v>
      </c>
      <c r="X190" s="12" t="str">
        <f t="shared" si="11"/>
        <v/>
      </c>
    </row>
    <row r="191" spans="2:24" ht="14.25" customHeight="1">
      <c r="B191" s="12" t="str">
        <f t="shared" si="10"/>
        <v/>
      </c>
      <c r="C191" s="1" t="s">
        <v>7</v>
      </c>
      <c r="D191" s="1" t="s">
        <v>12</v>
      </c>
      <c r="E191" s="18">
        <v>87.199996949999999</v>
      </c>
      <c r="F191" s="18">
        <v>87.300003050000001</v>
      </c>
      <c r="G191" s="18"/>
      <c r="H191" s="18">
        <v>87.300003050000001</v>
      </c>
      <c r="I191" s="18">
        <v>87.300003050000001</v>
      </c>
      <c r="J191" s="18">
        <v>87.300003050000001</v>
      </c>
      <c r="K191" s="18">
        <v>87.300003050000001</v>
      </c>
      <c r="L191" s="18"/>
      <c r="M191" s="18"/>
      <c r="N191" s="18"/>
      <c r="O191" s="18"/>
      <c r="P191" s="18"/>
      <c r="Q191" s="18"/>
      <c r="R191" s="18"/>
      <c r="S191" s="17"/>
      <c r="T191" s="17"/>
      <c r="U191" s="18"/>
      <c r="W191" s="4">
        <v>0.35294117647058998</v>
      </c>
      <c r="X191" s="12" t="str">
        <f t="shared" si="11"/>
        <v/>
      </c>
    </row>
    <row r="192" spans="2:24" ht="14.25" customHeight="1">
      <c r="B192" s="12" t="str">
        <f t="shared" si="10"/>
        <v/>
      </c>
      <c r="C192" s="1" t="s">
        <v>299</v>
      </c>
      <c r="D192" s="1" t="s">
        <v>323</v>
      </c>
      <c r="E192" s="17">
        <v>23.799999239999998</v>
      </c>
      <c r="F192" s="17">
        <v>23.899999619999999</v>
      </c>
      <c r="G192" s="17">
        <v>23.899999619999999</v>
      </c>
      <c r="H192" s="17">
        <v>23.899999619999999</v>
      </c>
      <c r="I192" s="17">
        <v>23.899999619999999</v>
      </c>
      <c r="J192" s="17">
        <v>23.899999619999999</v>
      </c>
      <c r="K192" s="17">
        <v>23.899999619999999</v>
      </c>
      <c r="L192" s="17"/>
      <c r="M192" s="17"/>
      <c r="N192" s="17"/>
      <c r="O192" s="17"/>
      <c r="P192" s="17"/>
      <c r="Q192" s="17"/>
      <c r="R192" s="17"/>
      <c r="S192" s="17"/>
      <c r="T192" s="17"/>
      <c r="U192" s="18"/>
      <c r="W192" s="4">
        <v>0.41176470588234998</v>
      </c>
      <c r="X192" s="12" t="str">
        <f t="shared" si="11"/>
        <v/>
      </c>
    </row>
    <row r="193" spans="2:24" ht="14.25" customHeight="1">
      <c r="B193" s="12" t="str">
        <f t="shared" si="10"/>
        <v/>
      </c>
      <c r="C193" s="1" t="s">
        <v>104</v>
      </c>
      <c r="D193" s="1" t="s">
        <v>339</v>
      </c>
      <c r="E193" s="18">
        <v>35.400001529999997</v>
      </c>
      <c r="F193" s="18">
        <v>35.400001529999997</v>
      </c>
      <c r="G193" s="18">
        <v>33.599998470000003</v>
      </c>
      <c r="H193" s="18">
        <v>33.599998470000003</v>
      </c>
      <c r="I193" s="18">
        <v>33.599998470000003</v>
      </c>
      <c r="J193" s="18">
        <v>33.599998470000003</v>
      </c>
      <c r="K193" s="18">
        <v>33.599998470000003</v>
      </c>
      <c r="L193" s="18"/>
      <c r="M193" s="18"/>
      <c r="N193" s="18"/>
      <c r="O193" s="18"/>
      <c r="P193" s="18"/>
      <c r="Q193" s="18"/>
      <c r="R193" s="18"/>
      <c r="S193" s="17"/>
      <c r="T193" s="17"/>
      <c r="U193" s="18"/>
      <c r="W193" s="4">
        <v>0.41176470588234998</v>
      </c>
      <c r="X193" s="12" t="str">
        <f t="shared" si="11"/>
        <v/>
      </c>
    </row>
    <row r="194" spans="2:24" ht="14.25" customHeight="1">
      <c r="B194" s="12" t="str">
        <f t="shared" si="10"/>
        <v/>
      </c>
      <c r="C194" s="1" t="s">
        <v>255</v>
      </c>
      <c r="D194" s="1" t="s">
        <v>160</v>
      </c>
      <c r="E194" s="18">
        <v>25.899999619999999</v>
      </c>
      <c r="F194" s="18">
        <v>25.100000380000001</v>
      </c>
      <c r="G194" s="18">
        <v>25.100000380000001</v>
      </c>
      <c r="H194" s="18">
        <v>25.100000380000001</v>
      </c>
      <c r="I194" s="18"/>
      <c r="J194" s="18"/>
      <c r="K194" s="18"/>
      <c r="L194" s="18"/>
      <c r="M194" s="18"/>
      <c r="N194" s="18">
        <v>43.893010289999999</v>
      </c>
      <c r="O194" s="18"/>
      <c r="P194" s="18">
        <v>46.962382609999999</v>
      </c>
      <c r="Q194" s="18">
        <v>47.624134079999997</v>
      </c>
      <c r="R194" s="18"/>
      <c r="S194" s="17"/>
      <c r="T194" s="17"/>
      <c r="U194" s="18"/>
      <c r="W194" s="4">
        <v>0.41176470588234998</v>
      </c>
      <c r="X194" s="12" t="str">
        <f t="shared" si="11"/>
        <v/>
      </c>
    </row>
    <row r="195" spans="2:24" ht="14.25" customHeight="1">
      <c r="B195" s="12" t="str">
        <f t="shared" si="10"/>
        <v/>
      </c>
      <c r="C195" s="1" t="s">
        <v>79</v>
      </c>
      <c r="D195" s="1" t="s">
        <v>324</v>
      </c>
      <c r="E195" s="18">
        <v>7.9000000950000002</v>
      </c>
      <c r="F195" s="18">
        <v>8.1000003809999992</v>
      </c>
      <c r="G195" s="18"/>
      <c r="H195" s="18"/>
      <c r="I195" s="18"/>
      <c r="J195" s="18"/>
      <c r="K195" s="18"/>
      <c r="L195" s="18"/>
      <c r="M195" s="18"/>
      <c r="N195" s="18"/>
      <c r="O195" s="18">
        <v>8.6999998089999995</v>
      </c>
      <c r="P195" s="18"/>
      <c r="Q195" s="18"/>
      <c r="R195" s="18"/>
      <c r="S195" s="17"/>
      <c r="T195" s="17"/>
      <c r="U195" s="18"/>
      <c r="W195" s="4">
        <v>0.17647058823528999</v>
      </c>
      <c r="X195" s="12" t="str">
        <f t="shared" si="11"/>
        <v/>
      </c>
    </row>
    <row r="196" spans="2:24" ht="14.25" customHeight="1">
      <c r="B196" s="12" t="str">
        <f t="shared" si="10"/>
        <v/>
      </c>
      <c r="C196" s="1" t="s">
        <v>29</v>
      </c>
      <c r="D196" s="1" t="s">
        <v>65</v>
      </c>
      <c r="E196" s="18"/>
      <c r="F196" s="18"/>
      <c r="G196" s="18"/>
      <c r="H196" s="18"/>
      <c r="I196" s="18"/>
      <c r="J196" s="18"/>
      <c r="K196" s="18">
        <v>22</v>
      </c>
      <c r="L196" s="18"/>
      <c r="M196" s="18"/>
      <c r="N196" s="18"/>
      <c r="O196" s="18"/>
      <c r="P196" s="18"/>
      <c r="Q196" s="18"/>
      <c r="R196" s="18"/>
      <c r="S196" s="17"/>
      <c r="T196" s="17"/>
      <c r="U196" s="20">
        <v>15.399999999999999</v>
      </c>
      <c r="W196" s="4">
        <v>0.11764705882353001</v>
      </c>
      <c r="X196" s="12" t="str">
        <f t="shared" si="11"/>
        <v/>
      </c>
    </row>
    <row r="197" spans="2:24" ht="14.25" customHeight="1">
      <c r="B197" s="12" t="str">
        <f t="shared" si="10"/>
        <v/>
      </c>
      <c r="C197" s="1" t="s">
        <v>382</v>
      </c>
      <c r="D197" s="1" t="s">
        <v>245</v>
      </c>
      <c r="E197" s="18">
        <v>48</v>
      </c>
      <c r="F197" s="18">
        <v>47.400001529999997</v>
      </c>
      <c r="G197" s="18">
        <v>47.400001529999997</v>
      </c>
      <c r="H197" s="18">
        <v>47.400001529999997</v>
      </c>
      <c r="I197" s="18"/>
      <c r="J197" s="18"/>
      <c r="K197" s="18"/>
      <c r="L197" s="18">
        <v>19</v>
      </c>
      <c r="M197" s="18"/>
      <c r="N197" s="18"/>
      <c r="O197" s="18"/>
      <c r="P197" s="18"/>
      <c r="Q197" s="18"/>
      <c r="R197" s="18"/>
      <c r="S197" s="17"/>
      <c r="T197" s="17"/>
      <c r="U197" s="18"/>
      <c r="W197" s="4">
        <v>0.29411764705881999</v>
      </c>
      <c r="X197" s="12" t="str">
        <f t="shared" si="11"/>
        <v/>
      </c>
    </row>
    <row r="198" spans="2:24" ht="14.25" customHeight="1">
      <c r="B198" s="12"/>
      <c r="C198" s="1"/>
      <c r="D198" s="1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7"/>
      <c r="T198" s="17"/>
      <c r="U198" s="18"/>
      <c r="X198" s="12" t="e">
        <f ca="1">_xll.JOIN(",",X6:X197)</f>
        <v>#NAME?</v>
      </c>
    </row>
    <row r="199" spans="2:24" ht="14.25" customHeight="1">
      <c r="B199" s="12"/>
      <c r="C199" s="1"/>
      <c r="D199" s="6" t="s">
        <v>70</v>
      </c>
      <c r="E199" s="21" t="e">
        <f t="shared" ref="E199:U199" si="12">AVERAGE(E6:E197)</f>
        <v>#N/A</v>
      </c>
      <c r="F199" s="21" t="e">
        <f t="shared" si="12"/>
        <v>#N/A</v>
      </c>
      <c r="G199" s="21" t="e">
        <f t="shared" si="12"/>
        <v>#N/A</v>
      </c>
      <c r="H199" s="21" t="e">
        <f t="shared" si="12"/>
        <v>#N/A</v>
      </c>
      <c r="I199" s="21" t="e">
        <f t="shared" si="12"/>
        <v>#N/A</v>
      </c>
      <c r="J199" s="21" t="e">
        <f t="shared" si="12"/>
        <v>#N/A</v>
      </c>
      <c r="K199" s="21" t="e">
        <f t="shared" si="12"/>
        <v>#N/A</v>
      </c>
      <c r="L199" s="21" t="e">
        <f t="shared" si="12"/>
        <v>#N/A</v>
      </c>
      <c r="M199" s="21" t="e">
        <f t="shared" si="12"/>
        <v>#N/A</v>
      </c>
      <c r="N199" s="21" t="e">
        <f t="shared" si="12"/>
        <v>#N/A</v>
      </c>
      <c r="O199" s="21" t="e">
        <f t="shared" si="12"/>
        <v>#N/A</v>
      </c>
      <c r="P199" s="21" t="e">
        <f t="shared" si="12"/>
        <v>#N/A</v>
      </c>
      <c r="Q199" s="21" t="e">
        <f t="shared" si="12"/>
        <v>#N/A</v>
      </c>
      <c r="R199" s="21" t="e">
        <f t="shared" si="12"/>
        <v>#N/A</v>
      </c>
      <c r="S199" s="21" t="e">
        <f t="shared" si="12"/>
        <v>#N/A</v>
      </c>
      <c r="T199" s="21" t="e">
        <f t="shared" si="12"/>
        <v>#N/A</v>
      </c>
      <c r="U199" s="21" t="e">
        <f t="shared" si="12"/>
        <v>#N/A</v>
      </c>
      <c r="X199" s="12"/>
    </row>
    <row r="200" spans="2:24" ht="14.25" customHeight="1">
      <c r="B200" s="12"/>
      <c r="C200" s="1"/>
      <c r="D200" s="6" t="s">
        <v>308</v>
      </c>
      <c r="E200" s="21" t="e">
        <f t="shared" ref="E200:U200" si="13">STDEV(E6:E197)</f>
        <v>#N/A</v>
      </c>
      <c r="F200" s="21" t="e">
        <f t="shared" si="13"/>
        <v>#N/A</v>
      </c>
      <c r="G200" s="21" t="e">
        <f t="shared" si="13"/>
        <v>#N/A</v>
      </c>
      <c r="H200" s="21" t="e">
        <f t="shared" si="13"/>
        <v>#N/A</v>
      </c>
      <c r="I200" s="21" t="e">
        <f t="shared" si="13"/>
        <v>#N/A</v>
      </c>
      <c r="J200" s="21" t="e">
        <f t="shared" si="13"/>
        <v>#N/A</v>
      </c>
      <c r="K200" s="21" t="e">
        <f t="shared" si="13"/>
        <v>#N/A</v>
      </c>
      <c r="L200" s="21" t="e">
        <f t="shared" si="13"/>
        <v>#N/A</v>
      </c>
      <c r="M200" s="21" t="e">
        <f t="shared" si="13"/>
        <v>#N/A</v>
      </c>
      <c r="N200" s="21" t="e">
        <f t="shared" si="13"/>
        <v>#N/A</v>
      </c>
      <c r="O200" s="21" t="e">
        <f t="shared" si="13"/>
        <v>#N/A</v>
      </c>
      <c r="P200" s="21" t="e">
        <f t="shared" si="13"/>
        <v>#N/A</v>
      </c>
      <c r="Q200" s="21" t="e">
        <f t="shared" si="13"/>
        <v>#N/A</v>
      </c>
      <c r="R200" s="21" t="e">
        <f t="shared" si="13"/>
        <v>#N/A</v>
      </c>
      <c r="S200" s="21" t="e">
        <f t="shared" si="13"/>
        <v>#N/A</v>
      </c>
      <c r="T200" s="21" t="e">
        <f t="shared" si="13"/>
        <v>#N/A</v>
      </c>
      <c r="U200" s="21" t="e">
        <f t="shared" si="13"/>
        <v>#N/A</v>
      </c>
      <c r="X200" s="12"/>
    </row>
    <row r="201" spans="2:24" ht="14.25" customHeight="1">
      <c r="B201" s="12"/>
      <c r="C201" s="1"/>
      <c r="D201" s="6" t="s">
        <v>373</v>
      </c>
      <c r="E201" s="21">
        <f t="shared" ref="E201:U201" si="14">COUNT(E6:E197)</f>
        <v>148</v>
      </c>
      <c r="F201" s="21">
        <f t="shared" si="14"/>
        <v>138</v>
      </c>
      <c r="G201" s="21">
        <f t="shared" si="14"/>
        <v>123</v>
      </c>
      <c r="H201" s="21">
        <f t="shared" si="14"/>
        <v>128</v>
      </c>
      <c r="I201" s="21">
        <f t="shared" si="14"/>
        <v>124</v>
      </c>
      <c r="J201" s="21">
        <f t="shared" si="14"/>
        <v>121</v>
      </c>
      <c r="K201" s="21">
        <f t="shared" si="14"/>
        <v>93</v>
      </c>
      <c r="L201" s="21">
        <f t="shared" si="14"/>
        <v>55</v>
      </c>
      <c r="M201" s="21">
        <f t="shared" si="14"/>
        <v>73</v>
      </c>
      <c r="N201" s="21">
        <f t="shared" si="14"/>
        <v>73</v>
      </c>
      <c r="O201" s="21">
        <f t="shared" si="14"/>
        <v>59</v>
      </c>
      <c r="P201" s="21">
        <f t="shared" si="14"/>
        <v>58</v>
      </c>
      <c r="Q201" s="21">
        <f t="shared" si="14"/>
        <v>55</v>
      </c>
      <c r="R201" s="21">
        <f t="shared" si="14"/>
        <v>51</v>
      </c>
      <c r="S201" s="21">
        <f t="shared" si="14"/>
        <v>0</v>
      </c>
      <c r="T201" s="21">
        <f t="shared" si="14"/>
        <v>0</v>
      </c>
      <c r="U201" s="21">
        <f t="shared" si="14"/>
        <v>2</v>
      </c>
      <c r="X201" s="12"/>
    </row>
    <row r="202" spans="2:24" ht="14.25" customHeight="1">
      <c r="B202" s="12"/>
      <c r="C202" s="1"/>
      <c r="D202" s="6"/>
      <c r="E202" s="21"/>
      <c r="F202" s="21"/>
      <c r="G202" s="21"/>
      <c r="H202" s="21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X202" s="12"/>
    </row>
    <row r="203" spans="2:24" ht="14.25" customHeight="1">
      <c r="B203" s="12"/>
      <c r="C203" s="1"/>
      <c r="D203" s="6"/>
      <c r="E203" s="21"/>
      <c r="F203" s="21"/>
      <c r="G203" s="21"/>
      <c r="H203" s="21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X203" s="12"/>
    </row>
  </sheetData>
  <mergeCells count="3">
    <mergeCell ref="A1:D1"/>
    <mergeCell ref="A2:D2"/>
    <mergeCell ref="A3:D3"/>
  </mergeCells>
  <pageMargins left="0.75" right="0.75" top="1" bottom="1" header="0.5" footer="0.5"/>
  <pageSetup paperSize="9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V205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J16" sqref="J16"/>
    </sheetView>
  </sheetViews>
  <sheetFormatPr baseColWidth="10" defaultColWidth="17.1640625" defaultRowHeight="12.75" customHeight="1" x14ac:dyDescent="0"/>
  <cols>
    <col min="1" max="4" width="8.83203125" customWidth="1"/>
    <col min="5" max="19" width="11.5" customWidth="1"/>
    <col min="20" max="21" width="8.83203125" customWidth="1"/>
  </cols>
  <sheetData>
    <row r="1" spans="1:22" ht="13">
      <c r="A1" s="40" t="s">
        <v>102</v>
      </c>
      <c r="B1" s="42"/>
      <c r="C1" s="42"/>
      <c r="D1" s="42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</row>
    <row r="2" spans="1:22" ht="13">
      <c r="A2" s="40" t="s">
        <v>350</v>
      </c>
      <c r="B2" s="42"/>
      <c r="C2" s="42"/>
      <c r="D2" s="42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</row>
    <row r="3" spans="1:22" ht="13">
      <c r="A3" s="40" t="s">
        <v>185</v>
      </c>
      <c r="B3" s="42"/>
      <c r="C3" s="42"/>
      <c r="D3" s="42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1:22" ht="13">
      <c r="A4" s="8"/>
      <c r="B4" s="8"/>
      <c r="C4" s="8"/>
      <c r="D4" s="8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8"/>
    </row>
    <row r="5" spans="1:22" ht="13">
      <c r="A5" s="22"/>
      <c r="B5" s="22"/>
      <c r="C5" s="23" t="s">
        <v>130</v>
      </c>
      <c r="D5" s="23" t="s">
        <v>392</v>
      </c>
      <c r="E5" s="23">
        <v>1995</v>
      </c>
      <c r="F5" s="23">
        <v>1996</v>
      </c>
      <c r="G5" s="23">
        <v>1997</v>
      </c>
      <c r="H5" s="23">
        <v>1998</v>
      </c>
      <c r="I5" s="23">
        <v>1999</v>
      </c>
      <c r="J5" s="23">
        <v>2000</v>
      </c>
      <c r="K5" s="23">
        <v>2001</v>
      </c>
      <c r="L5" s="23">
        <v>2002</v>
      </c>
      <c r="M5" s="23">
        <v>2003</v>
      </c>
      <c r="N5" s="23">
        <v>2004</v>
      </c>
      <c r="O5" s="23">
        <v>2005</v>
      </c>
      <c r="P5" s="23">
        <v>2006</v>
      </c>
      <c r="Q5" s="23">
        <v>2007</v>
      </c>
      <c r="R5" s="23">
        <v>2008</v>
      </c>
      <c r="S5" s="23">
        <v>2009</v>
      </c>
      <c r="T5" s="23">
        <v>2010</v>
      </c>
      <c r="U5" s="23">
        <v>2011</v>
      </c>
      <c r="V5" t="s">
        <v>405</v>
      </c>
    </row>
    <row r="6" spans="1:22" ht="13">
      <c r="A6" s="12"/>
      <c r="B6" s="12"/>
      <c r="C6" s="1" t="s">
        <v>276</v>
      </c>
      <c r="D6" s="1" t="s">
        <v>2</v>
      </c>
      <c r="E6" s="35">
        <v>24.5</v>
      </c>
      <c r="F6" s="35">
        <v>24.75</v>
      </c>
      <c r="G6" s="31">
        <v>25</v>
      </c>
      <c r="H6" s="34">
        <v>26</v>
      </c>
      <c r="I6" s="31">
        <v>27</v>
      </c>
      <c r="J6" s="34">
        <v>27.5</v>
      </c>
      <c r="K6" s="31">
        <v>28</v>
      </c>
      <c r="L6" s="34">
        <v>26.553333283333334</v>
      </c>
      <c r="M6" s="34">
        <v>25.106666566666664</v>
      </c>
      <c r="N6" s="31">
        <v>23.659999849999998</v>
      </c>
      <c r="O6" s="31">
        <v>27.45942879</v>
      </c>
      <c r="P6" s="31">
        <v>29.3</v>
      </c>
      <c r="Q6" s="34">
        <v>29.007000000000001</v>
      </c>
      <c r="R6" s="34">
        <v>28.713999999999999</v>
      </c>
      <c r="S6" s="34">
        <v>28.420999999999999</v>
      </c>
      <c r="T6" s="35">
        <v>28.128</v>
      </c>
    </row>
    <row r="7" spans="1:22" ht="13">
      <c r="A7" s="12"/>
      <c r="B7" s="12"/>
      <c r="C7" s="1" t="s">
        <v>320</v>
      </c>
      <c r="D7" s="1" t="s">
        <v>108</v>
      </c>
      <c r="E7" s="31">
        <v>39</v>
      </c>
      <c r="F7" s="31">
        <v>39</v>
      </c>
      <c r="G7" s="31">
        <v>39</v>
      </c>
      <c r="H7" s="34">
        <v>39.555555555555557</v>
      </c>
      <c r="I7" s="34">
        <v>40.111111111111114</v>
      </c>
      <c r="J7" s="34">
        <v>40.666666666666664</v>
      </c>
      <c r="K7" s="34">
        <v>41.222222222222221</v>
      </c>
      <c r="L7" s="34">
        <v>41.777777777777779</v>
      </c>
      <c r="M7" s="34">
        <v>42.333333333333336</v>
      </c>
      <c r="N7" s="34">
        <v>42.888888888888886</v>
      </c>
      <c r="O7" s="34">
        <v>43.444444444444443</v>
      </c>
      <c r="P7" s="31">
        <v>44</v>
      </c>
      <c r="Q7" s="34">
        <v>41.97</v>
      </c>
      <c r="R7" s="34">
        <v>39.94</v>
      </c>
      <c r="S7" s="34">
        <v>37.910000000000004</v>
      </c>
      <c r="T7" s="35">
        <v>35.880000000000003</v>
      </c>
    </row>
    <row r="8" spans="1:22" ht="13">
      <c r="A8" s="12"/>
      <c r="B8" s="12"/>
      <c r="C8" s="1" t="s">
        <v>52</v>
      </c>
      <c r="D8" s="1" t="s">
        <v>309</v>
      </c>
      <c r="E8" s="35">
        <v>67.522001499399991</v>
      </c>
      <c r="F8" s="35">
        <v>68.211001514700001</v>
      </c>
      <c r="G8" s="31">
        <v>68.900001529999997</v>
      </c>
      <c r="H8" s="31">
        <v>68.900001529999997</v>
      </c>
      <c r="I8" s="31">
        <v>68.900001529999997</v>
      </c>
      <c r="J8" s="31">
        <v>68.900001529999997</v>
      </c>
      <c r="K8" s="34">
        <v>69.225000385000001</v>
      </c>
      <c r="L8" s="34">
        <v>69.549999240000005</v>
      </c>
      <c r="M8" s="34">
        <v>69.874998094999995</v>
      </c>
      <c r="N8" s="31">
        <v>70.199996949999999</v>
      </c>
      <c r="O8" s="34">
        <v>71.014997712499991</v>
      </c>
      <c r="P8" s="34">
        <v>71.829998474999996</v>
      </c>
      <c r="Q8" s="34">
        <v>72.644999237500002</v>
      </c>
      <c r="R8" s="31">
        <v>73.459999999999994</v>
      </c>
      <c r="S8" s="34">
        <v>72.725399999999993</v>
      </c>
      <c r="T8" s="35">
        <v>71.990799999999993</v>
      </c>
    </row>
    <row r="9" spans="1:22" ht="13">
      <c r="A9" s="12"/>
      <c r="B9" s="12"/>
      <c r="C9" s="1" t="s">
        <v>353</v>
      </c>
      <c r="D9" s="1" t="s">
        <v>145</v>
      </c>
    </row>
    <row r="10" spans="1:22" ht="13">
      <c r="A10" s="12"/>
      <c r="B10" s="12"/>
      <c r="C10" s="1" t="s">
        <v>257</v>
      </c>
      <c r="D10" s="1" t="s">
        <v>222</v>
      </c>
      <c r="E10" s="35">
        <v>9.9839996352</v>
      </c>
      <c r="F10" s="35">
        <v>10.087999631399999</v>
      </c>
      <c r="G10" s="35">
        <v>10.1919996276</v>
      </c>
      <c r="H10" s="35">
        <v>10.295999623799998</v>
      </c>
      <c r="I10" s="31">
        <v>10.399999619999999</v>
      </c>
      <c r="J10" s="31">
        <v>10.399999619999999</v>
      </c>
      <c r="K10" s="31">
        <v>10.399999619999999</v>
      </c>
      <c r="L10" s="34">
        <v>10.295999623799998</v>
      </c>
      <c r="M10" s="34">
        <v>10.1919996276</v>
      </c>
      <c r="N10" s="34">
        <v>10.087999631399999</v>
      </c>
      <c r="O10" s="34">
        <v>9.9839996352</v>
      </c>
      <c r="P10" s="34">
        <v>9.8799996389999993</v>
      </c>
      <c r="Q10" s="34">
        <v>9.7759996428000004</v>
      </c>
      <c r="R10" s="34">
        <v>9.6719996465999998</v>
      </c>
      <c r="S10" s="34">
        <v>9.5679996504000009</v>
      </c>
      <c r="T10" s="35">
        <v>9.4639996542000002</v>
      </c>
    </row>
    <row r="11" spans="1:22" ht="13">
      <c r="A11" s="12"/>
      <c r="B11" s="12"/>
      <c r="C11" s="1" t="s">
        <v>22</v>
      </c>
      <c r="D11" s="1" t="s">
        <v>162</v>
      </c>
      <c r="E11" s="35">
        <v>30.652799144400003</v>
      </c>
      <c r="F11" s="35">
        <v>30.982399135200001</v>
      </c>
      <c r="G11" s="35">
        <v>31.311999126000003</v>
      </c>
      <c r="H11" s="35">
        <v>31.641599116800002</v>
      </c>
      <c r="I11" s="35">
        <v>31.971199107600004</v>
      </c>
      <c r="J11" s="35">
        <v>32.300799098400006</v>
      </c>
      <c r="K11" s="35">
        <v>32.630399089200004</v>
      </c>
      <c r="L11" s="31">
        <v>32.959999080000003</v>
      </c>
      <c r="M11" s="34">
        <v>32.630399089200004</v>
      </c>
      <c r="N11" s="34">
        <v>32.300799098400006</v>
      </c>
      <c r="O11" s="34">
        <v>31.971199107600004</v>
      </c>
      <c r="P11" s="34">
        <v>31.641599116800002</v>
      </c>
      <c r="Q11" s="34">
        <v>31.311999126000003</v>
      </c>
      <c r="R11" s="34">
        <v>30.982399135200005</v>
      </c>
      <c r="S11" s="34">
        <v>30.652799144400003</v>
      </c>
      <c r="T11" s="35">
        <v>30.323199153600005</v>
      </c>
    </row>
    <row r="12" spans="1:22" ht="13">
      <c r="A12" s="12"/>
      <c r="B12" s="12"/>
      <c r="C12" s="1" t="s">
        <v>11</v>
      </c>
      <c r="D12" s="1" t="s">
        <v>334</v>
      </c>
      <c r="E12" s="31">
        <v>29.100000380000001</v>
      </c>
      <c r="F12" s="31">
        <v>29.100000380000001</v>
      </c>
      <c r="G12" s="31">
        <v>29.5</v>
      </c>
      <c r="H12" s="31">
        <v>29.5</v>
      </c>
      <c r="I12" s="31">
        <v>29.399999619999999</v>
      </c>
      <c r="J12" s="31">
        <v>29.399999619999999</v>
      </c>
      <c r="K12" s="34">
        <v>29.599999746666665</v>
      </c>
      <c r="L12" s="34">
        <v>29.799999873333334</v>
      </c>
      <c r="M12" s="31">
        <v>30</v>
      </c>
      <c r="N12" s="34">
        <v>29.7</v>
      </c>
      <c r="O12" s="34">
        <v>29.4</v>
      </c>
      <c r="P12" s="34">
        <v>29.099999999999998</v>
      </c>
      <c r="Q12" s="34">
        <v>28.8</v>
      </c>
      <c r="R12" s="34">
        <v>28.5</v>
      </c>
      <c r="S12" s="34">
        <v>28.2</v>
      </c>
      <c r="T12" s="35">
        <v>27.9</v>
      </c>
    </row>
    <row r="13" spans="1:22" ht="13">
      <c r="A13" s="12"/>
      <c r="B13" s="12"/>
      <c r="C13" s="1" t="s">
        <v>14</v>
      </c>
      <c r="D13" s="1" t="s">
        <v>43</v>
      </c>
      <c r="E13" s="31">
        <v>96.699996949999999</v>
      </c>
      <c r="F13" s="31">
        <v>96.699996949999999</v>
      </c>
      <c r="G13" s="31">
        <v>96.800003050000001</v>
      </c>
      <c r="H13" s="31">
        <v>96.800003050000001</v>
      </c>
      <c r="I13" s="34">
        <v>95.694001768000007</v>
      </c>
      <c r="J13" s="34">
        <v>94.588000485999999</v>
      </c>
      <c r="K13" s="34">
        <v>93.481999204000005</v>
      </c>
      <c r="L13" s="34">
        <v>92.375997921999996</v>
      </c>
      <c r="M13" s="31">
        <v>91.269996640000002</v>
      </c>
      <c r="N13" s="31">
        <v>90.120002749999998</v>
      </c>
      <c r="O13" s="31">
        <v>89.97000122</v>
      </c>
      <c r="P13" s="31">
        <v>88.978996280000004</v>
      </c>
      <c r="Q13" s="31">
        <v>89.04</v>
      </c>
      <c r="R13" s="31">
        <v>90.52</v>
      </c>
      <c r="S13" s="34">
        <v>89.614800000000002</v>
      </c>
      <c r="T13" s="35">
        <v>88.709599999999995</v>
      </c>
    </row>
    <row r="14" spans="1:22" ht="13">
      <c r="A14" s="12"/>
      <c r="B14" s="12"/>
      <c r="C14" s="1" t="s">
        <v>32</v>
      </c>
      <c r="D14" s="1" t="s">
        <v>385</v>
      </c>
      <c r="E14" s="31">
        <v>38.599998470000003</v>
      </c>
      <c r="F14" s="31">
        <v>38.700000760000002</v>
      </c>
      <c r="G14" s="34">
        <v>38.700000760000002</v>
      </c>
      <c r="H14" s="31">
        <v>38.700000760000002</v>
      </c>
      <c r="I14" s="34">
        <v>38.313000752400001</v>
      </c>
      <c r="J14" s="34">
        <v>37.9260007448</v>
      </c>
      <c r="K14" s="34">
        <v>37.539000737199999</v>
      </c>
      <c r="L14" s="34">
        <v>37.152000729600005</v>
      </c>
      <c r="M14" s="34">
        <v>36.765000722000003</v>
      </c>
      <c r="N14" s="34">
        <v>36.378000714400002</v>
      </c>
      <c r="O14" s="34">
        <v>35.991000706800001</v>
      </c>
      <c r="P14" s="34">
        <v>35.6040006992</v>
      </c>
      <c r="Q14" s="34">
        <v>35.217000691600006</v>
      </c>
      <c r="R14" s="34">
        <v>34.830000684000005</v>
      </c>
      <c r="S14" s="34">
        <v>34.443000676400004</v>
      </c>
      <c r="T14" s="35">
        <v>34.056000668800003</v>
      </c>
    </row>
    <row r="15" spans="1:22" ht="13">
      <c r="A15" s="12"/>
      <c r="B15" s="12"/>
      <c r="C15" s="1" t="s">
        <v>45</v>
      </c>
      <c r="D15" s="1" t="s">
        <v>330</v>
      </c>
      <c r="E15" s="31">
        <v>100</v>
      </c>
      <c r="F15" s="31">
        <v>100</v>
      </c>
      <c r="G15" s="31">
        <v>100</v>
      </c>
      <c r="H15" s="31">
        <v>100</v>
      </c>
      <c r="I15" s="34">
        <v>96.666666666666671</v>
      </c>
      <c r="J15" s="34">
        <v>93.333333333333329</v>
      </c>
      <c r="K15" s="31">
        <v>90</v>
      </c>
      <c r="L15" s="31">
        <v>100</v>
      </c>
      <c r="M15" s="31">
        <v>80</v>
      </c>
      <c r="N15" s="34">
        <v>90</v>
      </c>
      <c r="O15" s="31">
        <v>100</v>
      </c>
      <c r="P15" s="31">
        <v>100</v>
      </c>
      <c r="Q15" s="31">
        <v>100</v>
      </c>
      <c r="R15" s="31">
        <v>100</v>
      </c>
      <c r="S15" s="34">
        <v>99</v>
      </c>
      <c r="T15" s="35">
        <v>98</v>
      </c>
    </row>
    <row r="16" spans="1:22" ht="13">
      <c r="A16" s="12"/>
      <c r="B16" s="12"/>
      <c r="C16" s="1" t="s">
        <v>87</v>
      </c>
      <c r="D16" s="1" t="s">
        <v>155</v>
      </c>
      <c r="E16" s="35">
        <v>44.944899444900003</v>
      </c>
      <c r="F16" s="35">
        <v>45.438799438799997</v>
      </c>
      <c r="G16" s="35">
        <v>45.932699432699998</v>
      </c>
      <c r="H16" s="35">
        <v>46.426599426599999</v>
      </c>
      <c r="I16" s="35">
        <v>46.920499420500001</v>
      </c>
      <c r="J16" s="35">
        <v>47.414399414400002</v>
      </c>
      <c r="K16" s="35">
        <v>47.908299408300003</v>
      </c>
      <c r="L16" s="35">
        <v>48.402199402199997</v>
      </c>
      <c r="M16" s="35">
        <v>48.896099396099999</v>
      </c>
      <c r="N16" s="31">
        <v>49.38999939</v>
      </c>
      <c r="O16" s="34">
        <v>49.996272785000002</v>
      </c>
      <c r="P16" s="31">
        <v>50.602546179999997</v>
      </c>
      <c r="Q16" s="34">
        <v>50.096520718199997</v>
      </c>
      <c r="R16" s="34">
        <v>49.590495256399997</v>
      </c>
      <c r="S16" s="34">
        <v>49.084469794599997</v>
      </c>
      <c r="T16" s="35">
        <v>48.578444332799997</v>
      </c>
    </row>
    <row r="17" spans="1:20" ht="13">
      <c r="A17" s="12"/>
      <c r="B17" s="12"/>
      <c r="C17" s="1" t="s">
        <v>256</v>
      </c>
      <c r="D17" s="1" t="s">
        <v>63</v>
      </c>
      <c r="E17" s="31">
        <v>57.400001529999997</v>
      </c>
      <c r="F17" s="31">
        <v>57.400001529999997</v>
      </c>
      <c r="G17" s="31">
        <v>57.400001529999997</v>
      </c>
      <c r="H17" s="31">
        <v>57.400001529999997</v>
      </c>
      <c r="I17" s="31">
        <v>57.400001529999997</v>
      </c>
      <c r="J17" s="31">
        <v>57.400001529999997</v>
      </c>
      <c r="K17" s="31">
        <v>57.400001529999997</v>
      </c>
      <c r="L17" s="34">
        <v>56.826001514699996</v>
      </c>
      <c r="M17" s="34">
        <v>56.252001499399995</v>
      </c>
      <c r="N17" s="34">
        <v>55.678001484100001</v>
      </c>
      <c r="O17" s="34">
        <v>55.1040014688</v>
      </c>
      <c r="P17" s="34">
        <v>54.530001453499999</v>
      </c>
      <c r="Q17" s="34">
        <v>53.956001438199998</v>
      </c>
      <c r="R17" s="34">
        <v>53.382001422900004</v>
      </c>
      <c r="S17" s="34">
        <v>52.808001407600003</v>
      </c>
      <c r="T17" s="35">
        <v>52.234001392300001</v>
      </c>
    </row>
    <row r="18" spans="1:20" ht="13">
      <c r="A18" s="12"/>
      <c r="B18" s="12"/>
      <c r="C18" s="1" t="s">
        <v>252</v>
      </c>
      <c r="D18" s="1" t="s">
        <v>284</v>
      </c>
      <c r="E18" s="35">
        <v>75.042003019500001</v>
      </c>
      <c r="F18" s="31">
        <v>75.800003050000001</v>
      </c>
      <c r="G18" s="31">
        <v>76.5</v>
      </c>
      <c r="H18" s="31">
        <v>76.900001529999997</v>
      </c>
      <c r="I18" s="31">
        <v>77.400001529999997</v>
      </c>
      <c r="J18" s="31">
        <v>77.599998470000003</v>
      </c>
      <c r="K18" s="31">
        <v>75.300003050000001</v>
      </c>
      <c r="L18" s="31">
        <v>78.900001529999997</v>
      </c>
      <c r="M18" s="31">
        <v>79.129997250000002</v>
      </c>
      <c r="N18" s="31">
        <v>79.739106300000003</v>
      </c>
      <c r="O18" s="31">
        <v>80.312837110000004</v>
      </c>
      <c r="P18" s="31">
        <v>80.804627929999995</v>
      </c>
      <c r="Q18" s="31">
        <v>81.04388471</v>
      </c>
      <c r="R18" s="31">
        <v>81.481481479999999</v>
      </c>
      <c r="S18" s="34">
        <v>80.666666665199998</v>
      </c>
      <c r="T18" s="35">
        <v>79.851851850399996</v>
      </c>
    </row>
    <row r="19" spans="1:20" ht="13">
      <c r="A19" s="12"/>
      <c r="B19" s="12"/>
      <c r="C19" s="1" t="s">
        <v>225</v>
      </c>
      <c r="D19" s="1" t="s">
        <v>116</v>
      </c>
      <c r="E19" s="31">
        <v>7.9000000950000002</v>
      </c>
      <c r="F19" s="31">
        <v>8.3999996190000008</v>
      </c>
      <c r="G19" s="31">
        <v>9.5</v>
      </c>
      <c r="H19" s="31">
        <v>9.5299997330000004</v>
      </c>
      <c r="I19" s="31">
        <v>9.5299997330000004</v>
      </c>
      <c r="J19" s="31">
        <v>9.5299997330000004</v>
      </c>
      <c r="K19" s="34">
        <v>9.5199998220000008</v>
      </c>
      <c r="L19" s="34">
        <v>9.5099999109999995</v>
      </c>
      <c r="M19" s="31">
        <v>9.5</v>
      </c>
      <c r="N19" s="34">
        <v>9.4049999999999994</v>
      </c>
      <c r="O19" s="34">
        <v>9.31</v>
      </c>
      <c r="P19" s="34">
        <v>9.2149999999999999</v>
      </c>
      <c r="Q19" s="34">
        <v>9.1199999999999992</v>
      </c>
      <c r="R19" s="34">
        <v>9.0249999999999986</v>
      </c>
      <c r="S19" s="34">
        <v>8.93</v>
      </c>
      <c r="T19" s="35">
        <v>8.8349999999999991</v>
      </c>
    </row>
    <row r="20" spans="1:20" ht="13">
      <c r="A20" s="12"/>
      <c r="B20" s="12"/>
      <c r="C20" s="1" t="s">
        <v>401</v>
      </c>
      <c r="D20" s="1" t="s">
        <v>19</v>
      </c>
      <c r="E20" s="31">
        <v>95.800003050000001</v>
      </c>
      <c r="F20" s="31">
        <v>95.900001529999997</v>
      </c>
      <c r="G20" s="34">
        <v>97.25</v>
      </c>
      <c r="H20" s="31">
        <v>98.599998470000003</v>
      </c>
      <c r="I20" s="31">
        <v>98.599998470000003</v>
      </c>
      <c r="J20" s="31">
        <v>98.599998470000003</v>
      </c>
      <c r="K20" s="31">
        <v>98.599998470000003</v>
      </c>
      <c r="L20" s="31">
        <v>98.599998470000003</v>
      </c>
      <c r="M20" s="31">
        <v>100</v>
      </c>
      <c r="N20" s="31">
        <v>100</v>
      </c>
      <c r="O20" s="34">
        <v>99</v>
      </c>
      <c r="P20" s="34">
        <v>98</v>
      </c>
      <c r="Q20" s="34">
        <v>97</v>
      </c>
      <c r="R20" s="34">
        <v>96</v>
      </c>
      <c r="S20" s="34">
        <v>95</v>
      </c>
      <c r="T20" s="35">
        <v>94</v>
      </c>
    </row>
    <row r="21" spans="1:20" ht="13">
      <c r="A21" s="12"/>
      <c r="B21" s="12"/>
      <c r="C21" s="1" t="s">
        <v>319</v>
      </c>
      <c r="D21" s="1" t="s">
        <v>169</v>
      </c>
      <c r="E21" s="31">
        <v>98.599998470000003</v>
      </c>
      <c r="F21" s="31">
        <v>98.800003050000001</v>
      </c>
      <c r="G21" s="31">
        <v>98.199996949999999</v>
      </c>
      <c r="H21" s="31">
        <v>95.599998470000003</v>
      </c>
      <c r="I21" s="34">
        <v>93.759999082000007</v>
      </c>
      <c r="J21" s="34">
        <v>91.919999693999998</v>
      </c>
      <c r="K21" s="34">
        <v>90.080000306000002</v>
      </c>
      <c r="L21" s="34">
        <v>88.240000917999993</v>
      </c>
      <c r="M21" s="31">
        <v>86.400001529999997</v>
      </c>
      <c r="N21" s="31">
        <v>87</v>
      </c>
      <c r="O21" s="31">
        <v>88.63999939</v>
      </c>
      <c r="P21" s="34">
        <v>87.7535993961</v>
      </c>
      <c r="Q21" s="34">
        <v>86.867199402200001</v>
      </c>
      <c r="R21" s="34">
        <v>85.980799408300001</v>
      </c>
      <c r="S21" s="34">
        <v>85.094399414400002</v>
      </c>
      <c r="T21" s="35">
        <v>84.207999420500002</v>
      </c>
    </row>
    <row r="22" spans="1:20" ht="13">
      <c r="A22" s="12"/>
      <c r="B22" s="12"/>
      <c r="C22" s="1" t="s">
        <v>219</v>
      </c>
      <c r="D22" s="1" t="s">
        <v>274</v>
      </c>
      <c r="E22" s="31">
        <v>80.699996949999999</v>
      </c>
      <c r="F22" s="31">
        <v>80.699996949999999</v>
      </c>
      <c r="G22" s="31">
        <v>80.699996949999999</v>
      </c>
      <c r="H22" s="31">
        <v>78.199996949999999</v>
      </c>
      <c r="I22" s="31">
        <v>78.199996949999999</v>
      </c>
      <c r="J22" s="31">
        <v>78.199996949999999</v>
      </c>
      <c r="K22" s="31">
        <v>78.300003050000001</v>
      </c>
      <c r="L22" s="31">
        <v>78.199996949999999</v>
      </c>
      <c r="M22" s="31">
        <v>78</v>
      </c>
      <c r="N22" s="31">
        <v>78</v>
      </c>
      <c r="O22" s="31">
        <v>78.21199799</v>
      </c>
      <c r="P22" s="31">
        <v>78.208000179999999</v>
      </c>
      <c r="Q22" s="31">
        <v>78.2</v>
      </c>
      <c r="R22" s="31">
        <v>78.2</v>
      </c>
      <c r="S22" s="34">
        <v>77.418000000000006</v>
      </c>
      <c r="T22" s="35">
        <v>76.635999999999996</v>
      </c>
    </row>
    <row r="23" spans="1:20" ht="13">
      <c r="A23" s="12"/>
      <c r="B23" s="12"/>
      <c r="C23" s="1" t="s">
        <v>322</v>
      </c>
      <c r="D23" s="1" t="s">
        <v>312</v>
      </c>
      <c r="E23" s="35">
        <v>18.809999999999999</v>
      </c>
      <c r="F23" s="31">
        <v>19</v>
      </c>
      <c r="G23" s="31">
        <v>16</v>
      </c>
      <c r="H23" s="31">
        <v>17</v>
      </c>
      <c r="I23" s="31">
        <v>17</v>
      </c>
      <c r="J23" s="31">
        <v>17</v>
      </c>
      <c r="K23" s="31">
        <v>17</v>
      </c>
      <c r="L23" s="34">
        <v>16.829999999999998</v>
      </c>
      <c r="M23" s="34">
        <v>16.66</v>
      </c>
      <c r="N23" s="34">
        <v>16.490000000000002</v>
      </c>
      <c r="O23" s="34">
        <v>16.32</v>
      </c>
      <c r="P23" s="34">
        <v>16.149999999999999</v>
      </c>
      <c r="Q23" s="34">
        <v>15.98</v>
      </c>
      <c r="R23" s="34">
        <v>15.81</v>
      </c>
      <c r="S23" s="34">
        <v>15.64</v>
      </c>
      <c r="T23" s="35">
        <v>15.47</v>
      </c>
    </row>
    <row r="24" spans="1:20" ht="13">
      <c r="A24" s="12"/>
      <c r="B24" s="12"/>
      <c r="C24" s="1" t="s">
        <v>218</v>
      </c>
      <c r="D24" s="1" t="s">
        <v>89</v>
      </c>
      <c r="E24" s="31">
        <v>20</v>
      </c>
      <c r="F24" s="31">
        <v>20</v>
      </c>
      <c r="G24" s="31">
        <v>20</v>
      </c>
      <c r="H24" s="31">
        <v>20</v>
      </c>
      <c r="I24" s="34">
        <v>18.25</v>
      </c>
      <c r="J24" s="34">
        <v>16.5</v>
      </c>
      <c r="K24" s="34">
        <v>14.75</v>
      </c>
      <c r="L24" s="34">
        <v>13</v>
      </c>
      <c r="M24" s="34">
        <v>11.25</v>
      </c>
      <c r="N24" s="31">
        <v>9.5</v>
      </c>
      <c r="O24" s="34">
        <v>9.4049999999999994</v>
      </c>
      <c r="P24" s="34">
        <v>9.31</v>
      </c>
      <c r="Q24" s="34">
        <v>9.2149999999999999</v>
      </c>
      <c r="R24" s="34">
        <v>9.1199999999999992</v>
      </c>
      <c r="S24" s="34">
        <v>9.0250000000000004</v>
      </c>
      <c r="T24" s="35">
        <v>8.93</v>
      </c>
    </row>
    <row r="25" spans="1:20" ht="13">
      <c r="A25" s="12"/>
      <c r="B25" s="12"/>
      <c r="C25" s="1" t="s">
        <v>0</v>
      </c>
      <c r="D25" s="1" t="s">
        <v>379</v>
      </c>
      <c r="E25" s="31">
        <v>63.700000760000002</v>
      </c>
      <c r="F25" s="31">
        <v>60.700000760000002</v>
      </c>
      <c r="G25" s="31">
        <v>60.700000760000002</v>
      </c>
      <c r="H25" s="34">
        <v>60.9166673</v>
      </c>
      <c r="I25" s="34">
        <v>61.133333839999999</v>
      </c>
      <c r="J25" s="34">
        <v>61.350000379999997</v>
      </c>
      <c r="K25" s="34">
        <v>61.566666920000003</v>
      </c>
      <c r="L25" s="34">
        <v>61.783333460000001</v>
      </c>
      <c r="M25" s="31">
        <v>62</v>
      </c>
      <c r="N25" s="34">
        <v>61.379999999999995</v>
      </c>
      <c r="O25" s="34">
        <v>60.76</v>
      </c>
      <c r="P25" s="34">
        <v>60.14</v>
      </c>
      <c r="Q25" s="34">
        <v>59.519999999999996</v>
      </c>
      <c r="R25" s="34">
        <v>58.9</v>
      </c>
      <c r="S25" s="34">
        <v>58.279999999999994</v>
      </c>
      <c r="T25" s="35">
        <v>57.66</v>
      </c>
    </row>
    <row r="26" spans="1:20" ht="13">
      <c r="A26" s="12"/>
      <c r="B26" s="12"/>
      <c r="C26" s="1" t="s">
        <v>349</v>
      </c>
      <c r="D26" s="1" t="s">
        <v>93</v>
      </c>
      <c r="E26" s="31">
        <v>5.5</v>
      </c>
      <c r="F26" s="31">
        <v>5.5</v>
      </c>
      <c r="G26" s="31">
        <v>5.6999998090000004</v>
      </c>
      <c r="H26" s="31">
        <v>6</v>
      </c>
      <c r="I26" s="31">
        <v>6.4000000950000002</v>
      </c>
      <c r="J26" s="31">
        <v>6.5999999049999998</v>
      </c>
      <c r="K26" s="31">
        <v>6.6999998090000004</v>
      </c>
      <c r="L26" s="31">
        <v>6.6999998090000004</v>
      </c>
      <c r="M26" s="31">
        <v>7</v>
      </c>
      <c r="N26" s="31">
        <v>7</v>
      </c>
      <c r="O26" s="34">
        <v>6.93</v>
      </c>
      <c r="P26" s="34">
        <v>6.86</v>
      </c>
      <c r="Q26" s="34">
        <v>6.79</v>
      </c>
      <c r="R26" s="34">
        <v>6.72</v>
      </c>
      <c r="S26" s="34">
        <v>6.65</v>
      </c>
      <c r="T26" s="35">
        <v>6.58</v>
      </c>
    </row>
    <row r="27" spans="1:20" ht="13">
      <c r="A27" s="12"/>
      <c r="B27" s="12"/>
      <c r="C27" s="1" t="s">
        <v>277</v>
      </c>
      <c r="D27" s="1" t="s">
        <v>186</v>
      </c>
      <c r="E27" s="31">
        <v>52.299999239999998</v>
      </c>
      <c r="F27" s="31">
        <v>52.299999239999998</v>
      </c>
      <c r="G27" s="31">
        <v>52.299999239999998</v>
      </c>
      <c r="H27" s="31">
        <v>52.299999239999998</v>
      </c>
      <c r="I27" s="31">
        <v>52.299999239999998</v>
      </c>
      <c r="J27" s="34">
        <v>52.299999239999998</v>
      </c>
      <c r="K27" s="34">
        <v>52.299999239999998</v>
      </c>
      <c r="L27" s="34">
        <v>52.299999239999998</v>
      </c>
      <c r="M27" s="34">
        <v>52.299999239999998</v>
      </c>
      <c r="N27" s="34">
        <v>52.299999239999998</v>
      </c>
      <c r="O27" s="31">
        <v>52.299999239999998</v>
      </c>
      <c r="P27" s="34">
        <v>51.776999247599996</v>
      </c>
      <c r="Q27" s="34">
        <v>51.2539992552</v>
      </c>
      <c r="R27" s="34">
        <v>50.730999262799997</v>
      </c>
      <c r="S27" s="34">
        <v>50.207999270400002</v>
      </c>
      <c r="T27" s="35">
        <v>49.684999277999999</v>
      </c>
    </row>
    <row r="28" spans="1:20" ht="13">
      <c r="A28" s="12"/>
      <c r="B28" s="12"/>
      <c r="C28" s="1" t="s">
        <v>42</v>
      </c>
      <c r="D28" s="1" t="s">
        <v>167</v>
      </c>
      <c r="E28" s="35">
        <v>32.828999293199999</v>
      </c>
      <c r="F28" s="35">
        <v>33.1819992856</v>
      </c>
      <c r="G28" s="35">
        <v>33.534999278000001</v>
      </c>
      <c r="H28" s="35">
        <v>33.887999270400002</v>
      </c>
      <c r="I28" s="35">
        <v>34.240999262799996</v>
      </c>
      <c r="J28" s="35">
        <v>34.593999255199996</v>
      </c>
      <c r="K28" s="35">
        <v>34.946999247599997</v>
      </c>
      <c r="L28" s="31">
        <v>35.299999239999998</v>
      </c>
      <c r="M28" s="31">
        <v>35.13999939</v>
      </c>
      <c r="N28" s="31">
        <v>33.200000760000002</v>
      </c>
      <c r="O28" s="31">
        <v>32.599998470000003</v>
      </c>
      <c r="P28" s="34">
        <v>32.273998485300005</v>
      </c>
      <c r="Q28" s="34">
        <v>31.947998500600001</v>
      </c>
      <c r="R28" s="34">
        <v>31.621998515900003</v>
      </c>
      <c r="S28" s="34">
        <v>31.295998531200002</v>
      </c>
      <c r="T28" s="35">
        <v>30.969998546500001</v>
      </c>
    </row>
    <row r="29" spans="1:20" ht="13">
      <c r="A29" s="12"/>
      <c r="B29" s="12"/>
      <c r="C29" s="1" t="s">
        <v>400</v>
      </c>
      <c r="D29" s="1" t="s">
        <v>367</v>
      </c>
      <c r="E29" s="31">
        <v>8.8999996190000008</v>
      </c>
      <c r="F29" s="31">
        <v>9.3000001910000005</v>
      </c>
      <c r="G29" s="31">
        <v>9.1000003809999992</v>
      </c>
      <c r="H29" s="31">
        <v>9.6000003809999992</v>
      </c>
      <c r="I29" s="31">
        <v>5.5999999049999998</v>
      </c>
      <c r="J29" s="31">
        <v>5.5</v>
      </c>
      <c r="K29" s="34">
        <v>5.4450000000000003</v>
      </c>
      <c r="L29" s="34">
        <v>5.39</v>
      </c>
      <c r="M29" s="34">
        <v>5.335</v>
      </c>
      <c r="N29" s="34">
        <v>5.28</v>
      </c>
      <c r="O29" s="34">
        <v>5.2249999999999996</v>
      </c>
      <c r="P29" s="34">
        <v>5.17</v>
      </c>
      <c r="Q29" s="34">
        <v>5.1150000000000002</v>
      </c>
      <c r="R29" s="34">
        <v>5.0600000000000005</v>
      </c>
      <c r="S29" s="34">
        <v>5.0049999999999999</v>
      </c>
      <c r="T29" s="35">
        <v>4.95</v>
      </c>
    </row>
    <row r="30" spans="1:20" ht="13">
      <c r="A30" s="12"/>
      <c r="B30" s="12"/>
      <c r="C30" s="1" t="s">
        <v>395</v>
      </c>
      <c r="D30" s="1" t="s">
        <v>154</v>
      </c>
      <c r="E30" s="31">
        <v>34.599998470000003</v>
      </c>
      <c r="F30" s="34">
        <v>34.649999614999999</v>
      </c>
      <c r="G30" s="31">
        <v>34.700000760000002</v>
      </c>
      <c r="H30" s="31">
        <v>34.700000760000002</v>
      </c>
      <c r="I30" s="31">
        <v>34.700000760000002</v>
      </c>
      <c r="J30" s="31">
        <v>34.700000760000002</v>
      </c>
      <c r="K30" s="34">
        <v>43.206001280000002</v>
      </c>
      <c r="L30" s="34">
        <v>51.712001800000003</v>
      </c>
      <c r="M30" s="34">
        <v>60.218002319999997</v>
      </c>
      <c r="N30" s="34">
        <v>68.724002839999997</v>
      </c>
      <c r="O30" s="31">
        <v>77.230003359999998</v>
      </c>
      <c r="P30" s="34">
        <v>76.457703326399994</v>
      </c>
      <c r="Q30" s="34">
        <v>75.68540329279999</v>
      </c>
      <c r="R30" s="34">
        <v>74.9131032592</v>
      </c>
      <c r="S30" s="34">
        <v>74.140803225599996</v>
      </c>
      <c r="T30" s="35">
        <v>73.368503191999991</v>
      </c>
    </row>
    <row r="31" spans="1:20" ht="13">
      <c r="A31" s="12"/>
      <c r="B31" s="12"/>
      <c r="C31" s="1" t="s">
        <v>243</v>
      </c>
      <c r="D31" s="1" t="s">
        <v>121</v>
      </c>
      <c r="E31" s="31">
        <v>92</v>
      </c>
      <c r="F31" s="31">
        <v>92</v>
      </c>
      <c r="G31" s="31">
        <v>92</v>
      </c>
      <c r="H31" s="31">
        <v>92.099998470000003</v>
      </c>
      <c r="I31" s="34">
        <v>92.999998907142853</v>
      </c>
      <c r="J31" s="34">
        <v>93.899999344285717</v>
      </c>
      <c r="K31" s="34">
        <v>94.799999781428568</v>
      </c>
      <c r="L31" s="34">
        <v>95.700000218571432</v>
      </c>
      <c r="M31" s="34">
        <v>96.600000655714283</v>
      </c>
      <c r="N31" s="34">
        <v>97.500001092857147</v>
      </c>
      <c r="O31" s="31">
        <v>98.400001529999997</v>
      </c>
      <c r="P31" s="34">
        <v>97.4160015147</v>
      </c>
      <c r="Q31" s="34">
        <v>96.432001499400002</v>
      </c>
      <c r="R31" s="34">
        <v>95.44800148409999</v>
      </c>
      <c r="S31" s="34">
        <v>94.464001468799992</v>
      </c>
      <c r="T31" s="35">
        <v>93.480001453499995</v>
      </c>
    </row>
    <row r="32" spans="1:20" ht="13">
      <c r="A32" s="12"/>
      <c r="B32" s="12"/>
      <c r="C32" s="1" t="s">
        <v>214</v>
      </c>
      <c r="D32" s="1" t="s">
        <v>209</v>
      </c>
      <c r="E32" s="31">
        <v>16</v>
      </c>
      <c r="F32" s="31">
        <v>16</v>
      </c>
      <c r="G32" s="31">
        <v>16</v>
      </c>
      <c r="H32" s="31">
        <v>16</v>
      </c>
      <c r="I32" s="31">
        <v>16</v>
      </c>
      <c r="J32" s="34">
        <v>13.634000015199998</v>
      </c>
      <c r="K32" s="34">
        <v>11.2680000304</v>
      </c>
      <c r="L32" s="34">
        <v>8.9020000455999995</v>
      </c>
      <c r="M32" s="34">
        <v>6.5360000607999993</v>
      </c>
      <c r="N32" s="31">
        <v>4.170000076</v>
      </c>
      <c r="O32" s="34">
        <v>4.1283000752400003</v>
      </c>
      <c r="P32" s="34">
        <v>4.0866000744799997</v>
      </c>
      <c r="Q32" s="34">
        <v>4.04490007372</v>
      </c>
      <c r="R32" s="34">
        <v>4.0032000729599995</v>
      </c>
      <c r="S32" s="34">
        <v>3.9615000721999998</v>
      </c>
      <c r="T32" s="35">
        <v>3.9198000714399996</v>
      </c>
    </row>
    <row r="33" spans="1:20" ht="13">
      <c r="A33" s="12"/>
      <c r="B33" s="12"/>
      <c r="C33" s="1" t="s">
        <v>202</v>
      </c>
      <c r="D33" s="1" t="s">
        <v>189</v>
      </c>
      <c r="E33" s="35">
        <v>6.8159999087999994</v>
      </c>
      <c r="F33" s="35">
        <v>6.8869999078499999</v>
      </c>
      <c r="G33" s="35">
        <v>6.9579999068999996</v>
      </c>
      <c r="H33" s="35">
        <v>7.0289999059500001</v>
      </c>
      <c r="I33" s="31">
        <v>7.0999999049999998</v>
      </c>
      <c r="J33" s="31">
        <v>7.0999999049999998</v>
      </c>
      <c r="K33" s="34">
        <v>7.9349998237500001</v>
      </c>
      <c r="L33" s="34">
        <v>8.7699997424999996</v>
      </c>
      <c r="M33" s="34">
        <v>9.6049996612499999</v>
      </c>
      <c r="N33" s="31">
        <v>10.43999958</v>
      </c>
      <c r="O33" s="34">
        <v>10.335599584200001</v>
      </c>
      <c r="P33" s="34">
        <v>10.231199588400001</v>
      </c>
      <c r="Q33" s="34">
        <v>10.126799592600001</v>
      </c>
      <c r="R33" s="34">
        <v>10.0223995968</v>
      </c>
      <c r="S33" s="34">
        <v>9.917999601</v>
      </c>
      <c r="T33" s="35">
        <v>9.8135996052000003</v>
      </c>
    </row>
    <row r="34" spans="1:20" ht="13">
      <c r="A34" s="12"/>
      <c r="B34" s="12"/>
      <c r="C34" s="1" t="s">
        <v>272</v>
      </c>
      <c r="D34" s="1" t="s">
        <v>273</v>
      </c>
      <c r="E34" s="31">
        <v>7.5</v>
      </c>
      <c r="F34" s="31">
        <v>7.5</v>
      </c>
      <c r="G34" s="31">
        <v>7.5</v>
      </c>
      <c r="H34" s="34">
        <v>7.3271428517142851</v>
      </c>
      <c r="I34" s="34">
        <v>7.1542857034285712</v>
      </c>
      <c r="J34" s="34">
        <v>6.9814285551428572</v>
      </c>
      <c r="K34" s="34">
        <v>6.8085714068571423</v>
      </c>
      <c r="L34" s="34">
        <v>6.6357142585714284</v>
      </c>
      <c r="M34" s="34">
        <v>6.4628571102857135</v>
      </c>
      <c r="N34" s="31">
        <v>6.2899999619999996</v>
      </c>
      <c r="O34" s="34">
        <v>6.2270999623799996</v>
      </c>
      <c r="P34" s="34">
        <v>6.1641999627599997</v>
      </c>
      <c r="Q34" s="34">
        <v>6.1012999631399989</v>
      </c>
      <c r="R34" s="34">
        <v>6.038399963519999</v>
      </c>
      <c r="S34" s="34">
        <v>5.975499963899999</v>
      </c>
      <c r="T34" s="35">
        <v>5.9125999642799991</v>
      </c>
    </row>
    <row r="35" spans="1:20" ht="13">
      <c r="A35" s="12"/>
      <c r="B35" s="12"/>
      <c r="C35" s="1" t="s">
        <v>327</v>
      </c>
      <c r="D35" s="1" t="s">
        <v>244</v>
      </c>
      <c r="E35" s="31">
        <v>12.5</v>
      </c>
      <c r="F35" s="31">
        <v>12.5</v>
      </c>
      <c r="G35" s="31">
        <v>12.5</v>
      </c>
      <c r="H35" s="31">
        <v>12.5</v>
      </c>
      <c r="I35" s="31">
        <v>12.5</v>
      </c>
      <c r="J35" s="31">
        <v>8.1000003809999992</v>
      </c>
      <c r="K35" s="34">
        <v>8.1675002572499995</v>
      </c>
      <c r="L35" s="34">
        <v>8.2350001334999998</v>
      </c>
      <c r="M35" s="34">
        <v>8.3025000097500001</v>
      </c>
      <c r="N35" s="31">
        <v>8.3699998860000004</v>
      </c>
      <c r="O35" s="34">
        <v>8.2862998871400002</v>
      </c>
      <c r="P35" s="34">
        <v>8.20259988828</v>
      </c>
      <c r="Q35" s="34">
        <v>8.1188998894199997</v>
      </c>
      <c r="R35" s="34">
        <v>8.0351998905599995</v>
      </c>
      <c r="S35" s="34">
        <v>7.9514998917000002</v>
      </c>
      <c r="T35" s="35">
        <v>7.8677998928399999</v>
      </c>
    </row>
    <row r="36" spans="1:20" ht="13">
      <c r="A36" s="12"/>
      <c r="B36" s="12"/>
      <c r="C36" s="1" t="s">
        <v>138</v>
      </c>
      <c r="D36" s="1" t="s">
        <v>193</v>
      </c>
      <c r="E36" s="31">
        <v>35.299999239999998</v>
      </c>
      <c r="F36" s="34">
        <v>35.807776983333333</v>
      </c>
      <c r="G36" s="34">
        <v>36.315554726666662</v>
      </c>
      <c r="H36" s="34">
        <v>36.823332469999997</v>
      </c>
      <c r="I36" s="34">
        <v>37.331110213333332</v>
      </c>
      <c r="J36" s="34">
        <v>37.838887956666667</v>
      </c>
      <c r="K36" s="34">
        <v>38.346665700000003</v>
      </c>
      <c r="L36" s="34">
        <v>38.854443443333331</v>
      </c>
      <c r="M36" s="34">
        <v>39.362221186666666</v>
      </c>
      <c r="N36" s="31">
        <v>39.869998930000001</v>
      </c>
      <c r="O36" s="34">
        <v>39.471298940700002</v>
      </c>
      <c r="P36" s="34">
        <v>39.072598951400003</v>
      </c>
      <c r="Q36" s="34">
        <v>38.673898962099997</v>
      </c>
      <c r="R36" s="34">
        <v>38.275198972799998</v>
      </c>
      <c r="S36" s="34">
        <v>37.876498983499999</v>
      </c>
      <c r="T36" s="35">
        <v>37.4777989942</v>
      </c>
    </row>
    <row r="37" spans="1:20" ht="13">
      <c r="A37" s="12"/>
      <c r="B37" s="12"/>
      <c r="C37" s="1" t="s">
        <v>380</v>
      </c>
      <c r="D37" s="1" t="s">
        <v>182</v>
      </c>
      <c r="E37" s="31">
        <v>78</v>
      </c>
      <c r="F37" s="31">
        <v>78</v>
      </c>
      <c r="G37" s="31">
        <v>78</v>
      </c>
      <c r="H37" s="31">
        <v>78</v>
      </c>
      <c r="I37" s="31">
        <v>78</v>
      </c>
      <c r="J37" s="31">
        <v>69.040000919999997</v>
      </c>
      <c r="K37" s="31">
        <v>69.040000919999997</v>
      </c>
      <c r="L37" s="34">
        <v>68.349600910799992</v>
      </c>
      <c r="M37" s="34">
        <v>67.659200901600002</v>
      </c>
      <c r="N37" s="34">
        <v>66.968800892399997</v>
      </c>
      <c r="O37" s="34">
        <v>66.278400883199993</v>
      </c>
      <c r="P37" s="34">
        <v>65.588000874000002</v>
      </c>
      <c r="Q37" s="34">
        <v>64.897600864799998</v>
      </c>
      <c r="R37" s="34">
        <v>64.207200855599993</v>
      </c>
      <c r="S37" s="34">
        <v>63.516800846399995</v>
      </c>
      <c r="T37" s="35">
        <v>62.826400837199998</v>
      </c>
    </row>
    <row r="38" spans="1:20" ht="13">
      <c r="A38" s="12"/>
      <c r="B38" s="12"/>
      <c r="C38" s="1" t="s">
        <v>127</v>
      </c>
      <c r="D38" s="1" t="s">
        <v>23</v>
      </c>
      <c r="E38" s="31">
        <v>2.0999999049999998</v>
      </c>
      <c r="F38" s="31">
        <v>2.0999999049999998</v>
      </c>
      <c r="G38" s="31">
        <v>2.4000000950000002</v>
      </c>
      <c r="H38" s="31">
        <v>2.7000000480000002</v>
      </c>
      <c r="I38" s="34">
        <v>2.6730000475200004</v>
      </c>
      <c r="J38" s="34">
        <v>2.6460000470400002</v>
      </c>
      <c r="K38" s="34">
        <v>2.6190000465600001</v>
      </c>
      <c r="L38" s="34">
        <v>2.5920000460800003</v>
      </c>
      <c r="M38" s="34">
        <v>2.5650000456000002</v>
      </c>
      <c r="N38" s="34">
        <v>2.5380000451200004</v>
      </c>
      <c r="O38" s="34">
        <v>2.5110000446400003</v>
      </c>
      <c r="P38" s="34">
        <v>2.4840000441600001</v>
      </c>
      <c r="Q38" s="34">
        <v>2.4570000436800004</v>
      </c>
      <c r="R38" s="34">
        <v>2.4300000432000002</v>
      </c>
      <c r="S38" s="34">
        <v>2.4030000427200005</v>
      </c>
      <c r="T38" s="35">
        <v>2.3760000422400003</v>
      </c>
    </row>
    <row r="39" spans="1:20" ht="13">
      <c r="A39" s="12"/>
      <c r="B39" s="12"/>
      <c r="C39" s="1" t="s">
        <v>82</v>
      </c>
      <c r="D39" s="1" t="s">
        <v>88</v>
      </c>
      <c r="E39" s="31">
        <v>0.80000001200000004</v>
      </c>
      <c r="F39" s="31">
        <v>0.80000001200000004</v>
      </c>
      <c r="G39" s="31">
        <v>0.80000001200000004</v>
      </c>
      <c r="H39" s="31">
        <v>0.80000001200000004</v>
      </c>
      <c r="I39" s="31">
        <v>0.80000001200000004</v>
      </c>
      <c r="J39" s="31">
        <v>0.80000001200000004</v>
      </c>
      <c r="K39" s="34">
        <v>0.79200001188000002</v>
      </c>
      <c r="L39" s="34">
        <v>0.78400001176</v>
      </c>
      <c r="M39" s="34">
        <v>0.7760000116400001</v>
      </c>
      <c r="N39" s="34">
        <v>0.76800001152000008</v>
      </c>
      <c r="O39" s="34">
        <v>0.76000001140000006</v>
      </c>
      <c r="P39" s="34">
        <v>0.75200001128000005</v>
      </c>
      <c r="Q39" s="34">
        <v>0.74400001116000003</v>
      </c>
      <c r="R39" s="34">
        <v>0.73600001104000012</v>
      </c>
      <c r="S39" s="34">
        <v>0.72800001092000011</v>
      </c>
      <c r="T39" s="35">
        <v>0.72000001080000009</v>
      </c>
    </row>
    <row r="40" spans="1:20" ht="13">
      <c r="A40" s="12"/>
      <c r="B40" s="12"/>
      <c r="C40" s="1" t="s">
        <v>260</v>
      </c>
      <c r="D40" s="1" t="s">
        <v>281</v>
      </c>
      <c r="E40" s="31">
        <v>15.899999619999999</v>
      </c>
      <c r="F40" s="31">
        <v>16.700000760000002</v>
      </c>
      <c r="G40" s="31">
        <v>17.200000760000002</v>
      </c>
      <c r="H40" s="31">
        <v>18.299999239999998</v>
      </c>
      <c r="I40" s="31">
        <v>18.899999619999999</v>
      </c>
      <c r="J40" s="31">
        <v>18.399999619999999</v>
      </c>
      <c r="K40" s="31">
        <v>20.200000760000002</v>
      </c>
      <c r="L40" s="34">
        <v>19.998000752400003</v>
      </c>
      <c r="M40" s="34">
        <v>19.796000744800001</v>
      </c>
      <c r="N40" s="34">
        <v>19.594000737200002</v>
      </c>
      <c r="O40" s="34">
        <v>19.392000729600003</v>
      </c>
      <c r="P40" s="34">
        <v>19.190000722000001</v>
      </c>
      <c r="Q40" s="34">
        <v>18.988000714400002</v>
      </c>
      <c r="R40" s="34">
        <v>18.786000706800003</v>
      </c>
      <c r="S40" s="34">
        <v>18.584000699200001</v>
      </c>
      <c r="T40" s="35">
        <v>18.382000691600002</v>
      </c>
    </row>
    <row r="41" spans="1:20" ht="13">
      <c r="A41" s="12"/>
      <c r="B41" s="12"/>
      <c r="C41" s="1" t="s">
        <v>261</v>
      </c>
      <c r="D41" s="1" t="s">
        <v>265</v>
      </c>
      <c r="E41" s="35">
        <v>36.719999315999999</v>
      </c>
      <c r="F41" s="35">
        <v>37.1279993084</v>
      </c>
      <c r="G41" s="35">
        <v>37.5359993008</v>
      </c>
      <c r="H41" s="35">
        <v>37.943999293200001</v>
      </c>
      <c r="I41" s="35">
        <v>38.351999285600002</v>
      </c>
      <c r="J41" s="35">
        <v>38.759999277999995</v>
      </c>
      <c r="K41" s="35">
        <v>39.167999270399996</v>
      </c>
      <c r="L41" s="35">
        <v>39.575999262799996</v>
      </c>
      <c r="M41" s="35">
        <v>39.983999255199997</v>
      </c>
      <c r="N41" s="35">
        <v>40.391999247599998</v>
      </c>
      <c r="O41" s="31">
        <v>40.799999239999998</v>
      </c>
      <c r="P41" s="31">
        <v>44.099998470000003</v>
      </c>
      <c r="Q41" s="31">
        <v>49.6</v>
      </c>
      <c r="R41" s="31">
        <v>53.5</v>
      </c>
      <c r="S41" s="34">
        <v>52.965000000000003</v>
      </c>
      <c r="T41" s="35">
        <v>52.43</v>
      </c>
    </row>
    <row r="42" spans="1:20" ht="13">
      <c r="A42" s="12"/>
      <c r="B42" s="12"/>
      <c r="C42" s="1" t="s">
        <v>297</v>
      </c>
      <c r="D42" s="1" t="s">
        <v>315</v>
      </c>
      <c r="E42" s="31">
        <v>9.1999998089999995</v>
      </c>
      <c r="F42" s="31">
        <v>11.899999619999999</v>
      </c>
      <c r="G42" s="31">
        <v>12</v>
      </c>
      <c r="H42" s="31">
        <v>14.30000019</v>
      </c>
      <c r="I42" s="31">
        <v>14.399999619999999</v>
      </c>
      <c r="J42" s="34">
        <v>14.255999623799999</v>
      </c>
      <c r="K42" s="34">
        <v>14.111999627599999</v>
      </c>
      <c r="L42" s="34">
        <v>13.9679996314</v>
      </c>
      <c r="M42" s="34">
        <v>13.8239996352</v>
      </c>
      <c r="N42" s="34">
        <v>13.679999639</v>
      </c>
      <c r="O42" s="34">
        <v>13.5359996428</v>
      </c>
      <c r="P42" s="34">
        <v>13.391999646599999</v>
      </c>
      <c r="Q42" s="34">
        <v>13.247999650399999</v>
      </c>
      <c r="R42" s="34">
        <v>13.103999654199999</v>
      </c>
      <c r="S42" s="34">
        <v>12.959999657999999</v>
      </c>
      <c r="T42" s="35">
        <v>12.815999661799999</v>
      </c>
    </row>
    <row r="43" spans="1:20" ht="13">
      <c r="A43" s="12"/>
      <c r="B43" s="12"/>
      <c r="C43" s="1" t="s">
        <v>296</v>
      </c>
      <c r="D43" s="1" t="s">
        <v>95</v>
      </c>
      <c r="E43" s="31">
        <v>76.5</v>
      </c>
      <c r="F43" s="34">
        <v>76.5</v>
      </c>
      <c r="G43" s="34">
        <v>76.5</v>
      </c>
      <c r="H43" s="31">
        <v>76.5</v>
      </c>
      <c r="I43" s="31">
        <v>76.5</v>
      </c>
      <c r="J43" s="31">
        <v>76.5</v>
      </c>
      <c r="K43" s="31">
        <v>76.5</v>
      </c>
      <c r="L43" s="34">
        <v>75.734999999999999</v>
      </c>
      <c r="M43" s="34">
        <v>74.97</v>
      </c>
      <c r="N43" s="34">
        <v>74.204999999999998</v>
      </c>
      <c r="O43" s="34">
        <v>73.44</v>
      </c>
      <c r="P43" s="34">
        <v>72.675000000000011</v>
      </c>
      <c r="Q43" s="34">
        <v>71.910000000000011</v>
      </c>
      <c r="R43" s="34">
        <v>71.14500000000001</v>
      </c>
      <c r="S43" s="34">
        <v>70.38000000000001</v>
      </c>
      <c r="T43" s="35">
        <v>69.615000000000009</v>
      </c>
    </row>
    <row r="44" spans="1:20" ht="13">
      <c r="A44" s="12"/>
      <c r="B44" s="12"/>
      <c r="C44" s="1" t="s">
        <v>285</v>
      </c>
      <c r="D44" s="1" t="s">
        <v>68</v>
      </c>
      <c r="E44" s="31">
        <v>9.6999998089999995</v>
      </c>
      <c r="F44" s="31">
        <v>9.6999998089999995</v>
      </c>
      <c r="G44" s="31">
        <v>9.6999998089999995</v>
      </c>
      <c r="H44" s="31">
        <v>9.6999998089999995</v>
      </c>
      <c r="I44" s="31">
        <v>9.6999998089999995</v>
      </c>
      <c r="J44" s="31">
        <v>9.6999998089999995</v>
      </c>
      <c r="K44" s="34">
        <v>8.52499985675</v>
      </c>
      <c r="L44" s="34">
        <v>7.3499999044999997</v>
      </c>
      <c r="M44" s="34">
        <v>6.1749999522499994</v>
      </c>
      <c r="N44" s="31">
        <v>5</v>
      </c>
      <c r="O44" s="34">
        <v>6.0647058825000002</v>
      </c>
      <c r="P44" s="31">
        <v>7.1294117650000004</v>
      </c>
      <c r="Q44" s="34">
        <v>7.0581176473500005</v>
      </c>
      <c r="R44" s="34">
        <v>6.9868235297000005</v>
      </c>
      <c r="S44" s="34">
        <v>6.9155294120499997</v>
      </c>
      <c r="T44" s="35">
        <v>6.8442352943999998</v>
      </c>
    </row>
    <row r="45" spans="1:20" ht="13">
      <c r="A45" s="12"/>
      <c r="B45" s="12"/>
      <c r="C45" s="1" t="s">
        <v>286</v>
      </c>
      <c r="D45" s="1" t="s">
        <v>24</v>
      </c>
      <c r="E45" s="35">
        <v>1.65620004732</v>
      </c>
      <c r="F45" s="35">
        <v>1.6744000478399998</v>
      </c>
      <c r="G45" s="35">
        <v>1.6926000483599999</v>
      </c>
      <c r="H45" s="35">
        <v>1.7108000488799999</v>
      </c>
      <c r="I45" s="35">
        <v>1.7290000494</v>
      </c>
      <c r="J45" s="35">
        <v>1.74720004992</v>
      </c>
      <c r="K45" s="35">
        <v>1.7654000504399998</v>
      </c>
      <c r="L45" s="35">
        <v>1.7836000509599998</v>
      </c>
      <c r="M45" s="35">
        <v>1.8018000514799999</v>
      </c>
      <c r="N45" s="31">
        <v>1.8200000519999999</v>
      </c>
      <c r="O45" s="34">
        <v>1.8018000514799999</v>
      </c>
      <c r="P45" s="34">
        <v>1.7836000509599998</v>
      </c>
      <c r="Q45" s="34">
        <v>1.7654000504399998</v>
      </c>
      <c r="R45" s="34">
        <v>1.74720004992</v>
      </c>
      <c r="S45" s="34">
        <v>1.7290000494</v>
      </c>
      <c r="T45" s="35">
        <v>1.7108000488799999</v>
      </c>
    </row>
    <row r="46" spans="1:20" ht="13">
      <c r="A46" s="12"/>
      <c r="B46" s="12"/>
      <c r="C46" s="1" t="s">
        <v>399</v>
      </c>
      <c r="D46" s="1" t="s">
        <v>128</v>
      </c>
      <c r="E46" s="31">
        <v>16.700000760000002</v>
      </c>
      <c r="F46" s="31">
        <v>17</v>
      </c>
      <c r="G46" s="31">
        <v>17</v>
      </c>
      <c r="H46" s="31">
        <v>21</v>
      </c>
      <c r="I46" s="31">
        <v>22</v>
      </c>
      <c r="J46" s="31">
        <v>22</v>
      </c>
      <c r="K46" s="31">
        <v>22</v>
      </c>
      <c r="L46" s="31">
        <v>22</v>
      </c>
      <c r="M46" s="31">
        <v>24.600000380000001</v>
      </c>
      <c r="N46" s="31">
        <v>24.399999619999999</v>
      </c>
      <c r="O46" s="34">
        <v>24.800000189999999</v>
      </c>
      <c r="P46" s="31">
        <v>25.200000760000002</v>
      </c>
      <c r="Q46" s="31">
        <v>25.53336607</v>
      </c>
      <c r="R46" s="31">
        <v>25.28</v>
      </c>
      <c r="S46" s="34">
        <v>25.027200000000001</v>
      </c>
      <c r="T46" s="35">
        <v>24.7744</v>
      </c>
    </row>
    <row r="47" spans="1:20" ht="13">
      <c r="A47" s="12"/>
      <c r="B47" s="12"/>
      <c r="C47" s="1" t="s">
        <v>267</v>
      </c>
      <c r="D47" s="1" t="s">
        <v>18</v>
      </c>
      <c r="E47" s="31">
        <v>9.6000003809999992</v>
      </c>
      <c r="F47" s="31">
        <v>9.6999998089999995</v>
      </c>
      <c r="G47" s="31">
        <v>9.6999998089999995</v>
      </c>
      <c r="H47" s="31">
        <v>9.6999998089999995</v>
      </c>
      <c r="I47" s="31">
        <v>9.6999998089999995</v>
      </c>
      <c r="J47" s="31">
        <v>9.6999998089999995</v>
      </c>
      <c r="K47" s="34">
        <v>9.3049998282500006</v>
      </c>
      <c r="L47" s="34">
        <v>8.9099998475</v>
      </c>
      <c r="M47" s="34">
        <v>8.5149998667499993</v>
      </c>
      <c r="N47" s="31">
        <v>8.1199998860000004</v>
      </c>
      <c r="O47" s="34">
        <v>8.0565516256666676</v>
      </c>
      <c r="P47" s="34">
        <v>7.9931033653333339</v>
      </c>
      <c r="Q47" s="31">
        <v>7.9296551050000001</v>
      </c>
      <c r="R47" s="34">
        <v>7.8503585539500005</v>
      </c>
      <c r="S47" s="34">
        <v>7.7710620028999999</v>
      </c>
      <c r="T47" s="35">
        <v>7.6917654518500003</v>
      </c>
    </row>
    <row r="48" spans="1:20" ht="13">
      <c r="A48" s="12"/>
      <c r="B48" s="12"/>
      <c r="C48" s="1" t="s">
        <v>291</v>
      </c>
      <c r="D48" s="1" t="s">
        <v>46</v>
      </c>
      <c r="E48" s="35">
        <v>80.685000000000002</v>
      </c>
      <c r="F48" s="31">
        <v>81.5</v>
      </c>
      <c r="G48" s="31">
        <v>81.5</v>
      </c>
      <c r="H48" s="31">
        <v>84.400001529999997</v>
      </c>
      <c r="I48" s="31">
        <v>84.599998470000003</v>
      </c>
      <c r="J48" s="31">
        <v>85.4</v>
      </c>
      <c r="K48" s="31">
        <v>84.927745360000003</v>
      </c>
      <c r="L48" s="34">
        <v>85.628368280000004</v>
      </c>
      <c r="M48" s="34">
        <v>86.328991200000004</v>
      </c>
      <c r="N48" s="34">
        <v>87.029614119999991</v>
      </c>
      <c r="O48" s="34">
        <v>87.730237039999992</v>
      </c>
      <c r="P48" s="34">
        <v>88.430859959999992</v>
      </c>
      <c r="Q48" s="31">
        <v>89.131482879999993</v>
      </c>
      <c r="R48" s="31">
        <v>86.88</v>
      </c>
      <c r="S48" s="34">
        <v>86.011200000000002</v>
      </c>
      <c r="T48" s="35">
        <v>85.142399999999995</v>
      </c>
    </row>
    <row r="49" spans="1:20" ht="13">
      <c r="A49" s="12"/>
      <c r="B49" s="12"/>
      <c r="C49" s="1" t="s">
        <v>25</v>
      </c>
      <c r="D49" s="1" t="s">
        <v>126</v>
      </c>
      <c r="E49" s="31">
        <v>55.799999239999998</v>
      </c>
      <c r="F49" s="31">
        <v>55.900001529999997</v>
      </c>
      <c r="G49" s="31">
        <v>49</v>
      </c>
      <c r="H49" s="31">
        <v>49</v>
      </c>
      <c r="I49" s="31">
        <v>49</v>
      </c>
      <c r="J49" s="31">
        <v>49</v>
      </c>
      <c r="K49" s="31">
        <v>49</v>
      </c>
      <c r="L49" s="34">
        <v>48.51</v>
      </c>
      <c r="M49" s="34">
        <v>48.02</v>
      </c>
      <c r="N49" s="34">
        <v>47.53</v>
      </c>
      <c r="O49" s="34">
        <v>47.04</v>
      </c>
      <c r="P49" s="34">
        <v>46.550000000000004</v>
      </c>
      <c r="Q49" s="34">
        <v>46.06</v>
      </c>
      <c r="R49" s="34">
        <v>45.57</v>
      </c>
      <c r="S49" s="34">
        <v>45.080000000000005</v>
      </c>
      <c r="T49" s="35">
        <v>44.59</v>
      </c>
    </row>
    <row r="50" spans="1:20" ht="13">
      <c r="A50" s="12"/>
      <c r="B50" s="12"/>
      <c r="C50" s="1" t="s">
        <v>62</v>
      </c>
      <c r="D50" s="1" t="s">
        <v>39</v>
      </c>
      <c r="E50" s="31">
        <v>57</v>
      </c>
      <c r="F50" s="31">
        <v>57.200000760000002</v>
      </c>
      <c r="G50" s="31">
        <v>57.299999239999998</v>
      </c>
      <c r="H50" s="31">
        <v>59.200000760000002</v>
      </c>
      <c r="I50" s="31">
        <v>59.599998470000003</v>
      </c>
      <c r="J50" s="31">
        <v>60.599998470000003</v>
      </c>
      <c r="K50" s="31">
        <v>61.200000760000002</v>
      </c>
      <c r="L50" s="31">
        <v>62.200000760000002</v>
      </c>
      <c r="M50" s="31">
        <v>62.950000760000002</v>
      </c>
      <c r="N50" s="31">
        <v>63</v>
      </c>
      <c r="O50" s="31">
        <v>64.589996339999999</v>
      </c>
      <c r="P50" s="31">
        <v>65.050003050000001</v>
      </c>
      <c r="Q50" s="31">
        <v>64.037236649999997</v>
      </c>
      <c r="R50" s="31">
        <v>64.61</v>
      </c>
      <c r="S50" s="34">
        <v>63.963899999999995</v>
      </c>
      <c r="T50" s="35">
        <v>63.317799999999998</v>
      </c>
    </row>
    <row r="51" spans="1:20" ht="13">
      <c r="A51" s="12"/>
      <c r="B51" s="12"/>
      <c r="C51" s="1" t="s">
        <v>54</v>
      </c>
      <c r="D51" s="1" t="s">
        <v>303</v>
      </c>
      <c r="E51" s="31">
        <v>100</v>
      </c>
      <c r="F51" s="31">
        <v>100</v>
      </c>
      <c r="G51" s="34">
        <v>100</v>
      </c>
      <c r="H51" s="31">
        <v>100</v>
      </c>
      <c r="I51" s="31">
        <v>100</v>
      </c>
      <c r="J51" s="31">
        <v>100</v>
      </c>
      <c r="K51" s="31">
        <v>100</v>
      </c>
      <c r="L51" s="31">
        <v>100</v>
      </c>
      <c r="M51" s="31">
        <v>100</v>
      </c>
      <c r="N51" s="31">
        <v>100</v>
      </c>
      <c r="O51" s="34">
        <v>99</v>
      </c>
      <c r="P51" s="34">
        <v>98</v>
      </c>
      <c r="Q51" s="34">
        <v>97</v>
      </c>
      <c r="R51" s="34">
        <v>96</v>
      </c>
      <c r="S51" s="34">
        <v>95</v>
      </c>
      <c r="T51" s="35">
        <v>94</v>
      </c>
    </row>
    <row r="52" spans="1:20" ht="13">
      <c r="A52" s="12"/>
      <c r="B52" s="12"/>
      <c r="C52" s="1" t="s">
        <v>347</v>
      </c>
      <c r="D52" s="1" t="s">
        <v>234</v>
      </c>
      <c r="E52" s="31">
        <v>100</v>
      </c>
      <c r="F52" s="31">
        <v>100</v>
      </c>
      <c r="G52" s="31">
        <v>100</v>
      </c>
      <c r="H52" s="31">
        <v>100</v>
      </c>
      <c r="I52" s="31">
        <v>100</v>
      </c>
      <c r="J52" s="31">
        <v>100</v>
      </c>
      <c r="K52" s="31">
        <v>100</v>
      </c>
      <c r="L52" s="31">
        <v>100</v>
      </c>
      <c r="M52" s="31">
        <v>100</v>
      </c>
      <c r="N52" s="31">
        <v>100</v>
      </c>
      <c r="O52" s="31">
        <v>100</v>
      </c>
      <c r="P52" s="31">
        <v>100</v>
      </c>
      <c r="Q52" s="31">
        <v>100</v>
      </c>
      <c r="R52" s="31">
        <v>100</v>
      </c>
      <c r="S52" s="34">
        <v>99</v>
      </c>
      <c r="T52" s="35">
        <v>98</v>
      </c>
    </row>
    <row r="53" spans="1:20" ht="13">
      <c r="A53" s="12"/>
      <c r="B53" s="12"/>
      <c r="C53" s="1" t="s">
        <v>176</v>
      </c>
      <c r="D53" s="1" t="s">
        <v>184</v>
      </c>
      <c r="E53" s="35">
        <v>42.75</v>
      </c>
      <c r="F53" s="35">
        <v>43.2</v>
      </c>
      <c r="G53" s="35">
        <v>43.65</v>
      </c>
      <c r="H53" s="35">
        <v>44.1</v>
      </c>
      <c r="I53" s="35">
        <v>44.55</v>
      </c>
      <c r="J53" s="31">
        <v>45</v>
      </c>
      <c r="K53" s="31">
        <v>45</v>
      </c>
      <c r="L53" s="34">
        <v>44.55</v>
      </c>
      <c r="M53" s="34">
        <v>44.1</v>
      </c>
      <c r="N53" s="34">
        <v>43.65</v>
      </c>
      <c r="O53" s="34">
        <v>43.2</v>
      </c>
      <c r="P53" s="34">
        <v>42.75</v>
      </c>
      <c r="Q53" s="34">
        <v>42.300000000000004</v>
      </c>
      <c r="R53" s="34">
        <v>41.85</v>
      </c>
      <c r="S53" s="34">
        <v>41.400000000000006</v>
      </c>
      <c r="T53" s="35">
        <v>40.950000000000003</v>
      </c>
    </row>
    <row r="54" spans="1:20" ht="13">
      <c r="A54" s="12"/>
      <c r="B54" s="12"/>
      <c r="C54" s="1" t="s">
        <v>203</v>
      </c>
      <c r="D54" s="1" t="s">
        <v>262</v>
      </c>
      <c r="E54" s="31">
        <v>50.299999239999998</v>
      </c>
      <c r="F54" s="31">
        <v>50.400001529999997</v>
      </c>
      <c r="G54" s="31">
        <v>50.400001529999997</v>
      </c>
      <c r="H54" s="31">
        <v>50.400001529999997</v>
      </c>
      <c r="I54" s="31">
        <v>50.400001529999997</v>
      </c>
      <c r="J54" s="31">
        <v>50.400001529999997</v>
      </c>
      <c r="K54" s="31">
        <v>50.400001529999997</v>
      </c>
      <c r="L54" s="34">
        <v>49.896001514699996</v>
      </c>
      <c r="M54" s="34">
        <v>49.392001499399996</v>
      </c>
      <c r="N54" s="34">
        <v>48.888001484099995</v>
      </c>
      <c r="O54" s="34">
        <v>48.384001468799994</v>
      </c>
      <c r="P54" s="34">
        <v>47.8800014535</v>
      </c>
      <c r="Q54" s="34">
        <v>47.376001438199999</v>
      </c>
      <c r="R54" s="34">
        <v>46.872001422899999</v>
      </c>
      <c r="S54" s="34">
        <v>46.368001407599998</v>
      </c>
      <c r="T54" s="35">
        <v>45.864001392299997</v>
      </c>
    </row>
    <row r="55" spans="1:20" ht="13">
      <c r="A55" s="12"/>
      <c r="B55" s="12"/>
      <c r="C55" s="1" t="s">
        <v>365</v>
      </c>
      <c r="D55" s="1" t="s">
        <v>67</v>
      </c>
      <c r="E55" s="31">
        <v>49.299999239999998</v>
      </c>
      <c r="F55" s="31">
        <v>49.400001529999997</v>
      </c>
      <c r="G55" s="34">
        <v>49.400001529999997</v>
      </c>
      <c r="H55" s="34">
        <v>49.400001529999997</v>
      </c>
      <c r="I55" s="31">
        <v>49.400001529999997</v>
      </c>
      <c r="J55" s="31">
        <v>49.400001529999997</v>
      </c>
      <c r="K55" s="31">
        <v>49.400001529999997</v>
      </c>
      <c r="L55" s="34">
        <v>48.906001514699994</v>
      </c>
      <c r="M55" s="34">
        <v>48.412001499399999</v>
      </c>
      <c r="N55" s="34">
        <v>47.918001484099996</v>
      </c>
      <c r="O55" s="34">
        <v>47.4240014688</v>
      </c>
      <c r="P55" s="34">
        <v>46.930001453499997</v>
      </c>
      <c r="Q55" s="34">
        <v>46.436001438200002</v>
      </c>
      <c r="R55" s="34">
        <v>45.942001422899999</v>
      </c>
      <c r="S55" s="34">
        <v>45.448001407600003</v>
      </c>
      <c r="T55" s="35">
        <v>44.9540013923</v>
      </c>
    </row>
    <row r="56" spans="1:20" ht="13">
      <c r="A56" s="12"/>
      <c r="B56" s="12"/>
      <c r="C56" s="1" t="s">
        <v>152</v>
      </c>
      <c r="D56" s="1" t="s">
        <v>75</v>
      </c>
      <c r="E56" s="31">
        <v>12.69999981</v>
      </c>
      <c r="F56" s="31">
        <v>13.30000019</v>
      </c>
      <c r="G56" s="31">
        <v>18.899999619999999</v>
      </c>
      <c r="H56" s="31">
        <v>18.899999619999999</v>
      </c>
      <c r="I56" s="31">
        <v>18.899999619999999</v>
      </c>
      <c r="J56" s="31">
        <v>18.899999619999999</v>
      </c>
      <c r="K56" s="31">
        <v>16.870000839999999</v>
      </c>
      <c r="L56" s="31">
        <v>16.870000839999999</v>
      </c>
      <c r="M56" s="31">
        <v>14.93999958</v>
      </c>
      <c r="N56" s="31">
        <v>14.97000027</v>
      </c>
      <c r="O56" s="34">
        <v>14.892831805</v>
      </c>
      <c r="P56" s="31">
        <v>14.81566334</v>
      </c>
      <c r="Q56" s="31">
        <v>14.81566293</v>
      </c>
      <c r="R56" s="34">
        <v>14.667506300699999</v>
      </c>
      <c r="S56" s="34">
        <v>14.519349671400001</v>
      </c>
      <c r="T56" s="35">
        <v>14.3711930421</v>
      </c>
    </row>
    <row r="57" spans="1:20" ht="13">
      <c r="A57" s="12"/>
      <c r="B57" s="12"/>
      <c r="C57" s="1" t="s">
        <v>105</v>
      </c>
      <c r="D57" s="1" t="s">
        <v>216</v>
      </c>
      <c r="E57" s="31">
        <v>78</v>
      </c>
      <c r="F57" s="31">
        <v>78.099998470000003</v>
      </c>
      <c r="G57" s="31">
        <v>78.099998470000003</v>
      </c>
      <c r="H57" s="31">
        <v>78.099998470000003</v>
      </c>
      <c r="I57" s="31">
        <v>78.099998470000003</v>
      </c>
      <c r="J57" s="31">
        <v>78.099998470000003</v>
      </c>
      <c r="K57" s="34">
        <v>78.824998852500002</v>
      </c>
      <c r="L57" s="34">
        <v>79.549999235000001</v>
      </c>
      <c r="M57" s="34">
        <v>80.274999617500001</v>
      </c>
      <c r="N57" s="31">
        <v>81</v>
      </c>
      <c r="O57" s="34">
        <v>82.472499999999997</v>
      </c>
      <c r="P57" s="34">
        <v>83.944999999999993</v>
      </c>
      <c r="Q57" s="34">
        <v>85.417500000000004</v>
      </c>
      <c r="R57" s="31">
        <v>86.89</v>
      </c>
      <c r="S57" s="34">
        <v>86.02109999999999</v>
      </c>
      <c r="T57" s="35">
        <v>85.152199999999993</v>
      </c>
    </row>
    <row r="58" spans="1:20" ht="13">
      <c r="A58" s="12"/>
      <c r="B58" s="12"/>
      <c r="C58" s="1" t="s">
        <v>355</v>
      </c>
      <c r="D58" s="1" t="s">
        <v>20</v>
      </c>
      <c r="E58" s="31">
        <v>20</v>
      </c>
      <c r="F58" s="31">
        <v>19.899999619999999</v>
      </c>
      <c r="G58" s="31">
        <v>19.799999239999998</v>
      </c>
      <c r="H58" s="31">
        <v>19.799999239999998</v>
      </c>
      <c r="I58" s="31">
        <v>19.799999239999998</v>
      </c>
      <c r="J58" s="31">
        <v>19.799999239999998</v>
      </c>
      <c r="K58" s="31">
        <v>19.799999239999998</v>
      </c>
      <c r="L58" s="34">
        <v>19.601999247599998</v>
      </c>
      <c r="M58" s="34">
        <v>19.403999255199999</v>
      </c>
      <c r="N58" s="34">
        <v>19.205999262799999</v>
      </c>
      <c r="O58" s="34">
        <v>19.007999270399999</v>
      </c>
      <c r="P58" s="34">
        <v>18.809999277999999</v>
      </c>
      <c r="Q58" s="34">
        <v>18.6119992856</v>
      </c>
      <c r="R58" s="34">
        <v>18.4139992932</v>
      </c>
      <c r="S58" s="34">
        <v>18.2159993008</v>
      </c>
      <c r="T58" s="35">
        <v>18.0179993084</v>
      </c>
    </row>
    <row r="59" spans="1:20" ht="13">
      <c r="A59" s="12"/>
      <c r="B59" s="12"/>
      <c r="C59" s="1" t="s">
        <v>306</v>
      </c>
      <c r="D59" s="1" t="s">
        <v>44</v>
      </c>
      <c r="E59" t="e">
        <v>#N/A</v>
      </c>
      <c r="F59" t="e">
        <v>#N/A</v>
      </c>
      <c r="G59" t="e">
        <v>#N/A</v>
      </c>
      <c r="H59" t="e">
        <v>#N/A</v>
      </c>
      <c r="I59" t="e">
        <v>#N/A</v>
      </c>
      <c r="J59" t="e">
        <v>#N/A</v>
      </c>
      <c r="K59" t="e">
        <v>#N/A</v>
      </c>
      <c r="L59" t="e">
        <v>#N/A</v>
      </c>
      <c r="M59" t="e">
        <v>#N/A</v>
      </c>
      <c r="N59" t="e">
        <v>#N/A</v>
      </c>
      <c r="O59" t="e">
        <v>#N/A</v>
      </c>
      <c r="P59" t="e">
        <v>#N/A</v>
      </c>
      <c r="Q59" t="e">
        <v>#N/A</v>
      </c>
      <c r="R59" t="e">
        <v>#N/A</v>
      </c>
      <c r="S59" t="e">
        <v>#N/A</v>
      </c>
      <c r="T59" t="e">
        <v>#N/A</v>
      </c>
    </row>
    <row r="60" spans="1:20" ht="13">
      <c r="A60" s="12"/>
      <c r="B60" s="12"/>
      <c r="C60" s="1" t="s">
        <v>387</v>
      </c>
      <c r="D60" s="1" t="s">
        <v>136</v>
      </c>
      <c r="E60" s="31">
        <v>21.399999619999999</v>
      </c>
      <c r="F60" s="31">
        <v>21.799999239999998</v>
      </c>
      <c r="G60" s="31">
        <v>21.799999239999998</v>
      </c>
      <c r="H60" s="31">
        <v>21.799999239999998</v>
      </c>
      <c r="I60" s="31">
        <v>21.799999239999998</v>
      </c>
      <c r="J60" s="31">
        <v>21.799999239999998</v>
      </c>
      <c r="K60" s="31">
        <v>21.799999239999998</v>
      </c>
      <c r="L60" s="34">
        <v>21.581999247599999</v>
      </c>
      <c r="M60" s="34">
        <v>21.3639992552</v>
      </c>
      <c r="N60" s="34">
        <v>21.1459992628</v>
      </c>
      <c r="O60" s="34">
        <v>20.927999270400001</v>
      </c>
      <c r="P60" s="34">
        <v>20.709999277999998</v>
      </c>
      <c r="Q60" s="34">
        <v>20.491999285599999</v>
      </c>
      <c r="R60" s="34">
        <v>20.273999293199999</v>
      </c>
      <c r="S60" s="34">
        <v>20.0559993008</v>
      </c>
      <c r="T60" s="35">
        <v>19.837999308400001</v>
      </c>
    </row>
    <row r="61" spans="1:20" ht="13">
      <c r="A61" s="12"/>
      <c r="B61" s="12"/>
      <c r="C61" s="1" t="s">
        <v>368</v>
      </c>
      <c r="D61" s="1" t="s">
        <v>247</v>
      </c>
      <c r="E61" s="31">
        <v>54</v>
      </c>
      <c r="F61" s="31">
        <v>53.200000760000002</v>
      </c>
      <c r="G61" s="31">
        <v>50.799999239999998</v>
      </c>
      <c r="H61" s="31">
        <v>22.100000380000001</v>
      </c>
      <c r="I61" s="31">
        <v>21.299999239999998</v>
      </c>
      <c r="J61" s="31">
        <v>20.100000380000001</v>
      </c>
      <c r="K61" s="31">
        <v>19.700000760000002</v>
      </c>
      <c r="L61" s="31">
        <v>24.799999239999998</v>
      </c>
      <c r="M61" s="31">
        <v>23.399999619999999</v>
      </c>
      <c r="N61" s="31">
        <v>22.13999939</v>
      </c>
      <c r="O61" s="31">
        <v>22.670000080000001</v>
      </c>
      <c r="P61" s="34">
        <v>25.636224745</v>
      </c>
      <c r="Q61" s="31">
        <v>28.602449409999998</v>
      </c>
      <c r="R61" s="31">
        <v>28.774511489999998</v>
      </c>
      <c r="S61" s="34">
        <v>28.486766375099997</v>
      </c>
      <c r="T61" s="35">
        <v>28.199021260199999</v>
      </c>
    </row>
    <row r="62" spans="1:20" ht="13">
      <c r="A62" s="12"/>
      <c r="B62" s="12"/>
      <c r="C62" s="1" t="s">
        <v>359</v>
      </c>
      <c r="D62" s="1" t="s">
        <v>383</v>
      </c>
      <c r="E62" s="31">
        <v>15.5</v>
      </c>
      <c r="F62" s="31">
        <v>15.30000019</v>
      </c>
      <c r="G62" s="31">
        <v>15.30000019</v>
      </c>
      <c r="H62" s="31">
        <v>14</v>
      </c>
      <c r="I62" s="31">
        <v>13.30000019</v>
      </c>
      <c r="J62" s="31">
        <v>12</v>
      </c>
      <c r="K62" s="31">
        <v>12</v>
      </c>
      <c r="L62" s="31">
        <v>12</v>
      </c>
      <c r="M62" s="31">
        <v>12.899999619999999</v>
      </c>
      <c r="N62" s="31">
        <v>19.13999939</v>
      </c>
      <c r="O62" s="31">
        <v>11.047911259999999</v>
      </c>
      <c r="P62" s="31">
        <v>11.63154756</v>
      </c>
      <c r="Q62" s="31">
        <v>13.674789779999999</v>
      </c>
      <c r="R62" s="34">
        <v>13.5380418822</v>
      </c>
      <c r="S62" s="34">
        <v>13.401293984399999</v>
      </c>
      <c r="T62" s="35">
        <v>13.264546086599999</v>
      </c>
    </row>
    <row r="63" spans="1:20" ht="13">
      <c r="A63" s="12"/>
      <c r="B63" s="12"/>
      <c r="C63" s="1" t="s">
        <v>305</v>
      </c>
      <c r="D63" s="1" t="s">
        <v>288</v>
      </c>
      <c r="E63" s="31">
        <v>49.099998470000003</v>
      </c>
      <c r="F63" s="31">
        <v>49.200000760000002</v>
      </c>
      <c r="G63" s="31">
        <v>49.200000760000002</v>
      </c>
      <c r="H63" s="31">
        <v>49.200000760000002</v>
      </c>
      <c r="I63" s="31">
        <v>49.200000760000002</v>
      </c>
      <c r="J63" s="31">
        <v>49.200000760000002</v>
      </c>
      <c r="K63" s="31">
        <v>49.200000760000002</v>
      </c>
      <c r="L63" s="34">
        <v>48.708000752400004</v>
      </c>
      <c r="M63" s="34">
        <v>48.216000744799999</v>
      </c>
      <c r="N63" s="34">
        <v>47.724000737200001</v>
      </c>
      <c r="O63" s="34">
        <v>47.232000729600003</v>
      </c>
      <c r="P63" s="34">
        <v>46.740000722000005</v>
      </c>
      <c r="Q63" s="34">
        <v>46.248000714400007</v>
      </c>
      <c r="R63" s="34">
        <v>45.756000706800002</v>
      </c>
      <c r="S63" s="34">
        <v>45.264000699200004</v>
      </c>
      <c r="T63" s="35">
        <v>44.772000691600006</v>
      </c>
    </row>
    <row r="64" spans="1:20" ht="13">
      <c r="A64" s="12"/>
      <c r="B64" s="12"/>
      <c r="C64" s="1" t="s">
        <v>81</v>
      </c>
      <c r="D64" s="1" t="s">
        <v>388</v>
      </c>
      <c r="E64" s="31">
        <v>63</v>
      </c>
      <c r="F64" s="31">
        <v>64</v>
      </c>
      <c r="G64" s="31">
        <v>64</v>
      </c>
      <c r="H64" s="31">
        <v>64</v>
      </c>
      <c r="I64" s="31">
        <v>64.5</v>
      </c>
      <c r="J64" s="31">
        <v>62</v>
      </c>
      <c r="K64" s="31">
        <v>64</v>
      </c>
      <c r="L64" s="31">
        <v>64</v>
      </c>
      <c r="M64" s="31">
        <v>64.599998470000003</v>
      </c>
      <c r="N64" s="31">
        <v>64.699996949999999</v>
      </c>
      <c r="O64" s="31">
        <v>65.040000919999997</v>
      </c>
      <c r="P64" s="31">
        <v>65.275332210000002</v>
      </c>
      <c r="Q64" s="31">
        <v>65.362724839999998</v>
      </c>
      <c r="R64" s="31">
        <v>65.47</v>
      </c>
      <c r="S64" s="34">
        <v>64.815300000000008</v>
      </c>
      <c r="T64" s="35">
        <v>64.160600000000002</v>
      </c>
    </row>
    <row r="65" spans="1:20" ht="13">
      <c r="A65" s="12"/>
      <c r="B65" s="12"/>
      <c r="C65" s="1" t="s">
        <v>378</v>
      </c>
      <c r="D65" s="1" t="s">
        <v>179</v>
      </c>
      <c r="E65" s="35">
        <v>99</v>
      </c>
      <c r="F65" s="31">
        <v>100</v>
      </c>
      <c r="G65" s="31">
        <v>100</v>
      </c>
      <c r="H65" s="31">
        <v>100</v>
      </c>
      <c r="I65" s="31">
        <v>100</v>
      </c>
      <c r="J65" s="31">
        <v>100</v>
      </c>
      <c r="K65" s="31">
        <v>100</v>
      </c>
      <c r="L65" s="31">
        <v>100</v>
      </c>
      <c r="M65" s="31">
        <v>100</v>
      </c>
      <c r="N65" s="31">
        <v>100</v>
      </c>
      <c r="O65" s="31">
        <v>100</v>
      </c>
      <c r="P65" s="31">
        <v>100</v>
      </c>
      <c r="Q65" s="31">
        <v>100</v>
      </c>
      <c r="R65" s="31">
        <v>100</v>
      </c>
      <c r="S65" s="34">
        <v>99</v>
      </c>
      <c r="T65" s="35">
        <v>98</v>
      </c>
    </row>
    <row r="66" spans="1:20" ht="13">
      <c r="A66" s="12"/>
      <c r="B66" s="12"/>
      <c r="C66" s="1" t="s">
        <v>148</v>
      </c>
      <c r="D66" s="1" t="s">
        <v>240</v>
      </c>
      <c r="E66" s="31">
        <v>8.1999998089999995</v>
      </c>
      <c r="F66" s="31">
        <v>9.8999996190000008</v>
      </c>
      <c r="G66" s="31">
        <v>9.8999996190000008</v>
      </c>
      <c r="H66" s="31">
        <v>9.8999996190000008</v>
      </c>
      <c r="I66" s="31">
        <v>9.8999996190000008</v>
      </c>
      <c r="J66" s="31">
        <v>9.8999996190000008</v>
      </c>
      <c r="K66" s="34">
        <v>9.9774997242500003</v>
      </c>
      <c r="L66" s="34">
        <v>10.054999829500002</v>
      </c>
      <c r="M66" s="34">
        <v>10.132499934750001</v>
      </c>
      <c r="N66" s="31">
        <v>10.210000040000001</v>
      </c>
      <c r="O66" s="34">
        <v>10.1079000396</v>
      </c>
      <c r="P66" s="34">
        <v>10.0058000392</v>
      </c>
      <c r="Q66" s="34">
        <v>9.9037000388000003</v>
      </c>
      <c r="R66" s="34">
        <v>9.8016000384000002</v>
      </c>
      <c r="S66" s="34">
        <v>9.699500038</v>
      </c>
      <c r="T66" s="35">
        <v>9.5974000375999999</v>
      </c>
    </row>
    <row r="67" spans="1:20" ht="13">
      <c r="A67" s="12"/>
      <c r="B67" s="12"/>
      <c r="C67" s="1" t="s">
        <v>328</v>
      </c>
      <c r="D67" s="1" t="s">
        <v>57</v>
      </c>
      <c r="E67" s="35">
        <v>17.774399714799998</v>
      </c>
      <c r="F67" s="35">
        <v>17.9675997117</v>
      </c>
      <c r="G67" s="35">
        <v>18.160799708599999</v>
      </c>
      <c r="H67" s="35">
        <v>18.353999705499998</v>
      </c>
      <c r="I67" s="35">
        <v>18.5471997024</v>
      </c>
      <c r="J67" s="35">
        <v>18.740399699299999</v>
      </c>
      <c r="K67" s="35">
        <v>18.933599696199998</v>
      </c>
      <c r="L67" s="35">
        <v>19.126799693100001</v>
      </c>
      <c r="M67" s="31">
        <v>19.31999969</v>
      </c>
      <c r="N67" s="31">
        <v>19.31999969</v>
      </c>
      <c r="O67" s="34">
        <v>19.126799693100001</v>
      </c>
      <c r="P67" s="34">
        <v>18.933599696199998</v>
      </c>
      <c r="Q67" s="34">
        <v>18.740399699299999</v>
      </c>
      <c r="R67" s="34">
        <v>18.5471997024</v>
      </c>
      <c r="S67" s="34">
        <v>18.353999705499998</v>
      </c>
      <c r="T67" s="35">
        <v>18.160799708599999</v>
      </c>
    </row>
    <row r="68" spans="1:20" ht="13">
      <c r="A68" s="12"/>
      <c r="B68" s="12"/>
      <c r="C68" s="1" t="s">
        <v>17</v>
      </c>
      <c r="D68" s="1" t="s">
        <v>120</v>
      </c>
      <c r="E68" s="31">
        <v>93.5</v>
      </c>
      <c r="F68" s="31">
        <v>93.5</v>
      </c>
      <c r="G68" s="31">
        <v>93.699996949999999</v>
      </c>
      <c r="H68" s="31">
        <v>93.400001529999997</v>
      </c>
      <c r="I68" s="34">
        <v>93.483449859999993</v>
      </c>
      <c r="J68" s="34">
        <v>93.566898189999989</v>
      </c>
      <c r="K68" s="34">
        <v>93.650346519999999</v>
      </c>
      <c r="L68" s="34">
        <v>93.733794849999995</v>
      </c>
      <c r="M68" s="34">
        <v>93.817243179999991</v>
      </c>
      <c r="N68" s="34">
        <v>93.900691510000001</v>
      </c>
      <c r="O68" s="34">
        <v>93.984139839999997</v>
      </c>
      <c r="P68" s="31">
        <v>94.067588169999993</v>
      </c>
      <c r="Q68" s="31">
        <v>94.067588169999993</v>
      </c>
      <c r="R68" s="34">
        <v>93.126912288299991</v>
      </c>
      <c r="S68" s="34">
        <v>92.186236406599988</v>
      </c>
      <c r="T68" s="35">
        <v>91.245560524899986</v>
      </c>
    </row>
    <row r="69" spans="1:20" ht="13">
      <c r="A69" s="12"/>
      <c r="B69" s="12"/>
      <c r="C69" s="1" t="s">
        <v>133</v>
      </c>
      <c r="D69" s="1" t="s">
        <v>122</v>
      </c>
      <c r="E69" s="31">
        <v>99</v>
      </c>
      <c r="F69" s="31">
        <v>99.099998470000003</v>
      </c>
      <c r="G69" s="34">
        <v>99.228570117142866</v>
      </c>
      <c r="H69" s="34">
        <v>99.357141764285714</v>
      </c>
      <c r="I69" s="34">
        <v>99.485713411428577</v>
      </c>
      <c r="J69" s="34">
        <v>99.614285058571426</v>
      </c>
      <c r="K69" s="34">
        <v>99.742856705714289</v>
      </c>
      <c r="L69" s="34">
        <v>99.871428352857137</v>
      </c>
      <c r="M69" s="31">
        <v>100</v>
      </c>
      <c r="N69" s="34">
        <v>99</v>
      </c>
      <c r="O69" s="34">
        <v>98</v>
      </c>
      <c r="P69" s="34">
        <v>97</v>
      </c>
      <c r="Q69" s="34">
        <v>96</v>
      </c>
      <c r="R69" s="34">
        <v>95</v>
      </c>
      <c r="S69" s="34">
        <v>94</v>
      </c>
      <c r="T69" s="35">
        <v>93</v>
      </c>
    </row>
    <row r="70" spans="1:20" ht="13">
      <c r="A70" s="12"/>
      <c r="B70" s="12"/>
      <c r="C70" s="1" t="s">
        <v>37</v>
      </c>
      <c r="D70" s="1" t="s">
        <v>238</v>
      </c>
      <c r="E70" s="31">
        <v>24.899999619999999</v>
      </c>
      <c r="F70" s="31">
        <v>24.100000380000001</v>
      </c>
      <c r="G70" s="34">
        <v>25.933333713333333</v>
      </c>
      <c r="H70" s="34">
        <v>27.766667046666669</v>
      </c>
      <c r="I70" s="31">
        <v>29.600000380000001</v>
      </c>
      <c r="J70" s="31">
        <v>29.600000380000001</v>
      </c>
      <c r="K70" s="31">
        <v>18.399999619999999</v>
      </c>
      <c r="L70" s="34">
        <v>18.159999849999998</v>
      </c>
      <c r="M70" s="31">
        <v>17.920000080000001</v>
      </c>
      <c r="N70" s="34">
        <v>16.42514658</v>
      </c>
      <c r="O70" s="31">
        <v>14.93029308</v>
      </c>
      <c r="P70" s="34">
        <v>14.780990149200001</v>
      </c>
      <c r="Q70" s="34">
        <v>14.6316872184</v>
      </c>
      <c r="R70" s="34">
        <v>14.4823842876</v>
      </c>
      <c r="S70" s="34">
        <v>14.333081356799999</v>
      </c>
      <c r="T70" s="35">
        <v>14.183778426</v>
      </c>
    </row>
    <row r="71" spans="1:20" ht="13">
      <c r="A71" s="12"/>
      <c r="B71" s="12"/>
      <c r="C71" s="1" t="s">
        <v>375</v>
      </c>
      <c r="D71" s="1" t="s">
        <v>224</v>
      </c>
      <c r="E71" s="31">
        <v>91.699996949999999</v>
      </c>
      <c r="F71" s="31">
        <v>91.800003050000001</v>
      </c>
      <c r="G71" s="31">
        <v>91.800003050000001</v>
      </c>
      <c r="H71" s="31">
        <v>91.800003050000001</v>
      </c>
      <c r="I71" s="31">
        <v>91.800003050000001</v>
      </c>
      <c r="J71" s="31">
        <v>91.800003050000001</v>
      </c>
      <c r="K71" s="34">
        <v>90.882003019500004</v>
      </c>
      <c r="L71" s="34">
        <v>89.964002989000008</v>
      </c>
      <c r="M71" s="34">
        <v>89.046002958499997</v>
      </c>
      <c r="N71" s="34">
        <v>88.128002928000001</v>
      </c>
      <c r="O71" s="34">
        <v>87.210002897500004</v>
      </c>
      <c r="P71" s="34">
        <v>86.292002867000008</v>
      </c>
      <c r="Q71" s="34">
        <v>85.374002836500011</v>
      </c>
      <c r="R71" s="34">
        <v>84.456002806000001</v>
      </c>
      <c r="S71" s="34">
        <v>83.538002775500004</v>
      </c>
      <c r="T71" s="35">
        <v>82.620002745000008</v>
      </c>
    </row>
    <row r="72" spans="1:20" ht="13">
      <c r="A72" s="12"/>
      <c r="B72" s="12"/>
      <c r="C72" s="1" t="s">
        <v>377</v>
      </c>
      <c r="D72" s="1" t="s">
        <v>393</v>
      </c>
      <c r="E72" s="31">
        <v>61.200000760000002</v>
      </c>
      <c r="F72" s="31">
        <v>61.299999239999998</v>
      </c>
      <c r="G72" s="31">
        <v>61.299999239999998</v>
      </c>
      <c r="H72" s="31">
        <v>61.299999239999998</v>
      </c>
      <c r="I72" s="31">
        <v>60.959999080000003</v>
      </c>
      <c r="J72" s="31">
        <v>60.959999080000003</v>
      </c>
      <c r="K72" s="31">
        <v>60.959999080000003</v>
      </c>
      <c r="L72" s="34">
        <v>60.350399089200003</v>
      </c>
      <c r="M72" s="34">
        <v>59.740799098400004</v>
      </c>
      <c r="N72" s="34">
        <v>59.131199107600004</v>
      </c>
      <c r="O72" s="34">
        <v>58.521599116800004</v>
      </c>
      <c r="P72" s="34">
        <v>57.911999126000005</v>
      </c>
      <c r="Q72" s="34">
        <v>57.302399135200005</v>
      </c>
      <c r="R72" s="34">
        <v>56.692799144400006</v>
      </c>
      <c r="S72" s="34">
        <v>56.083199153600006</v>
      </c>
      <c r="T72" s="35">
        <v>55.473599162800006</v>
      </c>
    </row>
    <row r="73" spans="1:20" ht="13">
      <c r="A73" s="12"/>
      <c r="B73" s="12"/>
      <c r="C73" s="1" t="s">
        <v>213</v>
      </c>
      <c r="D73" s="1" t="s">
        <v>211</v>
      </c>
      <c r="E73" s="31">
        <v>26</v>
      </c>
      <c r="F73" s="31">
        <v>25.799999239999998</v>
      </c>
      <c r="G73" s="31">
        <v>26.399999619999999</v>
      </c>
      <c r="H73" s="31">
        <v>31</v>
      </c>
      <c r="I73" s="31">
        <v>34.5</v>
      </c>
      <c r="J73" s="31">
        <v>34.5</v>
      </c>
      <c r="K73" s="31">
        <v>34.5</v>
      </c>
      <c r="L73" s="34">
        <v>34.155000000000001</v>
      </c>
      <c r="M73" s="34">
        <v>33.81</v>
      </c>
      <c r="N73" s="34">
        <v>33.465000000000003</v>
      </c>
      <c r="O73" s="34">
        <v>33.119999999999997</v>
      </c>
      <c r="P73" s="34">
        <v>32.774999999999999</v>
      </c>
      <c r="Q73" s="34">
        <v>32.43</v>
      </c>
      <c r="R73" s="34">
        <v>32.085000000000001</v>
      </c>
      <c r="S73" s="34">
        <v>31.74</v>
      </c>
      <c r="T73" s="35">
        <v>31.395</v>
      </c>
    </row>
    <row r="74" spans="1:20" ht="13">
      <c r="A74" s="12"/>
      <c r="B74" s="12"/>
      <c r="C74" s="1" t="s">
        <v>40</v>
      </c>
      <c r="D74" s="1" t="s">
        <v>232</v>
      </c>
      <c r="E74" s="31">
        <v>16.399999619999999</v>
      </c>
      <c r="F74" s="31">
        <v>16.5</v>
      </c>
      <c r="G74" s="31">
        <v>16.5</v>
      </c>
      <c r="H74" s="31">
        <v>16.5</v>
      </c>
      <c r="I74" s="31">
        <v>16.5</v>
      </c>
      <c r="J74" s="31">
        <v>16.5</v>
      </c>
      <c r="K74" s="34">
        <v>14.263333320666668</v>
      </c>
      <c r="L74" s="34">
        <v>12.026666641333334</v>
      </c>
      <c r="M74" s="31">
        <v>9.7899999619999996</v>
      </c>
      <c r="N74" s="34">
        <v>9.6920999623799986</v>
      </c>
      <c r="O74" s="34">
        <v>9.5941999627599994</v>
      </c>
      <c r="P74" s="34">
        <v>9.4962999631399985</v>
      </c>
      <c r="Q74" s="34">
        <v>9.3983999635199993</v>
      </c>
      <c r="R74" s="34">
        <v>9.3004999638999983</v>
      </c>
      <c r="S74" s="34">
        <v>9.2025999642799992</v>
      </c>
      <c r="T74" s="35">
        <v>9.1046999646599982</v>
      </c>
    </row>
    <row r="75" spans="1:20" ht="13">
      <c r="A75" s="12"/>
      <c r="B75" s="12"/>
      <c r="C75" s="1" t="s">
        <v>310</v>
      </c>
      <c r="D75" s="1" t="s">
        <v>397</v>
      </c>
      <c r="E75" s="31">
        <v>10.19999981</v>
      </c>
      <c r="F75" s="31">
        <v>10.30000019</v>
      </c>
      <c r="G75" s="31">
        <v>10.30000019</v>
      </c>
      <c r="H75" s="31">
        <v>10.30000019</v>
      </c>
      <c r="I75" s="34">
        <v>14.710000274999999</v>
      </c>
      <c r="J75" s="34">
        <v>19.120000359999999</v>
      </c>
      <c r="K75" s="34">
        <v>23.530000444999999</v>
      </c>
      <c r="L75" s="31">
        <v>27.940000529999999</v>
      </c>
      <c r="M75" s="34">
        <v>27.660600524699998</v>
      </c>
      <c r="N75" s="34">
        <v>27.3812005194</v>
      </c>
      <c r="O75" s="34">
        <v>27.101800514099999</v>
      </c>
      <c r="P75" s="34">
        <v>26.822400508800001</v>
      </c>
      <c r="Q75" s="34">
        <v>26.5430005035</v>
      </c>
      <c r="R75" s="34">
        <v>26.263600498199999</v>
      </c>
      <c r="S75" s="34">
        <v>25.984200492900001</v>
      </c>
      <c r="T75" s="35">
        <v>25.7048004876</v>
      </c>
    </row>
    <row r="76" spans="1:20" ht="13">
      <c r="A76" s="12"/>
      <c r="B76" s="12"/>
      <c r="C76" s="1" t="s">
        <v>198</v>
      </c>
      <c r="D76" s="1" t="s">
        <v>15</v>
      </c>
      <c r="E76" s="31">
        <v>7.3000001909999996</v>
      </c>
      <c r="F76" s="31">
        <v>7.4000000950000002</v>
      </c>
      <c r="G76" s="31">
        <v>7.4000000950000002</v>
      </c>
      <c r="H76" s="31">
        <v>7.4000000950000002</v>
      </c>
      <c r="I76" s="31">
        <v>7.4000000950000002</v>
      </c>
      <c r="J76" s="31">
        <v>7.4000000950000002</v>
      </c>
      <c r="K76" s="31">
        <v>7.4000000950000002</v>
      </c>
      <c r="L76" s="34">
        <v>7.3260000940500003</v>
      </c>
      <c r="M76" s="34">
        <v>7.2520000931000004</v>
      </c>
      <c r="N76" s="34">
        <v>7.1780000921500005</v>
      </c>
      <c r="O76" s="34">
        <v>7.1040000912000005</v>
      </c>
      <c r="P76" s="34">
        <v>7.0300000902499997</v>
      </c>
      <c r="Q76" s="34">
        <v>6.9560000892999998</v>
      </c>
      <c r="R76" s="34">
        <v>6.8820000883499999</v>
      </c>
      <c r="S76" s="34">
        <v>6.8080000874</v>
      </c>
      <c r="T76" s="35">
        <v>6.73400008645</v>
      </c>
    </row>
    <row r="77" spans="1:20" ht="13">
      <c r="A77" s="12"/>
      <c r="B77" s="12"/>
      <c r="C77" s="1" t="s">
        <v>287</v>
      </c>
      <c r="D77" s="1" t="s">
        <v>178</v>
      </c>
      <c r="E77" s="31">
        <v>24.200000760000002</v>
      </c>
      <c r="F77" s="31">
        <v>24.299999239999998</v>
      </c>
      <c r="G77" s="31">
        <v>24.299999239999998</v>
      </c>
      <c r="H77" s="31">
        <v>24.299999239999998</v>
      </c>
      <c r="I77" s="31">
        <v>24.299999239999998</v>
      </c>
      <c r="J77" s="31">
        <v>24.299999239999998</v>
      </c>
      <c r="K77" s="31">
        <v>24.299999239999998</v>
      </c>
      <c r="L77" s="34">
        <v>24.056999247599997</v>
      </c>
      <c r="M77" s="34">
        <v>23.813999255199999</v>
      </c>
      <c r="N77" s="34">
        <v>23.570999262799997</v>
      </c>
      <c r="O77" s="34">
        <v>23.327999270399999</v>
      </c>
      <c r="P77" s="34">
        <v>23.084999277999998</v>
      </c>
      <c r="Q77" s="34">
        <v>22.8419992856</v>
      </c>
      <c r="R77" s="34">
        <v>22.598999293199999</v>
      </c>
      <c r="S77" s="34">
        <v>22.355999300800001</v>
      </c>
      <c r="T77" s="35">
        <v>22.112999308399999</v>
      </c>
    </row>
    <row r="78" spans="1:20" ht="13">
      <c r="A78" s="12"/>
      <c r="B78" s="12"/>
      <c r="C78" s="1" t="s">
        <v>47</v>
      </c>
      <c r="D78" s="1" t="s">
        <v>158</v>
      </c>
      <c r="E78" s="31">
        <v>20.399999619999999</v>
      </c>
      <c r="F78" s="31">
        <v>20.399999619999999</v>
      </c>
      <c r="G78" s="31">
        <v>20.399999619999999</v>
      </c>
      <c r="H78" s="31">
        <v>20.399999619999999</v>
      </c>
      <c r="I78" s="31">
        <v>20.399999619999999</v>
      </c>
      <c r="J78" s="31">
        <v>20.399999619999999</v>
      </c>
      <c r="K78" s="31">
        <v>20.399999619999999</v>
      </c>
      <c r="L78" s="34">
        <v>20.195999623799999</v>
      </c>
      <c r="M78" s="34">
        <v>19.991999627599998</v>
      </c>
      <c r="N78" s="34">
        <v>19.787999631399998</v>
      </c>
      <c r="O78" s="34">
        <v>19.583999635199998</v>
      </c>
      <c r="P78" s="34">
        <v>19.379999639000001</v>
      </c>
      <c r="Q78" s="34">
        <v>19.175999642800001</v>
      </c>
      <c r="R78" s="34">
        <v>18.9719996466</v>
      </c>
      <c r="S78" s="34">
        <v>18.7679996504</v>
      </c>
      <c r="T78" s="35">
        <v>18.5639996542</v>
      </c>
    </row>
    <row r="79" spans="1:20" ht="13">
      <c r="A79" s="12"/>
      <c r="B79" s="12"/>
      <c r="C79" s="1" t="s">
        <v>316</v>
      </c>
      <c r="D79" s="1" t="s">
        <v>331</v>
      </c>
      <c r="E79" s="31">
        <v>44.099998470000003</v>
      </c>
      <c r="F79" s="31">
        <v>43.099998470000003</v>
      </c>
      <c r="G79" s="31">
        <v>43.400001529999997</v>
      </c>
      <c r="H79" s="31">
        <v>43.400001529999997</v>
      </c>
      <c r="I79" s="34">
        <v>43.500001273333332</v>
      </c>
      <c r="J79" s="34">
        <v>43.600001016666667</v>
      </c>
      <c r="K79" s="31">
        <v>43.700000760000002</v>
      </c>
      <c r="L79" s="31">
        <v>43.900001529999997</v>
      </c>
      <c r="M79" s="31">
        <v>43.900001529999997</v>
      </c>
      <c r="N79" s="34">
        <v>41.946941106666664</v>
      </c>
      <c r="O79" s="34">
        <v>39.99388068333333</v>
      </c>
      <c r="P79" s="31">
        <v>38.040820259999997</v>
      </c>
      <c r="Q79" s="31">
        <v>37.716317779999997</v>
      </c>
      <c r="R79" s="31">
        <v>37.65</v>
      </c>
      <c r="S79" s="34">
        <v>37.273499999999999</v>
      </c>
      <c r="T79" s="35">
        <v>36.896999999999998</v>
      </c>
    </row>
    <row r="80" spans="1:20" ht="13">
      <c r="A80" s="12"/>
      <c r="B80" s="12"/>
      <c r="C80" s="1" t="s">
        <v>343</v>
      </c>
      <c r="D80" s="1" t="s">
        <v>195</v>
      </c>
      <c r="E80" s="31">
        <v>24.799999239999998</v>
      </c>
      <c r="F80" s="31">
        <v>25.899999619999999</v>
      </c>
      <c r="G80" s="31">
        <v>25.700000760000002</v>
      </c>
      <c r="H80" s="31">
        <v>27.100000380000001</v>
      </c>
      <c r="I80" s="31">
        <v>28.100000380000001</v>
      </c>
      <c r="J80" s="31">
        <v>29.5</v>
      </c>
      <c r="K80" s="31">
        <v>30.600000380000001</v>
      </c>
      <c r="L80" s="31">
        <v>31.5</v>
      </c>
      <c r="M80" s="34">
        <v>32.950000764999999</v>
      </c>
      <c r="N80" s="31">
        <v>34.400001529999997</v>
      </c>
      <c r="O80" s="31">
        <v>35.38999939</v>
      </c>
      <c r="P80" s="31">
        <v>35.86000061</v>
      </c>
      <c r="Q80" s="31">
        <v>36.641630900000003</v>
      </c>
      <c r="R80" s="31">
        <v>36.641630900000003</v>
      </c>
      <c r="S80" s="34">
        <v>36.275214591000001</v>
      </c>
      <c r="T80" s="35">
        <v>35.908798281999999</v>
      </c>
    </row>
    <row r="81" spans="1:20" ht="13">
      <c r="A81" s="12"/>
      <c r="B81" s="12"/>
      <c r="C81" s="1" t="s">
        <v>8</v>
      </c>
      <c r="D81" s="1" t="s">
        <v>132</v>
      </c>
      <c r="E81" s="31">
        <v>55.400001529999997</v>
      </c>
      <c r="F81" s="31">
        <v>54.700000760000002</v>
      </c>
      <c r="G81" s="31">
        <v>56.5</v>
      </c>
      <c r="H81" s="31">
        <v>57</v>
      </c>
      <c r="I81" s="31">
        <v>46.66999817</v>
      </c>
      <c r="J81" s="31">
        <v>47.459999080000003</v>
      </c>
      <c r="K81" s="31">
        <v>47.740001679999999</v>
      </c>
      <c r="L81" s="31">
        <v>47.400001529999997</v>
      </c>
      <c r="M81" s="34">
        <v>48.010000765000001</v>
      </c>
      <c r="N81" s="31">
        <v>48.62</v>
      </c>
      <c r="O81" s="31">
        <v>46.99</v>
      </c>
      <c r="P81" s="31">
        <v>47.72</v>
      </c>
      <c r="Q81" s="31">
        <v>48.24</v>
      </c>
      <c r="R81" s="31">
        <v>49.340659309999999</v>
      </c>
      <c r="S81" s="34">
        <v>48.847252716900002</v>
      </c>
      <c r="T81" s="35">
        <v>48.353846123799997</v>
      </c>
    </row>
    <row r="82" spans="1:20" ht="13">
      <c r="A82" s="12"/>
      <c r="B82" s="12"/>
      <c r="C82" s="1" t="s">
        <v>84</v>
      </c>
      <c r="D82" s="1" t="s">
        <v>279</v>
      </c>
      <c r="E82" s="31">
        <v>52.400001529999997</v>
      </c>
      <c r="F82" s="31">
        <v>46.299999239999998</v>
      </c>
      <c r="G82" s="31">
        <v>56.400001529999997</v>
      </c>
      <c r="H82" s="31">
        <v>47.299999239999998</v>
      </c>
      <c r="I82" s="31">
        <v>46.299999239999998</v>
      </c>
      <c r="J82" s="31">
        <v>57.099998470000003</v>
      </c>
      <c r="K82" s="31">
        <v>58.900001529999997</v>
      </c>
      <c r="L82" s="31">
        <v>58</v>
      </c>
      <c r="M82" s="31">
        <v>58.32649602</v>
      </c>
      <c r="N82" s="31">
        <v>55.321512820000002</v>
      </c>
      <c r="O82" s="31">
        <v>55.424299699999999</v>
      </c>
      <c r="P82" s="31">
        <v>53.005378450000002</v>
      </c>
      <c r="Q82" s="31">
        <v>60.860426769999997</v>
      </c>
      <c r="R82" s="31">
        <v>59.106494669999996</v>
      </c>
      <c r="S82" s="34">
        <v>58.515429723299995</v>
      </c>
      <c r="T82" s="35">
        <v>57.924364776599994</v>
      </c>
    </row>
    <row r="83" spans="1:20" ht="13">
      <c r="A83" s="12"/>
      <c r="B83" s="12"/>
      <c r="C83" s="1" t="s">
        <v>360</v>
      </c>
      <c r="D83" s="1" t="s">
        <v>66</v>
      </c>
      <c r="E83" s="31">
        <v>49.900001529999997</v>
      </c>
      <c r="F83" s="31">
        <v>52.099998470000003</v>
      </c>
      <c r="G83" s="31">
        <v>56.799999239999998</v>
      </c>
      <c r="H83" s="31">
        <v>56.299999239999998</v>
      </c>
      <c r="I83" s="34">
        <v>59.133333843333332</v>
      </c>
      <c r="J83" s="34">
        <v>61.966668446666667</v>
      </c>
      <c r="K83" s="31">
        <v>64.800003050000001</v>
      </c>
      <c r="L83" s="31">
        <v>66.300003050000001</v>
      </c>
      <c r="M83" s="31">
        <v>67.36000061</v>
      </c>
      <c r="N83" s="34">
        <v>69.192158280000001</v>
      </c>
      <c r="O83" s="31">
        <v>71.024315950000002</v>
      </c>
      <c r="P83" s="31">
        <v>73.297341950000003</v>
      </c>
      <c r="Q83" s="34">
        <v>72.564368530500005</v>
      </c>
      <c r="R83" s="34">
        <v>71.831395111000006</v>
      </c>
      <c r="S83" s="34">
        <v>71.098421691499993</v>
      </c>
      <c r="T83" s="35">
        <v>70.365448271999995</v>
      </c>
    </row>
    <row r="84" spans="1:20" ht="13">
      <c r="A84" s="12"/>
      <c r="B84" s="12"/>
      <c r="C84" s="1" t="s">
        <v>358</v>
      </c>
      <c r="D84" s="1" t="s">
        <v>229</v>
      </c>
      <c r="E84" s="31">
        <v>86</v>
      </c>
      <c r="F84" s="31">
        <v>86</v>
      </c>
      <c r="G84" s="34">
        <v>85.150001524999993</v>
      </c>
      <c r="H84" s="31">
        <v>84.300003050000001</v>
      </c>
      <c r="I84" s="31">
        <v>84.300003050000001</v>
      </c>
      <c r="J84" s="31">
        <v>84.300003050000001</v>
      </c>
      <c r="K84" s="31">
        <v>84.300003050000001</v>
      </c>
      <c r="L84" s="34">
        <v>83.457003019500007</v>
      </c>
      <c r="M84" s="34">
        <v>82.614002988999999</v>
      </c>
      <c r="N84" s="34">
        <v>81.771002958500006</v>
      </c>
      <c r="O84" s="34">
        <v>80.928002927999998</v>
      </c>
      <c r="P84" s="34">
        <v>80.085002897500004</v>
      </c>
      <c r="Q84" s="34">
        <v>79.242002866999997</v>
      </c>
      <c r="R84" s="34">
        <v>78.399002836500003</v>
      </c>
      <c r="S84" s="34">
        <v>77.556002805999995</v>
      </c>
      <c r="T84" s="35">
        <v>76.713002775500001</v>
      </c>
    </row>
    <row r="85" spans="1:20" ht="13">
      <c r="A85" s="12"/>
      <c r="B85" s="12"/>
      <c r="C85" s="1" t="s">
        <v>362</v>
      </c>
      <c r="D85" s="1" t="s">
        <v>100</v>
      </c>
      <c r="E85" s="31">
        <v>94</v>
      </c>
      <c r="F85" s="31">
        <v>94.099998470000003</v>
      </c>
      <c r="G85" s="31">
        <v>94.099998470000003</v>
      </c>
      <c r="H85" s="31">
        <v>100</v>
      </c>
      <c r="I85" s="31">
        <v>100</v>
      </c>
      <c r="J85" s="31">
        <v>100</v>
      </c>
      <c r="K85" s="31">
        <v>100</v>
      </c>
      <c r="L85" s="31">
        <v>100</v>
      </c>
      <c r="M85" s="31">
        <v>100</v>
      </c>
      <c r="N85" s="34">
        <v>100</v>
      </c>
      <c r="O85" s="34">
        <v>100</v>
      </c>
      <c r="P85" s="34">
        <v>100</v>
      </c>
      <c r="Q85" s="31">
        <v>100</v>
      </c>
      <c r="R85" s="31">
        <v>100</v>
      </c>
      <c r="S85" s="34">
        <v>99</v>
      </c>
      <c r="T85" s="35">
        <v>98</v>
      </c>
    </row>
    <row r="86" spans="1:20" ht="13">
      <c r="A86" s="12"/>
      <c r="B86" s="12"/>
      <c r="C86" s="1" t="s">
        <v>341</v>
      </c>
      <c r="D86" s="1" t="s">
        <v>376</v>
      </c>
      <c r="E86" s="31">
        <v>100</v>
      </c>
      <c r="F86" s="31">
        <v>100</v>
      </c>
      <c r="G86" s="31">
        <v>100</v>
      </c>
      <c r="H86" s="31">
        <v>100</v>
      </c>
      <c r="I86" s="31">
        <v>100</v>
      </c>
      <c r="J86" s="31">
        <v>100</v>
      </c>
      <c r="K86" s="34">
        <v>100</v>
      </c>
      <c r="L86" s="31">
        <v>100</v>
      </c>
      <c r="M86" s="31">
        <v>100</v>
      </c>
      <c r="N86" s="31">
        <v>100</v>
      </c>
      <c r="O86" s="31">
        <v>100</v>
      </c>
      <c r="P86" s="31">
        <v>100</v>
      </c>
      <c r="Q86" s="31">
        <v>100</v>
      </c>
      <c r="R86" s="31">
        <v>100</v>
      </c>
      <c r="S86" s="34">
        <v>99</v>
      </c>
      <c r="T86" s="35">
        <v>98</v>
      </c>
    </row>
    <row r="87" spans="1:20" ht="13">
      <c r="A87" s="12"/>
      <c r="B87" s="12"/>
      <c r="C87" s="1" t="s">
        <v>354</v>
      </c>
      <c r="D87" s="1" t="s">
        <v>36</v>
      </c>
      <c r="E87" s="31">
        <v>100</v>
      </c>
      <c r="F87" s="31">
        <v>100</v>
      </c>
      <c r="G87" s="31">
        <v>100</v>
      </c>
      <c r="H87" s="31">
        <v>100</v>
      </c>
      <c r="I87" s="31">
        <v>100</v>
      </c>
      <c r="J87" s="31">
        <v>100</v>
      </c>
      <c r="K87" s="34">
        <v>100</v>
      </c>
      <c r="L87" s="34">
        <v>100</v>
      </c>
      <c r="M87" s="31">
        <v>100</v>
      </c>
      <c r="N87" s="34">
        <v>99</v>
      </c>
      <c r="O87" s="34">
        <v>98</v>
      </c>
      <c r="P87" s="34">
        <v>97</v>
      </c>
      <c r="Q87" s="34">
        <v>96</v>
      </c>
      <c r="R87" s="34">
        <v>95</v>
      </c>
      <c r="S87" s="34">
        <v>94</v>
      </c>
      <c r="T87" s="35">
        <v>93</v>
      </c>
    </row>
    <row r="88" spans="1:20" ht="13">
      <c r="A88" s="12"/>
      <c r="B88" s="12"/>
      <c r="C88" s="1" t="s">
        <v>172</v>
      </c>
      <c r="D88" s="1" t="s">
        <v>164</v>
      </c>
      <c r="E88" s="31">
        <v>70.599998470000003</v>
      </c>
      <c r="F88" s="31">
        <v>70.699996949999999</v>
      </c>
      <c r="G88" s="34">
        <v>70.399997710000008</v>
      </c>
      <c r="H88" s="31">
        <v>70.099998470000003</v>
      </c>
      <c r="I88" s="31">
        <v>70.099998470000003</v>
      </c>
      <c r="J88" s="31">
        <v>70.099998470000003</v>
      </c>
      <c r="K88" s="34">
        <v>71.149998980000007</v>
      </c>
      <c r="L88" s="34">
        <v>72.199999489999996</v>
      </c>
      <c r="M88" s="31">
        <v>73.25</v>
      </c>
      <c r="N88" s="31">
        <v>73.27999878</v>
      </c>
      <c r="O88" s="31">
        <v>73.27999878</v>
      </c>
      <c r="P88" s="34">
        <v>72.547198792199993</v>
      </c>
      <c r="Q88" s="34">
        <v>71.8143988044</v>
      </c>
      <c r="R88" s="34">
        <v>71.081598816599993</v>
      </c>
      <c r="S88" s="34">
        <v>70.3487988288</v>
      </c>
      <c r="T88" s="35">
        <v>69.615998840999993</v>
      </c>
    </row>
    <row r="89" spans="1:20" ht="13">
      <c r="A89" s="12"/>
      <c r="B89" s="12"/>
      <c r="C89" s="1" t="s">
        <v>5</v>
      </c>
      <c r="D89" s="1" t="s">
        <v>335</v>
      </c>
      <c r="E89" s="31">
        <v>73.599998470000003</v>
      </c>
      <c r="F89" s="31">
        <v>74.300003050000001</v>
      </c>
      <c r="G89" s="31">
        <v>74.900001529999997</v>
      </c>
      <c r="H89" s="31">
        <v>76</v>
      </c>
      <c r="I89" s="31">
        <v>76.099998470000003</v>
      </c>
      <c r="J89" s="31">
        <v>76.599998470000003</v>
      </c>
      <c r="K89" s="31">
        <v>77.099998470000003</v>
      </c>
      <c r="L89" s="31">
        <v>77.699996949999999</v>
      </c>
      <c r="M89" s="31">
        <v>78.219800000000006</v>
      </c>
      <c r="N89" s="34">
        <v>78.60990000000001</v>
      </c>
      <c r="O89" s="31">
        <v>79</v>
      </c>
      <c r="P89" s="31">
        <v>79.286613459999998</v>
      </c>
      <c r="Q89" s="31">
        <v>79.600333059999997</v>
      </c>
      <c r="R89" s="34">
        <v>78.804329729399996</v>
      </c>
      <c r="S89" s="34">
        <v>78.008326398799994</v>
      </c>
      <c r="T89" s="35">
        <v>77.212323068199993</v>
      </c>
    </row>
    <row r="90" spans="1:20" ht="13">
      <c r="A90" s="12"/>
      <c r="B90" s="12"/>
      <c r="C90" s="1" t="s">
        <v>27</v>
      </c>
      <c r="D90" s="1" t="s">
        <v>352</v>
      </c>
      <c r="E90" s="31">
        <v>100</v>
      </c>
      <c r="F90" s="31">
        <v>100</v>
      </c>
      <c r="G90" s="34">
        <v>100</v>
      </c>
      <c r="H90" s="34">
        <v>100</v>
      </c>
      <c r="I90" s="31">
        <v>100</v>
      </c>
      <c r="J90" s="34">
        <v>100</v>
      </c>
      <c r="K90" s="34">
        <v>100</v>
      </c>
      <c r="L90" s="34">
        <v>100</v>
      </c>
      <c r="M90" s="31">
        <v>100</v>
      </c>
      <c r="N90" s="31">
        <v>100</v>
      </c>
      <c r="O90" s="31">
        <v>100</v>
      </c>
      <c r="P90" s="31">
        <v>100</v>
      </c>
      <c r="Q90" s="31">
        <v>100</v>
      </c>
      <c r="R90" s="31">
        <v>100</v>
      </c>
      <c r="S90" s="34">
        <v>99</v>
      </c>
      <c r="T90" s="35">
        <v>98</v>
      </c>
    </row>
    <row r="91" spans="1:20" ht="13">
      <c r="A91" s="12"/>
      <c r="B91" s="12"/>
      <c r="C91" s="1" t="s">
        <v>129</v>
      </c>
      <c r="D91" s="1" t="s">
        <v>168</v>
      </c>
      <c r="E91" s="31">
        <v>76.300003050000001</v>
      </c>
      <c r="F91" s="31">
        <v>80.5</v>
      </c>
      <c r="G91" s="31">
        <v>82.800003050000001</v>
      </c>
      <c r="H91" s="31">
        <v>86.5</v>
      </c>
      <c r="I91" s="34">
        <v>87.994000244000006</v>
      </c>
      <c r="J91" s="34">
        <v>89.488000487999997</v>
      </c>
      <c r="K91" s="34">
        <v>90.982000732000003</v>
      </c>
      <c r="L91" s="34">
        <v>92.476000975999995</v>
      </c>
      <c r="M91" s="31">
        <v>93.97000122</v>
      </c>
      <c r="N91" s="31">
        <v>93.430000309999997</v>
      </c>
      <c r="O91" s="31">
        <v>91.160003660000001</v>
      </c>
      <c r="P91" s="31">
        <v>91.434312989999995</v>
      </c>
      <c r="Q91" s="31">
        <v>90.258045809999999</v>
      </c>
      <c r="R91" s="31">
        <v>89.88</v>
      </c>
      <c r="S91" s="34">
        <v>88.981200000000001</v>
      </c>
      <c r="T91" s="35">
        <v>88.082399999999993</v>
      </c>
    </row>
    <row r="92" spans="1:20" ht="13">
      <c r="A92" s="12"/>
      <c r="B92" s="12"/>
      <c r="C92" s="1" t="s">
        <v>196</v>
      </c>
      <c r="D92" s="1" t="s">
        <v>259</v>
      </c>
      <c r="E92" s="31">
        <v>13.80000019</v>
      </c>
      <c r="F92" s="31">
        <v>12.100000380000001</v>
      </c>
      <c r="G92" s="31">
        <v>12.100000380000001</v>
      </c>
      <c r="H92" s="31">
        <v>12.100000380000001</v>
      </c>
      <c r="I92" s="31">
        <v>12.100000380000001</v>
      </c>
      <c r="J92" s="31">
        <v>12.100000380000001</v>
      </c>
      <c r="K92" s="34">
        <v>12.6050002575</v>
      </c>
      <c r="L92" s="34">
        <v>13.110000135</v>
      </c>
      <c r="M92" s="34">
        <v>13.615000012500001</v>
      </c>
      <c r="N92" s="31">
        <v>14.119999890000001</v>
      </c>
      <c r="O92" s="34">
        <v>13.978799891100001</v>
      </c>
      <c r="P92" s="34">
        <v>13.8375998922</v>
      </c>
      <c r="Q92" s="34">
        <v>13.696399893300001</v>
      </c>
      <c r="R92" s="34">
        <v>13.555199894400001</v>
      </c>
      <c r="S92" s="34">
        <v>13.4139998955</v>
      </c>
      <c r="T92" s="35">
        <v>13.2727998966</v>
      </c>
    </row>
    <row r="93" spans="1:20" ht="13">
      <c r="A93" s="12"/>
      <c r="B93" s="12"/>
      <c r="C93" s="1" t="s">
        <v>249</v>
      </c>
      <c r="D93" s="1" t="s">
        <v>16</v>
      </c>
      <c r="E93" t="e">
        <v>#N/A</v>
      </c>
      <c r="F93" t="e">
        <v>#N/A</v>
      </c>
      <c r="G93" t="e">
        <v>#N/A</v>
      </c>
      <c r="H93" t="e">
        <v>#N/A</v>
      </c>
      <c r="I93" t="e">
        <v>#N/A</v>
      </c>
      <c r="J93" t="e">
        <v>#N/A</v>
      </c>
      <c r="K93" t="e">
        <v>#N/A</v>
      </c>
      <c r="L93" t="e">
        <v>#N/A</v>
      </c>
      <c r="M93" t="e">
        <v>#N/A</v>
      </c>
      <c r="N93" t="e">
        <v>#N/A</v>
      </c>
      <c r="O93" t="e">
        <v>#N/A</v>
      </c>
      <c r="P93" t="e">
        <v>#N/A</v>
      </c>
      <c r="Q93" t="e">
        <v>#N/A</v>
      </c>
      <c r="R93" t="e">
        <v>#N/A</v>
      </c>
      <c r="S93" t="e">
        <v>#N/A</v>
      </c>
      <c r="T93" t="e">
        <v>#N/A</v>
      </c>
    </row>
    <row r="94" spans="1:20" ht="13">
      <c r="A94" s="12"/>
      <c r="B94" s="12"/>
      <c r="C94" s="1" t="s">
        <v>356</v>
      </c>
      <c r="D94" s="1" t="s">
        <v>294</v>
      </c>
      <c r="E94" s="31">
        <v>6.3000001909999996</v>
      </c>
      <c r="F94" s="31">
        <v>6.4000000950000002</v>
      </c>
      <c r="G94" s="31">
        <v>6.4000000950000002</v>
      </c>
      <c r="H94" s="31">
        <v>6.4000000950000002</v>
      </c>
      <c r="I94" s="31">
        <v>6.4000000950000002</v>
      </c>
      <c r="J94" s="31">
        <v>6.4000000950000002</v>
      </c>
      <c r="K94" s="34">
        <v>5.8055360711666673</v>
      </c>
      <c r="L94" s="34">
        <v>5.2110720473333334</v>
      </c>
      <c r="M94" s="34">
        <v>4.6166080234999995</v>
      </c>
      <c r="N94" s="34">
        <v>4.0221439996666666</v>
      </c>
      <c r="O94" s="34">
        <v>3.4276799758333336</v>
      </c>
      <c r="P94" s="31">
        <v>2.8332159520000002</v>
      </c>
      <c r="Q94" s="34">
        <v>2.8048837924800001</v>
      </c>
      <c r="R94" s="34">
        <v>2.7765516329600004</v>
      </c>
      <c r="S94" s="34">
        <v>2.7482194734400003</v>
      </c>
      <c r="T94" s="35">
        <v>2.7198873139200002</v>
      </c>
    </row>
    <row r="95" spans="1:20" ht="13">
      <c r="A95" s="12"/>
      <c r="B95" s="12"/>
      <c r="C95" s="1" t="s">
        <v>282</v>
      </c>
      <c r="D95" s="1" t="s">
        <v>140</v>
      </c>
      <c r="E95" s="31">
        <v>76</v>
      </c>
      <c r="F95" s="31">
        <v>72.699996949999999</v>
      </c>
      <c r="G95" s="31">
        <v>74</v>
      </c>
      <c r="H95" s="31">
        <v>74.5</v>
      </c>
      <c r="I95" s="31">
        <v>74.5</v>
      </c>
      <c r="J95" s="31">
        <v>74.5</v>
      </c>
      <c r="K95" s="31">
        <v>76.699996949999999</v>
      </c>
      <c r="L95" s="31">
        <v>76.699996949999999</v>
      </c>
      <c r="M95" s="31">
        <v>76.88999939</v>
      </c>
      <c r="N95" s="31">
        <v>86.760002139999997</v>
      </c>
      <c r="O95" s="31">
        <v>76.819999690000003</v>
      </c>
      <c r="P95" s="31">
        <v>77.5</v>
      </c>
      <c r="Q95" s="31">
        <v>78.3</v>
      </c>
      <c r="R95" s="31">
        <v>78.5</v>
      </c>
      <c r="S95" s="34">
        <v>77.715000000000003</v>
      </c>
      <c r="T95" s="35">
        <v>76.929999999999993</v>
      </c>
    </row>
    <row r="96" spans="1:20" ht="13">
      <c r="A96" s="12"/>
      <c r="B96" s="12"/>
      <c r="C96" s="1" t="s">
        <v>26</v>
      </c>
      <c r="D96" s="1" t="s">
        <v>235</v>
      </c>
      <c r="E96" s="31">
        <v>80.5</v>
      </c>
      <c r="F96" s="31">
        <v>80.599998470000003</v>
      </c>
      <c r="G96" s="31">
        <v>80.599998470000003</v>
      </c>
      <c r="H96" s="31">
        <v>80.599998470000003</v>
      </c>
      <c r="I96" s="31">
        <v>80.599998470000003</v>
      </c>
      <c r="J96" s="31">
        <v>80.599998470000003</v>
      </c>
      <c r="K96" s="34">
        <v>81.866666156666668</v>
      </c>
      <c r="L96" s="34">
        <v>83.133333843333332</v>
      </c>
      <c r="M96" s="31">
        <v>84.400001529999997</v>
      </c>
      <c r="N96" s="31">
        <v>85</v>
      </c>
      <c r="O96" s="34">
        <v>84.15</v>
      </c>
      <c r="P96" s="34">
        <v>83.3</v>
      </c>
      <c r="Q96" s="34">
        <v>82.449999999999989</v>
      </c>
      <c r="R96" s="34">
        <v>81.599999999999994</v>
      </c>
      <c r="S96" s="34">
        <v>80.75</v>
      </c>
      <c r="T96" s="35">
        <v>79.899999999999991</v>
      </c>
    </row>
    <row r="97" spans="1:20" ht="13">
      <c r="A97" s="12"/>
      <c r="B97" s="12"/>
      <c r="C97" s="1" t="s">
        <v>177</v>
      </c>
      <c r="D97" s="1" t="s">
        <v>174</v>
      </c>
      <c r="E97" s="31">
        <v>91</v>
      </c>
      <c r="F97" s="31">
        <v>91.099998470000003</v>
      </c>
      <c r="G97" s="31">
        <v>91.099998470000003</v>
      </c>
      <c r="H97" s="31">
        <v>91.099998470000003</v>
      </c>
      <c r="I97" s="31">
        <v>91.099998470000003</v>
      </c>
      <c r="J97" s="31">
        <v>91.099998470000003</v>
      </c>
      <c r="K97" s="31">
        <v>91.099998470000003</v>
      </c>
      <c r="L97" s="34">
        <v>90.188998485300004</v>
      </c>
      <c r="M97" s="34">
        <v>89.277998500600006</v>
      </c>
      <c r="N97" s="34">
        <v>88.366998515900008</v>
      </c>
      <c r="O97" s="34">
        <v>87.455998531200009</v>
      </c>
      <c r="P97" s="34">
        <v>86.544998546499997</v>
      </c>
      <c r="Q97" s="34">
        <v>85.633998561799999</v>
      </c>
      <c r="R97" s="34">
        <v>84.7229985771</v>
      </c>
      <c r="S97" s="34">
        <v>83.811998592400002</v>
      </c>
      <c r="T97" s="35">
        <v>82.900998607700004</v>
      </c>
    </row>
    <row r="98" spans="1:20" ht="13">
      <c r="A98" s="12"/>
      <c r="B98" s="12"/>
      <c r="C98" s="1" t="s">
        <v>118</v>
      </c>
      <c r="D98" s="1" t="s">
        <v>76</v>
      </c>
      <c r="E98" s="31">
        <v>13.80000019</v>
      </c>
      <c r="F98" s="34">
        <v>13.838571547142857</v>
      </c>
      <c r="G98" s="34">
        <v>13.877142904285714</v>
      </c>
      <c r="H98" s="34">
        <v>13.915714261428571</v>
      </c>
      <c r="I98" s="34">
        <v>13.954285618571429</v>
      </c>
      <c r="J98" s="34">
        <v>13.992856975714286</v>
      </c>
      <c r="K98" s="34">
        <v>14.031428332857143</v>
      </c>
      <c r="L98" s="31">
        <v>14.06999969</v>
      </c>
      <c r="M98" s="31">
        <v>14.40999985</v>
      </c>
      <c r="N98" s="34">
        <v>13.904999925</v>
      </c>
      <c r="O98" s="31">
        <v>13.4</v>
      </c>
      <c r="P98" s="31">
        <v>12.9</v>
      </c>
      <c r="Q98" s="31">
        <v>13.06</v>
      </c>
      <c r="R98" s="31">
        <v>13.54</v>
      </c>
      <c r="S98" s="34">
        <v>13.404599999999999</v>
      </c>
      <c r="T98" s="35">
        <v>13.2692</v>
      </c>
    </row>
    <row r="99" spans="1:20" ht="13">
      <c r="A99" s="12"/>
      <c r="B99" s="12"/>
      <c r="C99" s="1" t="s">
        <v>384</v>
      </c>
      <c r="D99" s="1" t="s">
        <v>183</v>
      </c>
      <c r="E99" s="35">
        <v>93</v>
      </c>
      <c r="F99" s="35">
        <v>94</v>
      </c>
      <c r="G99" s="35">
        <v>95</v>
      </c>
      <c r="H99" s="35">
        <v>96</v>
      </c>
      <c r="I99" s="35">
        <v>97</v>
      </c>
      <c r="J99" s="35">
        <v>98</v>
      </c>
      <c r="K99" s="35">
        <v>99</v>
      </c>
      <c r="L99" s="31">
        <v>100</v>
      </c>
      <c r="M99" s="31">
        <v>100</v>
      </c>
      <c r="N99" s="31">
        <v>100</v>
      </c>
      <c r="O99" s="31">
        <v>100</v>
      </c>
      <c r="P99" s="31">
        <v>100</v>
      </c>
      <c r="Q99" s="31">
        <v>100</v>
      </c>
      <c r="R99" s="31">
        <v>100</v>
      </c>
      <c r="S99" s="34">
        <v>99</v>
      </c>
      <c r="T99" s="35">
        <v>98</v>
      </c>
    </row>
    <row r="100" spans="1:20" ht="13">
      <c r="A100" s="12"/>
      <c r="B100" s="12"/>
      <c r="C100" s="1" t="s">
        <v>135</v>
      </c>
      <c r="D100" s="1" t="s">
        <v>199</v>
      </c>
      <c r="E100" s="31">
        <v>95</v>
      </c>
      <c r="F100" s="31">
        <v>95</v>
      </c>
      <c r="G100" s="34">
        <v>91.633333843333332</v>
      </c>
      <c r="H100" s="34">
        <v>88.266667686666665</v>
      </c>
      <c r="I100" s="31">
        <v>84.900001529999997</v>
      </c>
      <c r="J100" s="34">
        <v>84.051001514700005</v>
      </c>
      <c r="K100" s="34">
        <v>83.202001499399998</v>
      </c>
      <c r="L100" s="34">
        <v>82.353001484099991</v>
      </c>
      <c r="M100" s="34">
        <v>81.504001468799999</v>
      </c>
      <c r="N100" s="34">
        <v>80.655001453499992</v>
      </c>
      <c r="O100" s="34">
        <v>79.806001438199999</v>
      </c>
      <c r="P100" s="34">
        <v>78.957001422899992</v>
      </c>
      <c r="Q100" s="34">
        <v>78.1080014076</v>
      </c>
      <c r="R100" s="34">
        <v>77.259001392299993</v>
      </c>
      <c r="S100" s="34">
        <v>76.410001377</v>
      </c>
      <c r="T100" s="35">
        <v>75.561001361699994</v>
      </c>
    </row>
    <row r="101" spans="1:20" ht="13">
      <c r="A101" s="12"/>
      <c r="B101" s="12"/>
      <c r="C101" s="1" t="s">
        <v>345</v>
      </c>
      <c r="D101" s="1" t="s">
        <v>200</v>
      </c>
      <c r="E101" s="31">
        <v>17.899999619999999</v>
      </c>
      <c r="F101" s="31">
        <v>17.899999619999999</v>
      </c>
      <c r="G101" s="31">
        <v>16.799999239999998</v>
      </c>
      <c r="H101" s="31">
        <v>17.299999239999998</v>
      </c>
      <c r="I101" s="31">
        <v>18.299999239999998</v>
      </c>
      <c r="J101" s="31">
        <v>18.299999239999998</v>
      </c>
      <c r="K101" s="31">
        <v>18.299999239999998</v>
      </c>
      <c r="L101" s="34">
        <v>18.116999247599999</v>
      </c>
      <c r="M101" s="34">
        <v>17.9339992552</v>
      </c>
      <c r="N101" s="34">
        <v>17.750999262799997</v>
      </c>
      <c r="O101" s="34">
        <v>17.567999270399998</v>
      </c>
      <c r="P101" s="34">
        <v>17.384999277999999</v>
      </c>
      <c r="Q101" s="34">
        <v>17.201999285599999</v>
      </c>
      <c r="R101" s="34">
        <v>17.018999293199997</v>
      </c>
      <c r="S101" s="34">
        <v>16.835999300799998</v>
      </c>
      <c r="T101" s="35">
        <v>16.652999308399998</v>
      </c>
    </row>
    <row r="102" spans="1:20" ht="13">
      <c r="A102" s="12"/>
      <c r="B102" s="12"/>
      <c r="C102" s="1" t="s">
        <v>139</v>
      </c>
      <c r="D102" s="1" t="s">
        <v>253</v>
      </c>
      <c r="E102" s="31">
        <v>6.0999999049999998</v>
      </c>
      <c r="F102" s="31">
        <v>6.1999998090000004</v>
      </c>
      <c r="G102" s="31">
        <v>6.1999998090000004</v>
      </c>
      <c r="H102" s="31">
        <v>6.1999998090000004</v>
      </c>
      <c r="I102" s="31">
        <v>6.1999998090000004</v>
      </c>
      <c r="J102" s="31">
        <v>6.1999998090000004</v>
      </c>
      <c r="K102" s="31">
        <v>6.1999998090000004</v>
      </c>
      <c r="L102" s="34">
        <v>6.1379998109100002</v>
      </c>
      <c r="M102" s="34">
        <v>6.0759998128200001</v>
      </c>
      <c r="N102" s="34">
        <v>6.01399981473</v>
      </c>
      <c r="O102" s="34">
        <v>5.9519998166399999</v>
      </c>
      <c r="P102" s="34">
        <v>5.8899998185500007</v>
      </c>
      <c r="Q102" s="34">
        <v>5.8279998204600005</v>
      </c>
      <c r="R102" s="34">
        <v>5.7659998223700004</v>
      </c>
      <c r="S102" s="34">
        <v>5.7039998242800003</v>
      </c>
      <c r="T102" s="35">
        <v>5.6419998261900002</v>
      </c>
    </row>
    <row r="103" spans="1:20" ht="13">
      <c r="A103" s="12"/>
      <c r="B103" s="12"/>
      <c r="C103" s="1" t="s">
        <v>141</v>
      </c>
      <c r="D103" s="1" t="s">
        <v>77</v>
      </c>
      <c r="E103" s="31">
        <v>57.099998470000003</v>
      </c>
      <c r="F103" s="34">
        <v>57.124999042500001</v>
      </c>
      <c r="G103" s="34">
        <v>57.149999614999999</v>
      </c>
      <c r="H103" s="34">
        <v>57.175000187500004</v>
      </c>
      <c r="I103" s="31">
        <v>57.200000760000002</v>
      </c>
      <c r="J103" s="31">
        <v>57.200000760000002</v>
      </c>
      <c r="K103" s="31">
        <v>57.200000760000002</v>
      </c>
      <c r="L103" s="34">
        <v>56.628000752399998</v>
      </c>
      <c r="M103" s="34">
        <v>56.056000744800002</v>
      </c>
      <c r="N103" s="34">
        <v>55.484000737199999</v>
      </c>
      <c r="O103" s="34">
        <v>54.912000729600003</v>
      </c>
      <c r="P103" s="34">
        <v>54.340000721999999</v>
      </c>
      <c r="Q103" s="34">
        <v>53.768000714400003</v>
      </c>
      <c r="R103" s="34">
        <v>53.1960007068</v>
      </c>
      <c r="S103" s="34">
        <v>52.624000699200003</v>
      </c>
      <c r="T103" s="35">
        <v>52.0520006916</v>
      </c>
    </row>
    <row r="104" spans="1:20" ht="13">
      <c r="A104" s="12"/>
      <c r="B104" s="12"/>
      <c r="C104" s="1" t="s">
        <v>201</v>
      </c>
      <c r="D104" s="1" t="s">
        <v>21</v>
      </c>
      <c r="E104" t="e">
        <v>#N/A</v>
      </c>
      <c r="F104" t="e">
        <v>#N/A</v>
      </c>
      <c r="G104" t="e">
        <v>#N/A</v>
      </c>
      <c r="H104" t="e">
        <v>#N/A</v>
      </c>
      <c r="I104" t="e">
        <v>#N/A</v>
      </c>
      <c r="J104" t="e">
        <v>#N/A</v>
      </c>
      <c r="K104" t="e">
        <v>#N/A</v>
      </c>
      <c r="L104" t="e">
        <v>#N/A</v>
      </c>
      <c r="M104" t="e">
        <v>#N/A</v>
      </c>
      <c r="N104" t="e">
        <v>#N/A</v>
      </c>
      <c r="O104" t="e">
        <v>#N/A</v>
      </c>
      <c r="P104" t="e">
        <v>#N/A</v>
      </c>
      <c r="Q104" t="e">
        <v>#N/A</v>
      </c>
      <c r="R104" t="e">
        <v>#N/A</v>
      </c>
      <c r="S104" t="e">
        <v>#N/A</v>
      </c>
      <c r="T104" t="e">
        <v>#N/A</v>
      </c>
    </row>
    <row r="105" spans="1:20" ht="13">
      <c r="A105" s="12"/>
      <c r="B105" s="12"/>
      <c r="C105" s="1" t="s">
        <v>391</v>
      </c>
      <c r="D105" s="1" t="s">
        <v>389</v>
      </c>
      <c r="E105" s="35">
        <v>25.469999315999999</v>
      </c>
      <c r="F105" s="35">
        <v>25.7529993084</v>
      </c>
      <c r="G105" s="35">
        <v>26.035999300799997</v>
      </c>
      <c r="H105" s="35">
        <v>26.318999293199997</v>
      </c>
      <c r="I105" s="35">
        <v>26.601999285599998</v>
      </c>
      <c r="J105" s="35">
        <v>26.884999277999999</v>
      </c>
      <c r="K105" s="35">
        <v>27.167999270399999</v>
      </c>
      <c r="L105" s="35">
        <v>27.450999262799996</v>
      </c>
      <c r="M105" s="35">
        <v>27.733999255199997</v>
      </c>
      <c r="N105" s="35">
        <v>28.016999247599998</v>
      </c>
      <c r="O105" s="31">
        <v>28.299999239999998</v>
      </c>
      <c r="P105" s="31">
        <v>28.38942789</v>
      </c>
      <c r="Q105" s="31">
        <v>28.60558756</v>
      </c>
      <c r="R105" s="31">
        <v>28.6</v>
      </c>
      <c r="S105" s="34">
        <v>28.314</v>
      </c>
      <c r="T105" s="35">
        <v>28.028000000000002</v>
      </c>
    </row>
    <row r="106" spans="1:20" ht="13">
      <c r="A106" s="12"/>
      <c r="B106" s="12"/>
      <c r="C106" s="1" t="s">
        <v>381</v>
      </c>
      <c r="D106" s="1" t="s">
        <v>280</v>
      </c>
      <c r="E106" s="31">
        <v>99</v>
      </c>
      <c r="F106" s="31">
        <v>100</v>
      </c>
      <c r="G106" s="31">
        <v>99</v>
      </c>
      <c r="H106" s="31">
        <v>100</v>
      </c>
      <c r="I106" s="31">
        <v>100</v>
      </c>
      <c r="J106" s="31">
        <v>100</v>
      </c>
      <c r="K106" s="31">
        <v>100</v>
      </c>
      <c r="L106" s="31">
        <v>100</v>
      </c>
      <c r="M106" s="31">
        <v>100</v>
      </c>
      <c r="N106" s="31">
        <v>100</v>
      </c>
      <c r="O106" s="34">
        <v>99</v>
      </c>
      <c r="P106" s="34">
        <v>98</v>
      </c>
      <c r="Q106" s="34">
        <v>97</v>
      </c>
      <c r="R106" s="34">
        <v>96</v>
      </c>
      <c r="S106" s="34">
        <v>95</v>
      </c>
      <c r="T106" s="35">
        <v>94</v>
      </c>
    </row>
    <row r="107" spans="1:20" ht="13">
      <c r="A107" s="12"/>
      <c r="B107" s="12"/>
      <c r="C107" s="1" t="s">
        <v>101</v>
      </c>
      <c r="D107" s="1" t="s">
        <v>92</v>
      </c>
      <c r="E107" s="31">
        <v>11.5</v>
      </c>
      <c r="F107" s="31">
        <v>11.600000380000001</v>
      </c>
      <c r="G107" s="34">
        <v>11.600000380000001</v>
      </c>
      <c r="H107" s="34">
        <v>11.600000380000001</v>
      </c>
      <c r="I107" s="31">
        <v>11.600000380000001</v>
      </c>
      <c r="J107" s="31">
        <v>11.600000380000001</v>
      </c>
      <c r="K107" s="31">
        <v>11.600000380000001</v>
      </c>
      <c r="L107" s="34">
        <v>11.484000376200001</v>
      </c>
      <c r="M107" s="34">
        <v>11.368000372400001</v>
      </c>
      <c r="N107" s="34">
        <v>11.252000368600001</v>
      </c>
      <c r="O107" s="34">
        <v>11.136000364800001</v>
      </c>
      <c r="P107" s="34">
        <v>11.020000361000001</v>
      </c>
      <c r="Q107" s="34">
        <v>10.904000357200001</v>
      </c>
      <c r="R107" s="34">
        <v>10.788000353400001</v>
      </c>
      <c r="S107" s="34">
        <v>10.672000349600001</v>
      </c>
      <c r="T107" s="35">
        <v>10.556000345800001</v>
      </c>
    </row>
    <row r="108" spans="1:20" ht="13">
      <c r="A108" s="12"/>
      <c r="B108" s="12"/>
      <c r="C108" s="1" t="s">
        <v>292</v>
      </c>
      <c r="D108" s="1" t="s">
        <v>263</v>
      </c>
      <c r="E108" s="35">
        <v>41.418400423199998</v>
      </c>
      <c r="F108" s="35">
        <v>41.868600427799997</v>
      </c>
      <c r="G108" s="35">
        <v>42.318800432399996</v>
      </c>
      <c r="H108" s="35">
        <v>42.769000436999995</v>
      </c>
      <c r="I108" s="35">
        <v>43.219200441600002</v>
      </c>
      <c r="J108" s="35">
        <v>43.669400446200001</v>
      </c>
      <c r="K108" s="35">
        <v>44.1196004508</v>
      </c>
      <c r="L108" s="35">
        <v>44.569800455399999</v>
      </c>
      <c r="M108" s="31">
        <v>45.020000459999999</v>
      </c>
      <c r="N108" s="34">
        <v>44.569800455399999</v>
      </c>
      <c r="O108" s="34">
        <v>44.1196004508</v>
      </c>
      <c r="P108" s="34">
        <v>43.669400446200001</v>
      </c>
      <c r="Q108" s="34">
        <v>43.219200441599995</v>
      </c>
      <c r="R108" s="34">
        <v>42.769000436999995</v>
      </c>
      <c r="S108" s="34">
        <v>42.318800432399996</v>
      </c>
      <c r="T108" s="35">
        <v>41.868600427799997</v>
      </c>
    </row>
    <row r="109" spans="1:20" ht="13">
      <c r="A109" s="12"/>
      <c r="B109" s="12"/>
      <c r="C109" s="1" t="s">
        <v>41</v>
      </c>
      <c r="D109" s="1" t="s">
        <v>107</v>
      </c>
      <c r="E109" s="31">
        <v>73.919808689999996</v>
      </c>
      <c r="F109" s="31">
        <v>73.99108889</v>
      </c>
      <c r="G109" s="31">
        <v>74.455389719999999</v>
      </c>
      <c r="H109" s="31">
        <v>75.582883030000005</v>
      </c>
      <c r="I109" s="31">
        <v>75.317688529999998</v>
      </c>
      <c r="J109" s="31">
        <v>76.184814509999995</v>
      </c>
      <c r="K109" s="31">
        <v>77.885927539999997</v>
      </c>
      <c r="L109" s="34">
        <v>79.367963005000007</v>
      </c>
      <c r="M109" s="31">
        <v>80.849998470000003</v>
      </c>
      <c r="N109" s="31">
        <v>81.319999690000003</v>
      </c>
      <c r="O109" s="34">
        <v>82.046406509999997</v>
      </c>
      <c r="P109" s="31">
        <v>82.772813330000005</v>
      </c>
      <c r="Q109" s="34">
        <v>81.945085196700006</v>
      </c>
      <c r="R109" s="34">
        <v>81.117357063400007</v>
      </c>
      <c r="S109" s="34">
        <v>80.289628930100008</v>
      </c>
      <c r="T109" s="35">
        <v>79.461900796800009</v>
      </c>
    </row>
    <row r="110" spans="1:20" ht="13">
      <c r="A110" s="12"/>
      <c r="B110" s="12"/>
      <c r="C110" s="1" t="s">
        <v>98</v>
      </c>
      <c r="D110" s="1" t="s">
        <v>33</v>
      </c>
      <c r="E110" s="35">
        <v>90</v>
      </c>
      <c r="F110" s="35">
        <v>91</v>
      </c>
      <c r="G110" s="35">
        <v>92</v>
      </c>
      <c r="H110" s="35">
        <v>93</v>
      </c>
      <c r="I110" s="35">
        <v>94</v>
      </c>
      <c r="J110" s="35">
        <v>95</v>
      </c>
      <c r="K110" s="35">
        <v>96</v>
      </c>
      <c r="L110" s="35">
        <v>97</v>
      </c>
      <c r="M110" s="35">
        <v>98</v>
      </c>
      <c r="N110" s="35">
        <v>99</v>
      </c>
      <c r="O110" s="31">
        <v>100</v>
      </c>
      <c r="P110" s="34">
        <v>99</v>
      </c>
      <c r="Q110" s="34">
        <v>98</v>
      </c>
      <c r="R110" s="34">
        <v>97</v>
      </c>
      <c r="S110" s="34">
        <v>96</v>
      </c>
      <c r="T110" s="35">
        <v>95</v>
      </c>
    </row>
    <row r="111" spans="1:20" ht="13">
      <c r="A111" s="12"/>
      <c r="B111" s="12"/>
      <c r="C111" s="1" t="s">
        <v>208</v>
      </c>
      <c r="D111" s="1" t="s">
        <v>278</v>
      </c>
      <c r="E111" s="31">
        <v>12</v>
      </c>
      <c r="F111" s="31">
        <v>12.100000380000001</v>
      </c>
      <c r="G111" s="31">
        <v>12.100000380000001</v>
      </c>
      <c r="H111" s="31">
        <v>12.100000380000001</v>
      </c>
      <c r="I111" s="31">
        <v>12.100000380000001</v>
      </c>
      <c r="J111" s="31">
        <v>12.100000380000001</v>
      </c>
      <c r="K111" s="34">
        <v>13.575000285000002</v>
      </c>
      <c r="L111" s="34">
        <v>15.05000019</v>
      </c>
      <c r="M111" s="34">
        <v>16.525000094999999</v>
      </c>
      <c r="N111" s="31">
        <v>18</v>
      </c>
      <c r="O111" s="31">
        <v>19.03553299</v>
      </c>
      <c r="P111" s="34">
        <v>18.845177660099999</v>
      </c>
      <c r="Q111" s="34">
        <v>18.654822330199998</v>
      </c>
      <c r="R111" s="34">
        <v>18.464467000300001</v>
      </c>
      <c r="S111" s="34">
        <v>18.2741116704</v>
      </c>
      <c r="T111" s="35">
        <v>18.083756340499999</v>
      </c>
    </row>
    <row r="112" spans="1:20" ht="13">
      <c r="A112" s="12"/>
      <c r="B112" s="12"/>
      <c r="C112" s="1" t="s">
        <v>217</v>
      </c>
      <c r="D112" s="1" t="s">
        <v>269</v>
      </c>
      <c r="E112" s="31">
        <v>95</v>
      </c>
      <c r="F112" s="31">
        <v>95</v>
      </c>
      <c r="G112" s="31">
        <v>95</v>
      </c>
      <c r="H112" s="31">
        <v>95</v>
      </c>
      <c r="I112" s="34">
        <v>91.5</v>
      </c>
      <c r="J112" s="31">
        <v>88</v>
      </c>
      <c r="K112" s="31">
        <v>88</v>
      </c>
      <c r="L112" s="31">
        <v>90</v>
      </c>
      <c r="M112" s="31">
        <v>87.52999878</v>
      </c>
      <c r="N112" s="31">
        <v>87.52999878</v>
      </c>
      <c r="O112" s="34">
        <v>87.529999085</v>
      </c>
      <c r="P112" s="34">
        <v>87.52999939</v>
      </c>
      <c r="Q112" s="34">
        <v>87.529999695000001</v>
      </c>
      <c r="R112" s="31">
        <v>87.53</v>
      </c>
      <c r="S112" s="34">
        <v>86.654699999999991</v>
      </c>
      <c r="T112" s="35">
        <v>85.779399999999995</v>
      </c>
    </row>
    <row r="113" spans="1:20" ht="13">
      <c r="A113" s="12"/>
      <c r="B113" s="12"/>
      <c r="C113" s="1" t="s">
        <v>275</v>
      </c>
      <c r="D113" s="1" t="s">
        <v>194</v>
      </c>
      <c r="E113" t="e">
        <v>#N/A</v>
      </c>
      <c r="F113" t="e">
        <v>#N/A</v>
      </c>
      <c r="G113" t="e">
        <v>#N/A</v>
      </c>
      <c r="H113" t="e">
        <v>#N/A</v>
      </c>
      <c r="I113" t="e">
        <v>#N/A</v>
      </c>
      <c r="J113" t="e">
        <v>#N/A</v>
      </c>
      <c r="K113" t="e">
        <v>#N/A</v>
      </c>
      <c r="L113" t="e">
        <v>#N/A</v>
      </c>
      <c r="M113" t="e">
        <v>#N/A</v>
      </c>
      <c r="N113" t="e">
        <v>#N/A</v>
      </c>
      <c r="O113" t="e">
        <v>#N/A</v>
      </c>
      <c r="P113" t="e">
        <v>#N/A</v>
      </c>
      <c r="Q113" t="e">
        <v>#N/A</v>
      </c>
      <c r="R113" t="e">
        <v>#N/A</v>
      </c>
      <c r="S113" t="e">
        <v>#N/A</v>
      </c>
      <c r="T113" t="e">
        <v>#N/A</v>
      </c>
    </row>
    <row r="114" spans="1:20" ht="13">
      <c r="A114" s="12"/>
      <c r="B114" s="12"/>
      <c r="C114" s="1" t="s">
        <v>370</v>
      </c>
      <c r="D114" s="1" t="s">
        <v>114</v>
      </c>
      <c r="E114" s="35">
        <v>29.682403432500003</v>
      </c>
      <c r="F114" s="35">
        <v>30.008583690000002</v>
      </c>
      <c r="G114" s="35">
        <v>30.334763947500001</v>
      </c>
      <c r="H114" s="35">
        <v>30.660944205</v>
      </c>
      <c r="I114" s="35">
        <v>30.987124462500002</v>
      </c>
      <c r="J114" s="35">
        <v>31.313304720000001</v>
      </c>
      <c r="K114" s="35">
        <v>31.6394849775</v>
      </c>
      <c r="L114" s="35">
        <v>31.965665234999999</v>
      </c>
      <c r="M114" s="35">
        <v>32.291845492500002</v>
      </c>
      <c r="N114" s="31">
        <v>32.618025750000001</v>
      </c>
      <c r="O114" s="31">
        <v>30.299999239999998</v>
      </c>
      <c r="P114" s="31">
        <v>26.847999999999999</v>
      </c>
      <c r="Q114" s="31">
        <v>26.847999999999999</v>
      </c>
      <c r="R114" s="34">
        <v>26.579519999999999</v>
      </c>
      <c r="S114" s="34">
        <v>26.311039999999998</v>
      </c>
      <c r="T114" s="35">
        <v>26.042559999999998</v>
      </c>
    </row>
    <row r="115" spans="1:20" ht="13">
      <c r="A115" s="12"/>
      <c r="B115" s="12"/>
      <c r="C115" s="1" t="s">
        <v>321</v>
      </c>
      <c r="D115" s="1" t="s">
        <v>333</v>
      </c>
      <c r="E115" s="31">
        <v>93</v>
      </c>
      <c r="F115" s="31">
        <v>95</v>
      </c>
      <c r="G115" s="31">
        <v>95</v>
      </c>
      <c r="H115" s="31">
        <v>96</v>
      </c>
      <c r="I115" s="31">
        <v>96</v>
      </c>
      <c r="J115" s="31">
        <v>97</v>
      </c>
      <c r="K115" s="31">
        <v>98</v>
      </c>
      <c r="L115" s="31">
        <v>98</v>
      </c>
      <c r="M115" s="31">
        <v>100</v>
      </c>
      <c r="N115" s="31">
        <v>100</v>
      </c>
      <c r="O115" s="31">
        <v>100</v>
      </c>
      <c r="P115" s="31">
        <v>98.020781790000001</v>
      </c>
      <c r="Q115" s="31">
        <v>98.027613410000001</v>
      </c>
      <c r="R115" s="31">
        <v>98.03</v>
      </c>
      <c r="S115" s="34">
        <v>97.049700000000001</v>
      </c>
      <c r="T115" s="35">
        <v>96.069400000000002</v>
      </c>
    </row>
    <row r="116" spans="1:20" ht="13">
      <c r="A116" s="12"/>
      <c r="B116" s="12"/>
      <c r="C116" s="1" t="s">
        <v>83</v>
      </c>
      <c r="D116" s="1" t="s">
        <v>192</v>
      </c>
      <c r="E116" s="31">
        <v>31.299999239999998</v>
      </c>
      <c r="F116" s="31">
        <v>31.799999239999998</v>
      </c>
      <c r="G116" s="31">
        <v>29.700000760000002</v>
      </c>
      <c r="H116" s="31">
        <v>34.299999239999998</v>
      </c>
      <c r="I116" s="31">
        <v>32.799999239999998</v>
      </c>
      <c r="J116" s="31">
        <v>32.799999239999998</v>
      </c>
      <c r="K116" s="34">
        <v>33.149999620000003</v>
      </c>
      <c r="L116" s="31">
        <v>33.5</v>
      </c>
      <c r="M116" s="31">
        <v>35.759998320000001</v>
      </c>
      <c r="N116" s="31">
        <v>36.310001370000002</v>
      </c>
      <c r="O116" s="31">
        <v>36.979999540000001</v>
      </c>
      <c r="P116" s="31">
        <v>33.47</v>
      </c>
      <c r="Q116" s="31">
        <v>34.96</v>
      </c>
      <c r="R116" s="31">
        <v>35.28</v>
      </c>
      <c r="S116" s="34">
        <v>34.927199999999999</v>
      </c>
      <c r="T116" s="35">
        <v>34.574399999999997</v>
      </c>
    </row>
    <row r="117" spans="1:20" ht="13">
      <c r="A117" s="12"/>
      <c r="B117" s="12"/>
      <c r="C117" s="1" t="s">
        <v>170</v>
      </c>
      <c r="D117" s="1" t="s">
        <v>293</v>
      </c>
      <c r="E117" s="31">
        <v>17.600000380000001</v>
      </c>
      <c r="F117" s="31">
        <v>17.700000760000002</v>
      </c>
      <c r="G117" s="31">
        <v>17.5</v>
      </c>
      <c r="H117" s="31">
        <v>17.5</v>
      </c>
      <c r="I117" s="31">
        <v>17.5</v>
      </c>
      <c r="J117" s="31">
        <v>17.5</v>
      </c>
      <c r="K117" s="31">
        <v>17.5</v>
      </c>
      <c r="L117" s="34">
        <v>17.324999999999999</v>
      </c>
      <c r="M117" s="34">
        <v>17.149999999999999</v>
      </c>
      <c r="N117" s="34">
        <v>16.975000000000001</v>
      </c>
      <c r="O117" s="34">
        <v>16.8</v>
      </c>
      <c r="P117" s="34">
        <v>16.625</v>
      </c>
      <c r="Q117" s="34">
        <v>16.45</v>
      </c>
      <c r="R117" s="34">
        <v>16.275000000000002</v>
      </c>
      <c r="S117" s="34">
        <v>16.100000000000001</v>
      </c>
      <c r="T117" s="35">
        <v>15.925000000000001</v>
      </c>
    </row>
    <row r="118" spans="1:20" ht="13">
      <c r="A118" s="12"/>
      <c r="B118" s="12"/>
      <c r="C118" s="1" t="s">
        <v>106</v>
      </c>
      <c r="D118" s="1" t="s">
        <v>237</v>
      </c>
      <c r="E118" s="31">
        <v>87.300003050000001</v>
      </c>
      <c r="F118" s="31">
        <v>86.900001529999997</v>
      </c>
      <c r="G118" s="31">
        <v>86.900001529999997</v>
      </c>
      <c r="H118" s="31">
        <v>87</v>
      </c>
      <c r="I118" s="31">
        <v>87</v>
      </c>
      <c r="J118" s="31">
        <v>86.099998470000003</v>
      </c>
      <c r="K118" s="34">
        <v>86.049999235000001</v>
      </c>
      <c r="L118" s="31">
        <v>86</v>
      </c>
      <c r="M118" s="31">
        <v>86.199996949999999</v>
      </c>
      <c r="N118" s="31">
        <v>86.199996949999999</v>
      </c>
      <c r="O118" s="31">
        <v>86.25</v>
      </c>
      <c r="P118" s="31">
        <v>85.5</v>
      </c>
      <c r="Q118" s="31">
        <v>85.699725599999994</v>
      </c>
      <c r="R118" s="31">
        <v>85.8</v>
      </c>
      <c r="S118" s="34">
        <v>84.941999999999993</v>
      </c>
      <c r="T118" s="35">
        <v>84.083999999999989</v>
      </c>
    </row>
    <row r="119" spans="1:20" ht="13">
      <c r="A119" s="12"/>
      <c r="B119" s="12"/>
      <c r="C119" s="1" t="s">
        <v>146</v>
      </c>
      <c r="D119" s="1" t="s">
        <v>112</v>
      </c>
      <c r="E119" s="31">
        <v>100</v>
      </c>
      <c r="F119" s="31">
        <v>100</v>
      </c>
      <c r="G119" s="31">
        <v>100</v>
      </c>
      <c r="H119" s="31">
        <v>100</v>
      </c>
      <c r="I119" s="31">
        <v>100</v>
      </c>
      <c r="J119" s="31">
        <v>100</v>
      </c>
      <c r="K119" s="31">
        <v>100</v>
      </c>
      <c r="L119" s="34">
        <v>100</v>
      </c>
      <c r="M119" s="34">
        <v>100</v>
      </c>
      <c r="N119" s="34">
        <v>100</v>
      </c>
      <c r="O119" s="34">
        <v>100</v>
      </c>
      <c r="P119" s="31">
        <v>100</v>
      </c>
      <c r="Q119" s="31">
        <v>100</v>
      </c>
      <c r="R119" s="31">
        <v>100</v>
      </c>
      <c r="S119" s="34">
        <v>99</v>
      </c>
      <c r="T119" s="35">
        <v>98</v>
      </c>
    </row>
    <row r="120" spans="1:20" ht="13">
      <c r="A120" s="12"/>
      <c r="B120" s="12"/>
      <c r="C120" s="1" t="s">
        <v>227</v>
      </c>
      <c r="D120" s="1" t="s">
        <v>348</v>
      </c>
      <c r="E120" s="31">
        <v>63.299999239999998</v>
      </c>
      <c r="F120" s="31">
        <v>63.799999239999998</v>
      </c>
      <c r="G120" s="31">
        <v>63.799999239999998</v>
      </c>
      <c r="H120" s="31">
        <v>63.799999239999998</v>
      </c>
      <c r="I120" s="31">
        <v>63.799999239999998</v>
      </c>
      <c r="J120" s="34">
        <v>60.784999429999999</v>
      </c>
      <c r="K120" s="34">
        <v>57.76999962</v>
      </c>
      <c r="L120" s="34">
        <v>54.754999810000001</v>
      </c>
      <c r="M120" s="31">
        <v>51.74</v>
      </c>
      <c r="N120" s="31">
        <v>52.87</v>
      </c>
      <c r="O120" s="31">
        <v>55.62</v>
      </c>
      <c r="P120" s="31">
        <v>54.34</v>
      </c>
      <c r="Q120" s="31">
        <v>56.16</v>
      </c>
      <c r="R120" s="31">
        <v>56.54</v>
      </c>
      <c r="S120" s="34">
        <v>55.974599999999995</v>
      </c>
      <c r="T120" s="35">
        <v>55.409199999999998</v>
      </c>
    </row>
    <row r="121" spans="1:20" ht="13">
      <c r="A121" s="12"/>
      <c r="B121" s="12"/>
      <c r="C121" s="1" t="s">
        <v>190</v>
      </c>
      <c r="D121" s="1" t="s">
        <v>210</v>
      </c>
      <c r="E121" s="31">
        <v>3.2999999519999998</v>
      </c>
      <c r="F121" s="31">
        <v>3.2999999519999998</v>
      </c>
      <c r="G121" s="31">
        <v>3.4000000950000002</v>
      </c>
      <c r="H121" s="31">
        <v>3.4000000950000002</v>
      </c>
      <c r="I121" s="31">
        <v>3.5</v>
      </c>
      <c r="J121" s="31">
        <v>3.5</v>
      </c>
      <c r="K121" s="31">
        <v>3.5</v>
      </c>
      <c r="L121" s="31">
        <v>3.5</v>
      </c>
      <c r="M121" s="34">
        <v>3.4649999999999999</v>
      </c>
      <c r="N121" s="34">
        <v>3.43</v>
      </c>
      <c r="O121" s="34">
        <v>3.395</v>
      </c>
      <c r="P121" s="34">
        <v>3.3600000000000003</v>
      </c>
      <c r="Q121" s="34">
        <v>3.3250000000000002</v>
      </c>
      <c r="R121" s="34">
        <v>3.29</v>
      </c>
      <c r="S121" s="34">
        <v>3.2550000000000003</v>
      </c>
      <c r="T121" s="35">
        <v>3.22</v>
      </c>
    </row>
    <row r="122" spans="1:20" ht="13">
      <c r="A122" s="12"/>
      <c r="B122" s="12"/>
      <c r="C122" s="1" t="s">
        <v>191</v>
      </c>
      <c r="D122" s="1" t="s">
        <v>242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</row>
    <row r="123" spans="1:20" ht="13">
      <c r="A123" s="12"/>
      <c r="B123" s="12"/>
      <c r="C123" s="1" t="s">
        <v>165</v>
      </c>
      <c r="D123" s="1" t="s">
        <v>173</v>
      </c>
      <c r="E123" s="31">
        <v>50.200000760000002</v>
      </c>
      <c r="F123" s="31">
        <v>50.200000760000002</v>
      </c>
      <c r="G123" s="31">
        <v>52.299999239999998</v>
      </c>
      <c r="H123" s="31">
        <v>52.299999239999998</v>
      </c>
      <c r="I123" s="31">
        <v>56.299999239999998</v>
      </c>
      <c r="J123" s="31">
        <v>56.41999817</v>
      </c>
      <c r="K123" s="31">
        <v>56.41999817</v>
      </c>
      <c r="L123" s="31">
        <v>56.41999817</v>
      </c>
      <c r="M123" s="31">
        <v>56.900001529999997</v>
      </c>
      <c r="N123" s="31">
        <v>56.900001529999997</v>
      </c>
      <c r="O123" s="31">
        <v>61.88999939</v>
      </c>
      <c r="P123" s="31">
        <v>61.88999939</v>
      </c>
      <c r="Q123" s="31">
        <v>61.98</v>
      </c>
      <c r="R123" s="31">
        <v>67.77</v>
      </c>
      <c r="S123" s="34">
        <v>67.092299999999994</v>
      </c>
      <c r="T123" s="35">
        <v>66.414599999999993</v>
      </c>
    </row>
    <row r="124" spans="1:20" ht="13">
      <c r="A124" s="12"/>
      <c r="B124" s="12"/>
      <c r="C124" s="1" t="s">
        <v>180</v>
      </c>
      <c r="D124" s="1" t="s">
        <v>307</v>
      </c>
      <c r="E124" s="31">
        <v>18.600000380000001</v>
      </c>
      <c r="F124" s="31">
        <v>18.700000760000002</v>
      </c>
      <c r="G124" s="31">
        <v>18.700000760000002</v>
      </c>
      <c r="H124" s="31">
        <v>18.700000760000002</v>
      </c>
      <c r="I124" s="31">
        <v>18.700000760000002</v>
      </c>
      <c r="J124" s="31">
        <v>18.700000760000002</v>
      </c>
      <c r="K124" s="31">
        <v>18.700000760000002</v>
      </c>
      <c r="L124" s="34">
        <v>18.99714350857143</v>
      </c>
      <c r="M124" s="34">
        <v>19.294286257142858</v>
      </c>
      <c r="N124" s="34">
        <v>19.591429005714286</v>
      </c>
      <c r="O124" s="34">
        <v>19.888571754285717</v>
      </c>
      <c r="P124" s="34">
        <v>20.185714502857145</v>
      </c>
      <c r="Q124" s="34">
        <v>20.482857251428573</v>
      </c>
      <c r="R124" s="31">
        <v>20.78</v>
      </c>
      <c r="S124" s="34">
        <v>20.572200000000002</v>
      </c>
      <c r="T124" s="35">
        <v>20.3644</v>
      </c>
    </row>
    <row r="125" spans="1:20" ht="13">
      <c r="A125" s="12"/>
      <c r="B125" s="12"/>
      <c r="C125" s="1" t="s">
        <v>205</v>
      </c>
      <c r="D125" s="1" t="s">
        <v>357</v>
      </c>
      <c r="E125" s="31">
        <v>12.100000380000001</v>
      </c>
      <c r="F125" s="31">
        <v>12.19999981</v>
      </c>
      <c r="G125" s="34">
        <v>11.9466664</v>
      </c>
      <c r="H125" s="34">
        <v>11.69333299</v>
      </c>
      <c r="I125" s="31">
        <v>11.43999958</v>
      </c>
      <c r="J125" s="31">
        <v>11.43999958</v>
      </c>
      <c r="K125" s="34">
        <v>11.52199974</v>
      </c>
      <c r="L125" s="34">
        <v>11.6039999</v>
      </c>
      <c r="M125" s="34">
        <v>11.686000060000001</v>
      </c>
      <c r="N125" s="34">
        <v>11.768000220000001</v>
      </c>
      <c r="O125" s="31">
        <v>11.850000380000001</v>
      </c>
      <c r="P125" s="34">
        <v>11.731500376200001</v>
      </c>
      <c r="Q125" s="34">
        <v>11.6130003724</v>
      </c>
      <c r="R125" s="34">
        <v>11.494500368600001</v>
      </c>
      <c r="S125" s="34">
        <v>11.376000364799999</v>
      </c>
      <c r="T125" s="35">
        <v>11.257500361</v>
      </c>
    </row>
    <row r="126" spans="1:20" ht="13">
      <c r="A126" s="12"/>
      <c r="B126" s="12"/>
      <c r="C126" s="1" t="s">
        <v>30</v>
      </c>
      <c r="D126" s="1" t="s">
        <v>137</v>
      </c>
      <c r="E126" s="31">
        <v>7.9000000950000002</v>
      </c>
      <c r="F126" s="31">
        <v>11.399999619999999</v>
      </c>
      <c r="G126" s="31">
        <v>13.19999981</v>
      </c>
      <c r="H126" s="31">
        <v>13.5</v>
      </c>
      <c r="I126" s="31">
        <v>13.600000380000001</v>
      </c>
      <c r="J126" s="34">
        <v>13.33333365</v>
      </c>
      <c r="K126" s="34">
        <v>13.066666920000001</v>
      </c>
      <c r="L126" s="31">
        <v>12.80000019</v>
      </c>
      <c r="M126" s="34">
        <v>12.6720001881</v>
      </c>
      <c r="N126" s="34">
        <v>12.5440001862</v>
      </c>
      <c r="O126" s="34">
        <v>12.4160001843</v>
      </c>
      <c r="P126" s="34">
        <v>12.288000182400001</v>
      </c>
      <c r="Q126" s="34">
        <v>12.160000180500001</v>
      </c>
      <c r="R126" s="34">
        <v>12.032000178600001</v>
      </c>
      <c r="S126" s="34">
        <v>11.9040001767</v>
      </c>
      <c r="T126" s="35">
        <v>11.7760001748</v>
      </c>
    </row>
    <row r="127" spans="1:20" ht="13">
      <c r="A127" s="12"/>
      <c r="B127" s="12"/>
      <c r="C127" s="1" t="s">
        <v>361</v>
      </c>
      <c r="D127" s="1" t="s">
        <v>337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</row>
    <row r="128" spans="1:20" ht="13">
      <c r="A128" s="12"/>
      <c r="B128" s="12"/>
      <c r="C128" s="1" t="s">
        <v>212</v>
      </c>
      <c r="D128" s="1" t="s">
        <v>156</v>
      </c>
      <c r="E128" s="31">
        <v>41.400001529999997</v>
      </c>
      <c r="F128" s="31">
        <v>41.5</v>
      </c>
      <c r="G128" s="34">
        <v>43.271428790000002</v>
      </c>
      <c r="H128" s="34">
        <v>45.042857580000003</v>
      </c>
      <c r="I128" s="34">
        <v>46.814286369999998</v>
      </c>
      <c r="J128" s="34">
        <v>48.585715159999999</v>
      </c>
      <c r="K128" s="34">
        <v>50.357143950000001</v>
      </c>
      <c r="L128" s="34">
        <v>52.128572739999996</v>
      </c>
      <c r="M128" s="31">
        <v>53.900001529999997</v>
      </c>
      <c r="N128" s="31">
        <v>55.66</v>
      </c>
      <c r="O128" s="31">
        <v>56.07</v>
      </c>
      <c r="P128" s="31">
        <v>55.85</v>
      </c>
      <c r="Q128" s="34">
        <v>55.291499999999999</v>
      </c>
      <c r="R128" s="34">
        <v>54.733000000000004</v>
      </c>
      <c r="S128" s="34">
        <v>54.174500000000002</v>
      </c>
      <c r="T128" s="35">
        <v>53.616</v>
      </c>
    </row>
    <row r="129" spans="1:20" ht="13">
      <c r="A129" s="12"/>
      <c r="B129" s="12"/>
      <c r="C129" s="1" t="s">
        <v>270</v>
      </c>
      <c r="D129" s="1" t="s">
        <v>386</v>
      </c>
      <c r="E129" s="31">
        <v>90</v>
      </c>
      <c r="F129" s="31">
        <v>90</v>
      </c>
      <c r="G129" s="31">
        <v>90</v>
      </c>
      <c r="H129" s="31">
        <v>90</v>
      </c>
      <c r="I129" s="31">
        <v>90</v>
      </c>
      <c r="J129" s="31">
        <v>90</v>
      </c>
      <c r="K129" s="34">
        <v>89.1</v>
      </c>
      <c r="L129" s="34">
        <v>88.2</v>
      </c>
      <c r="M129" s="34">
        <v>87.3</v>
      </c>
      <c r="N129" s="34">
        <v>86.4</v>
      </c>
      <c r="O129" s="34">
        <v>85.5</v>
      </c>
      <c r="P129" s="34">
        <v>84.6</v>
      </c>
      <c r="Q129" s="34">
        <v>83.7</v>
      </c>
      <c r="R129" s="34">
        <v>82.8</v>
      </c>
      <c r="S129" s="34">
        <v>81.900000000000006</v>
      </c>
      <c r="T129" s="35">
        <v>81</v>
      </c>
    </row>
    <row r="130" spans="1:20" ht="13">
      <c r="A130" s="12"/>
      <c r="B130" s="12"/>
      <c r="C130" s="1" t="s">
        <v>117</v>
      </c>
      <c r="D130" s="1" t="s">
        <v>220</v>
      </c>
      <c r="E130" s="31">
        <v>60.400001529999997</v>
      </c>
      <c r="F130" s="31">
        <v>60.799999239999998</v>
      </c>
      <c r="G130" s="31">
        <v>61.299999239999998</v>
      </c>
      <c r="H130" s="31">
        <v>61.299999239999998</v>
      </c>
      <c r="I130" s="31">
        <v>61.900001529999997</v>
      </c>
      <c r="J130" s="31">
        <v>62.799999239999998</v>
      </c>
      <c r="K130" s="31">
        <v>63</v>
      </c>
      <c r="L130" s="31">
        <v>64</v>
      </c>
      <c r="M130" s="31">
        <v>64.33000183</v>
      </c>
      <c r="N130" s="31">
        <v>64.5</v>
      </c>
      <c r="O130" s="31">
        <v>64.88999939</v>
      </c>
      <c r="P130" s="31">
        <v>64.957369929999999</v>
      </c>
      <c r="Q130" s="31">
        <v>65.406622010000007</v>
      </c>
      <c r="R130" s="31">
        <v>65.89</v>
      </c>
      <c r="S130" s="34">
        <v>65.231099999999998</v>
      </c>
      <c r="T130" s="35">
        <v>64.572199999999995</v>
      </c>
    </row>
    <row r="131" spans="1:20" ht="13">
      <c r="A131" s="12"/>
      <c r="B131" s="12"/>
      <c r="C131" s="1" t="s">
        <v>125</v>
      </c>
      <c r="D131" s="1" t="s">
        <v>3</v>
      </c>
      <c r="E131" s="31">
        <v>10</v>
      </c>
      <c r="F131" s="34">
        <v>10.212000084</v>
      </c>
      <c r="G131" s="34">
        <v>10.424000167999999</v>
      </c>
      <c r="H131" s="34">
        <v>10.636000252000001</v>
      </c>
      <c r="I131" s="34">
        <v>10.848000336</v>
      </c>
      <c r="J131" s="31">
        <v>11.06000042</v>
      </c>
      <c r="K131" s="31">
        <v>11.35999966</v>
      </c>
      <c r="L131" s="31">
        <v>11.35999966</v>
      </c>
      <c r="M131" s="34">
        <v>11.487999728</v>
      </c>
      <c r="N131" s="34">
        <v>11.615999796000001</v>
      </c>
      <c r="O131" s="34">
        <v>11.743999863999999</v>
      </c>
      <c r="P131" s="34">
        <v>11.871999932</v>
      </c>
      <c r="Q131" s="31">
        <v>12</v>
      </c>
      <c r="R131" s="34">
        <v>11.88</v>
      </c>
      <c r="S131" s="34">
        <v>11.76</v>
      </c>
      <c r="T131" s="35">
        <v>11.64</v>
      </c>
    </row>
    <row r="132" spans="1:20" ht="13">
      <c r="A132" s="12"/>
      <c r="B132" s="12"/>
      <c r="C132" s="1" t="s">
        <v>163</v>
      </c>
      <c r="D132" s="1" t="s">
        <v>300</v>
      </c>
      <c r="E132" s="35">
        <v>24.120399858999999</v>
      </c>
      <c r="F132" s="35">
        <v>24.3769998575</v>
      </c>
      <c r="G132" s="35">
        <v>24.633599856</v>
      </c>
      <c r="H132" s="35">
        <v>24.890199854499997</v>
      </c>
      <c r="I132" s="35">
        <v>25.146799852999997</v>
      </c>
      <c r="J132" s="35">
        <v>25.403399851499998</v>
      </c>
      <c r="K132" s="31">
        <v>25.659999849999998</v>
      </c>
      <c r="L132" s="31">
        <v>25.659999849999998</v>
      </c>
      <c r="M132" s="31">
        <v>24.950000760000002</v>
      </c>
      <c r="N132" s="31">
        <v>20.450000760000002</v>
      </c>
      <c r="O132" s="31">
        <v>20.61000061</v>
      </c>
      <c r="P132" s="31">
        <v>20.5</v>
      </c>
      <c r="Q132" s="31">
        <v>20.65</v>
      </c>
      <c r="R132" s="31">
        <v>20.65</v>
      </c>
      <c r="S132" s="34">
        <v>20.4435</v>
      </c>
      <c r="T132" s="35">
        <v>20.236999999999998</v>
      </c>
    </row>
    <row r="133" spans="1:20" ht="13">
      <c r="A133" s="12"/>
      <c r="B133" s="12"/>
      <c r="C133" s="1" t="s">
        <v>91</v>
      </c>
      <c r="D133" s="1" t="s">
        <v>51</v>
      </c>
      <c r="E133" s="35">
        <v>13.65</v>
      </c>
      <c r="F133" s="35">
        <v>13.8</v>
      </c>
      <c r="G133" s="35">
        <v>13.95</v>
      </c>
      <c r="H133" s="35">
        <v>14.1</v>
      </c>
      <c r="I133" s="35">
        <v>14.25</v>
      </c>
      <c r="J133" s="35">
        <v>14.4</v>
      </c>
      <c r="K133" s="35">
        <v>14.55</v>
      </c>
      <c r="L133" s="35">
        <v>14.7</v>
      </c>
      <c r="M133" s="35">
        <v>14.85</v>
      </c>
      <c r="N133" s="31">
        <v>15</v>
      </c>
      <c r="O133" s="34">
        <v>14.85</v>
      </c>
      <c r="P133" s="34">
        <v>14.7</v>
      </c>
      <c r="Q133" s="34">
        <v>14.55</v>
      </c>
      <c r="R133" s="34">
        <v>14.4</v>
      </c>
      <c r="S133" s="34">
        <v>14.25</v>
      </c>
      <c r="T133" s="35">
        <v>14.1</v>
      </c>
    </row>
    <row r="134" spans="1:20" ht="13">
      <c r="A134" s="12"/>
      <c r="B134" s="12"/>
      <c r="C134" s="1" t="s">
        <v>181</v>
      </c>
      <c r="D134" s="1" t="s">
        <v>123</v>
      </c>
      <c r="E134" s="31">
        <v>73.5</v>
      </c>
      <c r="F134" s="31">
        <v>72</v>
      </c>
      <c r="G134" s="31">
        <v>74</v>
      </c>
      <c r="H134" s="31">
        <v>74.5</v>
      </c>
      <c r="I134" s="31">
        <v>75.5</v>
      </c>
      <c r="J134" s="31">
        <v>76</v>
      </c>
      <c r="K134" s="31">
        <v>77</v>
      </c>
      <c r="L134" s="31">
        <v>77.5</v>
      </c>
      <c r="M134" s="34">
        <v>78.022761514999999</v>
      </c>
      <c r="N134" s="34">
        <v>78.545523029999998</v>
      </c>
      <c r="O134" s="34">
        <v>79.068284544999997</v>
      </c>
      <c r="P134" s="31">
        <v>79.591046059999996</v>
      </c>
      <c r="Q134" s="31">
        <v>80.45</v>
      </c>
      <c r="R134" s="34">
        <v>79.645499999999998</v>
      </c>
      <c r="S134" s="34">
        <v>78.841000000000008</v>
      </c>
      <c r="T134" s="35">
        <v>78.036500000000004</v>
      </c>
    </row>
    <row r="135" spans="1:20" ht="13">
      <c r="A135" s="12"/>
      <c r="B135" s="12"/>
      <c r="C135" s="1" t="s">
        <v>329</v>
      </c>
      <c r="D135" s="1" t="s">
        <v>295</v>
      </c>
      <c r="E135" s="31">
        <v>20.399999619999999</v>
      </c>
      <c r="F135" s="31">
        <v>30</v>
      </c>
      <c r="G135" s="31">
        <v>30</v>
      </c>
      <c r="H135" s="31">
        <v>30</v>
      </c>
      <c r="I135" s="31">
        <v>30</v>
      </c>
      <c r="J135" s="31">
        <v>30</v>
      </c>
      <c r="K135" s="31">
        <v>27.659999849999998</v>
      </c>
      <c r="L135" s="34">
        <v>30.437569700000001</v>
      </c>
      <c r="M135" s="31">
        <v>33.215139550000004</v>
      </c>
      <c r="N135" s="31">
        <v>36.707495569999999</v>
      </c>
      <c r="O135" s="31">
        <v>39.656244559999998</v>
      </c>
      <c r="P135" s="31">
        <v>42.112215980000002</v>
      </c>
      <c r="Q135" s="31">
        <v>41.250971890000002</v>
      </c>
      <c r="R135" s="31">
        <v>43.46</v>
      </c>
      <c r="S135" s="34">
        <v>43.025400000000005</v>
      </c>
      <c r="T135" s="35">
        <v>42.590800000000002</v>
      </c>
    </row>
    <row r="136" spans="1:20" ht="13">
      <c r="A136" s="12"/>
      <c r="B136" s="12"/>
      <c r="C136" s="1" t="s">
        <v>99</v>
      </c>
      <c r="D136" s="1" t="s">
        <v>239</v>
      </c>
      <c r="E136" s="31">
        <v>45</v>
      </c>
      <c r="F136" s="31">
        <v>44</v>
      </c>
      <c r="G136" s="31">
        <v>44</v>
      </c>
      <c r="H136" s="31">
        <v>53</v>
      </c>
      <c r="I136" s="31">
        <v>55</v>
      </c>
      <c r="J136" s="31">
        <v>56</v>
      </c>
      <c r="K136" s="31">
        <v>59</v>
      </c>
      <c r="L136" s="34">
        <v>59.5</v>
      </c>
      <c r="M136" s="31">
        <v>60</v>
      </c>
      <c r="N136" s="31">
        <v>64.699996949999999</v>
      </c>
      <c r="O136" s="34">
        <v>65.030090334999997</v>
      </c>
      <c r="P136" s="31">
        <v>65.360183719999995</v>
      </c>
      <c r="Q136" s="34">
        <v>64.706581882799995</v>
      </c>
      <c r="R136" s="34">
        <v>64.052980045599995</v>
      </c>
      <c r="S136" s="34">
        <v>63.399378208399995</v>
      </c>
      <c r="T136" s="35">
        <v>62.745776371199995</v>
      </c>
    </row>
    <row r="137" spans="1:20" ht="13">
      <c r="A137" s="12"/>
      <c r="B137" s="12"/>
      <c r="C137" s="1" t="s">
        <v>72</v>
      </c>
      <c r="D137" s="1" t="s">
        <v>374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</row>
    <row r="138" spans="1:20" ht="13">
      <c r="A138" s="12"/>
      <c r="B138" s="12"/>
      <c r="C138" s="1" t="s">
        <v>94</v>
      </c>
      <c r="D138" s="1" t="s">
        <v>187</v>
      </c>
      <c r="E138" s="31">
        <v>33.5</v>
      </c>
      <c r="F138" s="31">
        <v>33.599998470000003</v>
      </c>
      <c r="G138" s="31">
        <v>29.399999619999999</v>
      </c>
      <c r="H138" s="31">
        <v>28.100000380000001</v>
      </c>
      <c r="I138" s="31">
        <v>34.599998470000003</v>
      </c>
      <c r="J138" s="31">
        <v>34.599998470000003</v>
      </c>
      <c r="K138" s="31">
        <v>34.599998470000003</v>
      </c>
      <c r="L138" s="34">
        <v>34.50452567</v>
      </c>
      <c r="M138" s="34">
        <v>34.409052870000004</v>
      </c>
      <c r="N138" s="34">
        <v>34.31358007</v>
      </c>
      <c r="O138" s="34">
        <v>34.218107270000004</v>
      </c>
      <c r="P138" s="31">
        <v>34.122634470000001</v>
      </c>
      <c r="Q138" s="31">
        <v>36.65</v>
      </c>
      <c r="R138" s="31">
        <v>38.14</v>
      </c>
      <c r="S138" s="34">
        <v>37.758600000000001</v>
      </c>
      <c r="T138" s="35">
        <v>37.377200000000002</v>
      </c>
    </row>
    <row r="139" spans="1:20" ht="13">
      <c r="A139" s="12"/>
      <c r="B139" s="12"/>
      <c r="C139" s="1" t="s">
        <v>289</v>
      </c>
      <c r="D139" s="1" t="s">
        <v>38</v>
      </c>
      <c r="E139" s="31">
        <v>3.4000000950000002</v>
      </c>
      <c r="F139" s="31">
        <v>3.5</v>
      </c>
      <c r="G139" s="31">
        <v>3.5</v>
      </c>
      <c r="H139" s="31">
        <v>3.5</v>
      </c>
      <c r="I139" s="31">
        <v>3.5</v>
      </c>
      <c r="J139" s="31">
        <v>3.5</v>
      </c>
      <c r="K139" s="31">
        <v>3.5</v>
      </c>
      <c r="L139" s="34">
        <v>3.4649999999999999</v>
      </c>
      <c r="M139" s="34">
        <v>3.43</v>
      </c>
      <c r="N139" s="34">
        <v>3.395</v>
      </c>
      <c r="O139" s="34">
        <v>3.36</v>
      </c>
      <c r="P139" s="34">
        <v>3.3250000000000002</v>
      </c>
      <c r="Q139" s="34">
        <v>3.29</v>
      </c>
      <c r="R139" s="34">
        <v>3.2549999999999999</v>
      </c>
      <c r="S139" s="34">
        <v>3.22</v>
      </c>
      <c r="T139" s="35">
        <v>3.1850000000000001</v>
      </c>
    </row>
    <row r="140" spans="1:20" ht="13">
      <c r="A140" s="12"/>
      <c r="B140" s="12"/>
      <c r="C140" s="1" t="s">
        <v>338</v>
      </c>
      <c r="D140" s="1" t="s">
        <v>97</v>
      </c>
      <c r="E140" s="35">
        <v>48.259999277999995</v>
      </c>
      <c r="F140" s="35">
        <v>48.767999270399997</v>
      </c>
      <c r="G140" s="35">
        <v>49.275999262799999</v>
      </c>
      <c r="H140" s="35">
        <v>49.783999255200001</v>
      </c>
      <c r="I140" s="35">
        <v>50.291999247599996</v>
      </c>
      <c r="J140" s="31">
        <v>50.799999239999998</v>
      </c>
      <c r="K140" s="31">
        <v>50.799999239999998</v>
      </c>
      <c r="L140" s="34">
        <v>50.291999247599996</v>
      </c>
      <c r="M140" s="34">
        <v>49.783999255200001</v>
      </c>
      <c r="N140" s="34">
        <v>49.275999262799999</v>
      </c>
      <c r="O140" s="34">
        <v>48.767999270399997</v>
      </c>
      <c r="P140" s="34">
        <v>48.259999278000002</v>
      </c>
      <c r="Q140" s="34">
        <v>47.7519992856</v>
      </c>
      <c r="R140" s="34">
        <v>47.243999293199998</v>
      </c>
      <c r="S140" s="34">
        <v>46.735999300800003</v>
      </c>
      <c r="T140" s="35">
        <v>46.227999308400001</v>
      </c>
    </row>
    <row r="141" spans="1:20" ht="13">
      <c r="A141" s="12"/>
      <c r="B141" s="12"/>
      <c r="C141" s="1" t="s">
        <v>153</v>
      </c>
      <c r="D141" s="1" t="s">
        <v>55</v>
      </c>
      <c r="E141" s="31">
        <v>11.399999619999999</v>
      </c>
      <c r="F141" s="31">
        <v>11.600000380000001</v>
      </c>
      <c r="G141" s="31">
        <v>11.80000019</v>
      </c>
      <c r="H141" s="31">
        <v>12.97000027</v>
      </c>
      <c r="I141" s="31">
        <v>13.039999959999999</v>
      </c>
      <c r="J141" s="31">
        <v>13.350000380000001</v>
      </c>
      <c r="K141" s="31">
        <v>13.35999966</v>
      </c>
      <c r="L141" s="31">
        <v>14.399999619999999</v>
      </c>
      <c r="M141" s="31">
        <v>13.10999966</v>
      </c>
      <c r="N141" s="31">
        <v>14.399999619999999</v>
      </c>
      <c r="O141" s="34">
        <v>14.140470274999998</v>
      </c>
      <c r="P141" s="31">
        <v>13.88094093</v>
      </c>
      <c r="Q141" s="34">
        <v>13.742131520699999</v>
      </c>
      <c r="R141" s="34">
        <v>13.603322111399999</v>
      </c>
      <c r="S141" s="34">
        <v>13.464512702099999</v>
      </c>
      <c r="T141" s="35">
        <v>13.325703292799998</v>
      </c>
    </row>
    <row r="142" spans="1:20" ht="13">
      <c r="A142" s="12"/>
      <c r="B142" s="12"/>
      <c r="C142" s="1" t="s">
        <v>28</v>
      </c>
      <c r="D142" s="1" t="s">
        <v>171</v>
      </c>
      <c r="E142" s="31">
        <v>16.700000760000002</v>
      </c>
      <c r="F142" s="31">
        <v>17.399999619999999</v>
      </c>
      <c r="G142" s="31">
        <v>17.700000760000002</v>
      </c>
      <c r="H142" s="31">
        <v>19.799999239999998</v>
      </c>
      <c r="I142" s="31">
        <v>20</v>
      </c>
      <c r="J142" s="34">
        <v>16.5</v>
      </c>
      <c r="K142" s="34">
        <v>13</v>
      </c>
      <c r="L142" s="31">
        <v>9.5</v>
      </c>
      <c r="M142" s="31">
        <v>9.8999996190000008</v>
      </c>
      <c r="N142" s="34">
        <v>9.80099962281</v>
      </c>
      <c r="O142" s="34">
        <v>9.701999626620001</v>
      </c>
      <c r="P142" s="34">
        <v>9.6029996304300003</v>
      </c>
      <c r="Q142" s="34">
        <v>9.5039996342400013</v>
      </c>
      <c r="R142" s="34">
        <v>9.4049996380500005</v>
      </c>
      <c r="S142" s="34">
        <v>9.3059996418600015</v>
      </c>
      <c r="T142" s="35">
        <v>9.2069996456700007</v>
      </c>
    </row>
    <row r="143" spans="1:20" ht="13">
      <c r="A143" s="12"/>
      <c r="B143" s="12"/>
      <c r="C143" s="1" t="s">
        <v>302</v>
      </c>
      <c r="D143" s="1" t="s">
        <v>119</v>
      </c>
      <c r="E143" s="31">
        <v>65.300003050000001</v>
      </c>
      <c r="F143" s="31">
        <v>65.400001529999997</v>
      </c>
      <c r="G143" s="31">
        <v>65.699996949999999</v>
      </c>
      <c r="H143" s="31">
        <v>65.599998470000003</v>
      </c>
      <c r="I143" s="31">
        <v>65.599998470000003</v>
      </c>
      <c r="J143" s="31">
        <v>68.300003050000001</v>
      </c>
      <c r="K143" s="31">
        <v>68.300003050000001</v>
      </c>
      <c r="L143" s="34">
        <v>68.980003355000008</v>
      </c>
      <c r="M143" s="31">
        <v>69.660003660000001</v>
      </c>
      <c r="N143" s="34">
        <v>68.094241490000002</v>
      </c>
      <c r="O143" s="31">
        <v>66.528479320000002</v>
      </c>
      <c r="P143" s="31">
        <v>66.788346730000001</v>
      </c>
      <c r="Q143" s="31">
        <v>67.591072879999999</v>
      </c>
      <c r="R143" s="31">
        <v>68.151292470000001</v>
      </c>
      <c r="S143" s="34">
        <v>67.4697795453</v>
      </c>
      <c r="T143" s="35">
        <v>66.788266620599998</v>
      </c>
    </row>
    <row r="144" spans="1:20" ht="13">
      <c r="A144" s="12"/>
      <c r="B144" s="12"/>
      <c r="C144" s="1" t="s">
        <v>340</v>
      </c>
      <c r="D144" s="1" t="s">
        <v>73</v>
      </c>
      <c r="E144" s="35">
        <v>82.56</v>
      </c>
      <c r="F144" s="35">
        <v>83.42</v>
      </c>
      <c r="G144" s="35">
        <v>84.28</v>
      </c>
      <c r="H144" s="35">
        <v>85.14</v>
      </c>
      <c r="I144" s="31">
        <v>86</v>
      </c>
      <c r="J144" s="31">
        <v>86</v>
      </c>
      <c r="K144" s="34">
        <v>86</v>
      </c>
      <c r="L144" s="34">
        <v>86</v>
      </c>
      <c r="M144" s="34">
        <v>86</v>
      </c>
      <c r="N144" s="31">
        <v>86</v>
      </c>
      <c r="O144" s="34">
        <v>85.14</v>
      </c>
      <c r="P144" s="34">
        <v>84.28</v>
      </c>
      <c r="Q144" s="34">
        <v>83.419999999999987</v>
      </c>
      <c r="R144" s="34">
        <v>82.559999999999988</v>
      </c>
      <c r="S144" s="34">
        <v>81.699999999999989</v>
      </c>
      <c r="T144" s="35">
        <v>80.839999999999989</v>
      </c>
    </row>
    <row r="145" spans="1:20" ht="13">
      <c r="A145" s="12"/>
      <c r="B145" s="12"/>
      <c r="C145" s="1" t="s">
        <v>142</v>
      </c>
      <c r="D145" s="1" t="s">
        <v>372</v>
      </c>
      <c r="E145" s="31">
        <v>90</v>
      </c>
      <c r="F145" s="31">
        <v>90</v>
      </c>
      <c r="G145" s="31">
        <v>90</v>
      </c>
      <c r="H145" s="31">
        <v>90</v>
      </c>
      <c r="I145" s="31">
        <v>90</v>
      </c>
      <c r="J145" s="31">
        <v>90</v>
      </c>
      <c r="K145" s="34">
        <v>89.1</v>
      </c>
      <c r="L145" s="34">
        <v>88.2</v>
      </c>
      <c r="M145" s="34">
        <v>87.3</v>
      </c>
      <c r="N145" s="34">
        <v>86.4</v>
      </c>
      <c r="O145" s="34">
        <v>85.5</v>
      </c>
      <c r="P145" s="34">
        <v>84.6</v>
      </c>
      <c r="Q145" s="34">
        <v>83.7</v>
      </c>
      <c r="R145" s="34">
        <v>82.8</v>
      </c>
      <c r="S145" s="34">
        <v>81.900000000000006</v>
      </c>
      <c r="T145" s="35">
        <v>81</v>
      </c>
    </row>
    <row r="146" spans="1:20" ht="13">
      <c r="A146" s="12"/>
      <c r="B146" s="12"/>
      <c r="C146" s="1" t="s">
        <v>1</v>
      </c>
      <c r="D146" s="1" t="s">
        <v>90</v>
      </c>
      <c r="E146" s="31">
        <v>51</v>
      </c>
      <c r="F146" s="31">
        <v>52.299999239999998</v>
      </c>
      <c r="G146" s="31">
        <v>52.799999239999998</v>
      </c>
      <c r="H146" s="31">
        <v>53.099998470000003</v>
      </c>
      <c r="I146" s="31">
        <v>53</v>
      </c>
      <c r="J146" s="31">
        <v>49.5</v>
      </c>
      <c r="K146" s="31">
        <v>50.5</v>
      </c>
      <c r="L146" s="31">
        <v>50.400001529999997</v>
      </c>
      <c r="M146" s="31">
        <v>30.200000760000002</v>
      </c>
      <c r="N146" s="31">
        <v>30.200000760000002</v>
      </c>
      <c r="O146" s="34">
        <v>29.898000752400002</v>
      </c>
      <c r="P146" s="34">
        <v>29.596000744800001</v>
      </c>
      <c r="Q146" s="34">
        <v>29.294000737200001</v>
      </c>
      <c r="R146" s="34">
        <v>28.992000729600001</v>
      </c>
      <c r="S146" s="34">
        <v>28.690000722000001</v>
      </c>
      <c r="T146" s="35">
        <v>28.3880007144</v>
      </c>
    </row>
    <row r="147" spans="1:20" ht="13">
      <c r="A147" s="12"/>
      <c r="B147" s="12"/>
      <c r="C147" s="1" t="s">
        <v>398</v>
      </c>
      <c r="D147" s="1" t="s">
        <v>103</v>
      </c>
      <c r="E147" s="35">
        <v>65.183997041499993</v>
      </c>
      <c r="F147" s="35">
        <v>65.855997010999999</v>
      </c>
      <c r="G147" s="35">
        <v>66.527996980499992</v>
      </c>
      <c r="H147" s="31">
        <v>67.199996949999999</v>
      </c>
      <c r="I147" s="31">
        <v>67.400001529999997</v>
      </c>
      <c r="J147" s="34">
        <v>70.233334863333326</v>
      </c>
      <c r="K147" s="34">
        <v>73.066668196666669</v>
      </c>
      <c r="L147" s="34">
        <v>75.900001529999997</v>
      </c>
      <c r="M147" s="34">
        <v>78.733334863333326</v>
      </c>
      <c r="N147" s="34">
        <v>81.566668196666669</v>
      </c>
      <c r="O147" s="31">
        <v>84.400001529999997</v>
      </c>
      <c r="P147" s="31">
        <v>80.91999817</v>
      </c>
      <c r="Q147" s="31">
        <v>80.06</v>
      </c>
      <c r="R147" s="34">
        <v>79.259399999999999</v>
      </c>
      <c r="S147" s="34">
        <v>78.458799999999997</v>
      </c>
      <c r="T147" s="35">
        <v>77.658199999999994</v>
      </c>
    </row>
    <row r="148" spans="1:20" ht="13">
      <c r="A148" s="12"/>
      <c r="B148" s="12"/>
      <c r="C148" s="1" t="s">
        <v>290</v>
      </c>
      <c r="D148" s="1" t="s">
        <v>363</v>
      </c>
      <c r="E148" s="31">
        <v>9.8999996190000008</v>
      </c>
      <c r="F148" s="34">
        <v>10.911110772444445</v>
      </c>
      <c r="G148" s="34">
        <v>11.92222192588889</v>
      </c>
      <c r="H148" s="34">
        <v>12.933333079333334</v>
      </c>
      <c r="I148" s="34">
        <v>13.944444232777778</v>
      </c>
      <c r="J148" s="34">
        <v>14.955555386222223</v>
      </c>
      <c r="K148" s="34">
        <v>15.966666539666667</v>
      </c>
      <c r="L148" s="34">
        <v>16.977777693111111</v>
      </c>
      <c r="M148" s="34">
        <v>17.988888846555554</v>
      </c>
      <c r="N148" s="31">
        <v>19</v>
      </c>
      <c r="O148" s="34">
        <v>18.809999999999999</v>
      </c>
      <c r="P148" s="34">
        <v>18.62</v>
      </c>
      <c r="Q148" s="34">
        <v>18.43</v>
      </c>
      <c r="R148" s="34">
        <v>18.239999999999998</v>
      </c>
      <c r="S148" s="34">
        <v>18.05</v>
      </c>
      <c r="T148" s="35">
        <v>17.86</v>
      </c>
    </row>
    <row r="149" spans="1:20" ht="13">
      <c r="A149" s="12"/>
      <c r="B149" s="12"/>
      <c r="C149" s="1" t="s">
        <v>325</v>
      </c>
      <c r="D149" s="1" t="s">
        <v>364</v>
      </c>
      <c r="E149" s="31">
        <v>42.5</v>
      </c>
      <c r="F149" s="31">
        <v>42.5</v>
      </c>
      <c r="G149" s="31">
        <v>42.5</v>
      </c>
      <c r="H149" s="31">
        <v>42.5</v>
      </c>
      <c r="I149" s="31">
        <v>42.5</v>
      </c>
      <c r="J149" s="34">
        <v>42.075000000000003</v>
      </c>
      <c r="K149" s="34">
        <v>41.65</v>
      </c>
      <c r="L149" s="34">
        <v>41.225000000000001</v>
      </c>
      <c r="M149" s="34">
        <v>40.800000000000004</v>
      </c>
      <c r="N149" s="34">
        <v>40.375</v>
      </c>
      <c r="O149" s="34">
        <v>39.950000000000003</v>
      </c>
      <c r="P149" s="34">
        <v>39.524999999999999</v>
      </c>
      <c r="Q149" s="34">
        <v>39.1</v>
      </c>
      <c r="R149" s="34">
        <v>38.675000000000004</v>
      </c>
      <c r="S149" s="34">
        <v>38.25</v>
      </c>
      <c r="T149" s="35">
        <v>37.825000000000003</v>
      </c>
    </row>
    <row r="150" spans="1:20" ht="13">
      <c r="A150" s="12"/>
      <c r="B150" s="12"/>
      <c r="C150" s="1" t="s">
        <v>143</v>
      </c>
      <c r="D150" s="1" t="s">
        <v>147</v>
      </c>
      <c r="E150" t="e">
        <v>#N/A</v>
      </c>
      <c r="F150" t="e">
        <v>#N/A</v>
      </c>
      <c r="G150" t="e">
        <v>#N/A</v>
      </c>
      <c r="H150" t="e">
        <v>#N/A</v>
      </c>
      <c r="I150" t="e">
        <v>#N/A</v>
      </c>
      <c r="J150" t="e">
        <v>#N/A</v>
      </c>
      <c r="K150" t="e">
        <v>#N/A</v>
      </c>
      <c r="L150" t="e">
        <v>#N/A</v>
      </c>
      <c r="M150" t="e">
        <v>#N/A</v>
      </c>
      <c r="N150" t="e">
        <v>#N/A</v>
      </c>
      <c r="O150" t="e">
        <v>#N/A</v>
      </c>
      <c r="P150" t="e">
        <v>#N/A</v>
      </c>
      <c r="Q150" t="e">
        <v>#N/A</v>
      </c>
      <c r="R150" t="e">
        <v>#N/A</v>
      </c>
      <c r="S150" t="e">
        <v>#N/A</v>
      </c>
      <c r="T150" t="e">
        <v>#N/A</v>
      </c>
    </row>
    <row r="151" spans="1:20" ht="13">
      <c r="A151" s="12"/>
      <c r="B151" s="12"/>
      <c r="C151" s="1" t="s">
        <v>115</v>
      </c>
      <c r="D151" s="1" t="s">
        <v>250</v>
      </c>
      <c r="E151" s="35">
        <v>61.11</v>
      </c>
      <c r="F151" s="35">
        <v>61.74</v>
      </c>
      <c r="G151" s="35">
        <v>62.37</v>
      </c>
      <c r="H151" s="31">
        <v>63</v>
      </c>
      <c r="I151" s="31">
        <v>65</v>
      </c>
      <c r="J151" s="31">
        <v>68</v>
      </c>
      <c r="K151" s="31">
        <v>70</v>
      </c>
      <c r="L151" s="31">
        <v>70</v>
      </c>
      <c r="M151" s="31">
        <v>70</v>
      </c>
      <c r="N151" s="34">
        <v>69.3</v>
      </c>
      <c r="O151" s="34">
        <v>68.599999999999994</v>
      </c>
      <c r="P151" s="34">
        <v>67.899999999999991</v>
      </c>
      <c r="Q151" s="34">
        <v>67.2</v>
      </c>
      <c r="R151" s="34">
        <v>66.5</v>
      </c>
      <c r="S151" s="34">
        <v>65.8</v>
      </c>
      <c r="T151" s="35">
        <v>65.099999999999994</v>
      </c>
    </row>
    <row r="152" spans="1:20" ht="13">
      <c r="A152" s="12"/>
      <c r="B152" s="12"/>
      <c r="C152" s="1" t="s">
        <v>314</v>
      </c>
      <c r="D152" s="1" t="s">
        <v>85</v>
      </c>
      <c r="E152" s="35">
        <v>13.357400037600001</v>
      </c>
      <c r="F152" s="35">
        <v>13.499500038000001</v>
      </c>
      <c r="G152" s="35">
        <v>13.6416000384</v>
      </c>
      <c r="H152" s="35">
        <v>13.783700038800001</v>
      </c>
      <c r="I152" s="35">
        <v>13.9258000392</v>
      </c>
      <c r="J152" s="35">
        <v>14.067900039600001</v>
      </c>
      <c r="K152" s="31">
        <v>14.210000040000001</v>
      </c>
      <c r="L152" s="34">
        <v>14.067900039600001</v>
      </c>
      <c r="M152" s="34">
        <v>13.9258000392</v>
      </c>
      <c r="N152" s="34">
        <v>13.783700038800001</v>
      </c>
      <c r="O152" s="34">
        <v>13.6416000384</v>
      </c>
      <c r="P152" s="34">
        <v>13.499500038000001</v>
      </c>
      <c r="Q152" s="34">
        <v>13.3574000376</v>
      </c>
      <c r="R152" s="34">
        <v>13.2153000372</v>
      </c>
      <c r="S152" s="34">
        <v>13.073200036799999</v>
      </c>
      <c r="T152" s="35">
        <v>12.9311000364</v>
      </c>
    </row>
    <row r="153" spans="1:20" ht="13">
      <c r="A153" s="12"/>
      <c r="B153" s="12"/>
      <c r="C153" s="1" t="s">
        <v>369</v>
      </c>
      <c r="D153" s="1" t="s">
        <v>110</v>
      </c>
      <c r="E153" t="e">
        <v>#N/A</v>
      </c>
      <c r="F153" t="e">
        <v>#N/A</v>
      </c>
      <c r="G153" t="e">
        <v>#N/A</v>
      </c>
      <c r="H153" t="e">
        <v>#N/A</v>
      </c>
      <c r="I153" t="e">
        <v>#N/A</v>
      </c>
      <c r="J153" t="e">
        <v>#N/A</v>
      </c>
      <c r="K153" t="e">
        <v>#N/A</v>
      </c>
      <c r="L153" t="e">
        <v>#N/A</v>
      </c>
      <c r="M153" t="e">
        <v>#N/A</v>
      </c>
      <c r="N153" t="e">
        <v>#N/A</v>
      </c>
      <c r="O153" t="e">
        <v>#N/A</v>
      </c>
      <c r="P153" t="e">
        <v>#N/A</v>
      </c>
      <c r="Q153" t="e">
        <v>#N/A</v>
      </c>
      <c r="R153" t="e">
        <v>#N/A</v>
      </c>
      <c r="S153" t="e">
        <v>#N/A</v>
      </c>
      <c r="T153" t="e">
        <v>#N/A</v>
      </c>
    </row>
    <row r="154" spans="1:20" ht="13">
      <c r="A154" s="12"/>
      <c r="B154" s="12"/>
      <c r="C154" s="1" t="s">
        <v>48</v>
      </c>
      <c r="D154" s="1" t="s">
        <v>56</v>
      </c>
      <c r="E154" s="31">
        <v>68</v>
      </c>
      <c r="F154" s="31">
        <v>68.099998470000003</v>
      </c>
      <c r="G154" s="31">
        <v>68.099998470000003</v>
      </c>
      <c r="H154" s="31">
        <v>68.099998470000003</v>
      </c>
      <c r="I154" s="31">
        <v>68.099998470000003</v>
      </c>
      <c r="J154" s="31">
        <v>68.099998470000003</v>
      </c>
      <c r="K154" s="31">
        <v>68.099998470000003</v>
      </c>
      <c r="L154" s="34">
        <v>67.418998485300008</v>
      </c>
      <c r="M154" s="34">
        <v>66.7379985006</v>
      </c>
      <c r="N154" s="34">
        <v>66.056998515900005</v>
      </c>
      <c r="O154" s="34">
        <v>65.375998531199997</v>
      </c>
      <c r="P154" s="34">
        <v>64.694998546500003</v>
      </c>
      <c r="Q154" s="34">
        <v>64.013998561800008</v>
      </c>
      <c r="R154" s="34">
        <v>63.332998577100007</v>
      </c>
      <c r="S154" s="34">
        <v>62.651998592400005</v>
      </c>
      <c r="T154" s="35">
        <v>61.970998607700004</v>
      </c>
    </row>
    <row r="155" spans="1:20" ht="13">
      <c r="A155" s="12"/>
      <c r="B155" s="12"/>
      <c r="C155" s="1" t="s">
        <v>204</v>
      </c>
      <c r="D155" s="1" t="s">
        <v>96</v>
      </c>
      <c r="E155" s="31">
        <v>30.100000380000001</v>
      </c>
      <c r="F155" s="31">
        <v>29.799999239999998</v>
      </c>
      <c r="G155" s="31">
        <v>30.100000380000001</v>
      </c>
      <c r="H155" s="34">
        <v>30.033333460000001</v>
      </c>
      <c r="I155" s="34">
        <v>29.966666539999999</v>
      </c>
      <c r="J155" s="31">
        <v>29.899999619999999</v>
      </c>
      <c r="K155" s="34">
        <v>28.213999557999998</v>
      </c>
      <c r="L155" s="34">
        <v>26.527999496</v>
      </c>
      <c r="M155" s="34">
        <v>24.841999433999998</v>
      </c>
      <c r="N155" s="34">
        <v>23.155999372</v>
      </c>
      <c r="O155" s="31">
        <v>21.469999309999999</v>
      </c>
      <c r="P155" s="34">
        <v>21.255299316899997</v>
      </c>
      <c r="Q155" s="34">
        <v>21.040599323799999</v>
      </c>
      <c r="R155" s="34">
        <v>20.825899330699997</v>
      </c>
      <c r="S155" s="34">
        <v>20.611199337599999</v>
      </c>
      <c r="T155" s="35">
        <v>20.396499344499997</v>
      </c>
    </row>
    <row r="156" spans="1:20" ht="13">
      <c r="A156" s="12"/>
      <c r="B156" s="12"/>
      <c r="C156" s="1" t="s">
        <v>241</v>
      </c>
      <c r="D156" s="1" t="s">
        <v>134</v>
      </c>
      <c r="E156" s="31">
        <v>28.5</v>
      </c>
      <c r="F156" s="31">
        <v>29.299999239999998</v>
      </c>
      <c r="G156" s="31">
        <v>29.299999239999998</v>
      </c>
      <c r="H156" s="31">
        <v>29.299999239999998</v>
      </c>
      <c r="I156" s="31">
        <v>29.299999239999998</v>
      </c>
      <c r="J156" s="31">
        <v>29.299999239999998</v>
      </c>
      <c r="K156" s="34">
        <v>29.286666236666665</v>
      </c>
      <c r="L156" s="34">
        <v>29.273333233333332</v>
      </c>
      <c r="M156" s="31">
        <v>29.260000229999999</v>
      </c>
      <c r="N156" s="34">
        <v>28.967400227699997</v>
      </c>
      <c r="O156" s="34">
        <v>28.674800225399999</v>
      </c>
      <c r="P156" s="34">
        <v>28.3822002231</v>
      </c>
      <c r="Q156" s="34">
        <v>28.089600220799998</v>
      </c>
      <c r="R156" s="34">
        <v>27.797000218499999</v>
      </c>
      <c r="S156" s="34">
        <v>27.504400216199997</v>
      </c>
      <c r="T156" s="35">
        <v>27.211800213899998</v>
      </c>
    </row>
    <row r="157" spans="1:20" ht="13">
      <c r="A157" s="12"/>
      <c r="B157" s="12"/>
      <c r="C157" s="1" t="s">
        <v>313</v>
      </c>
      <c r="D157" s="1" t="s">
        <v>246</v>
      </c>
      <c r="E157" s="35">
        <v>59.565000722000001</v>
      </c>
      <c r="F157" s="35">
        <v>60.192000729600004</v>
      </c>
      <c r="G157" s="35">
        <v>60.8190007372</v>
      </c>
      <c r="H157" s="35">
        <v>61.446000744800003</v>
      </c>
      <c r="I157" s="35">
        <v>62.073000752399999</v>
      </c>
      <c r="J157" s="31">
        <v>62.700000760000002</v>
      </c>
      <c r="K157" s="34">
        <v>60.830000665</v>
      </c>
      <c r="L157" s="34">
        <v>58.960000570000005</v>
      </c>
      <c r="M157" s="34">
        <v>57.090000475000004</v>
      </c>
      <c r="N157" s="34">
        <v>55.220000380000002</v>
      </c>
      <c r="O157" s="34">
        <v>53.350000285</v>
      </c>
      <c r="P157" s="34">
        <v>51.480000189999998</v>
      </c>
      <c r="Q157" s="34">
        <v>49.610000095000004</v>
      </c>
      <c r="R157" s="31">
        <v>47.74</v>
      </c>
      <c r="S157" s="34">
        <v>47.262600000000006</v>
      </c>
      <c r="T157" s="35">
        <v>46.785200000000003</v>
      </c>
    </row>
    <row r="158" spans="1:20" ht="13">
      <c r="A158" s="12"/>
      <c r="B158" s="12"/>
      <c r="C158" s="1" t="s">
        <v>9</v>
      </c>
      <c r="D158" s="1" t="s">
        <v>58</v>
      </c>
      <c r="E158" s="31">
        <v>62.799999239999998</v>
      </c>
      <c r="F158" s="31">
        <v>80.300003050000001</v>
      </c>
      <c r="G158" s="31">
        <v>84.5</v>
      </c>
      <c r="H158" s="34">
        <v>86.416666666666671</v>
      </c>
      <c r="I158" s="34">
        <v>88.333333333333329</v>
      </c>
      <c r="J158" s="34">
        <v>90.25</v>
      </c>
      <c r="K158" s="34">
        <v>92.166666666666671</v>
      </c>
      <c r="L158" s="34">
        <v>94.083333333333329</v>
      </c>
      <c r="M158" s="31">
        <v>96</v>
      </c>
      <c r="N158" s="34">
        <v>95.991967869999996</v>
      </c>
      <c r="O158" s="31">
        <v>95.983935740000007</v>
      </c>
      <c r="P158" s="31">
        <v>96.015936249999996</v>
      </c>
      <c r="Q158" s="31">
        <v>96.456692910000001</v>
      </c>
      <c r="R158" s="31">
        <v>96.456692910000001</v>
      </c>
      <c r="S158" s="34">
        <v>95.492125980899999</v>
      </c>
      <c r="T158" s="35">
        <v>94.527559051799997</v>
      </c>
    </row>
    <row r="159" spans="1:20" ht="13">
      <c r="A159" s="12"/>
      <c r="B159" s="12"/>
      <c r="C159" s="1" t="s">
        <v>342</v>
      </c>
      <c r="D159" s="1" t="s">
        <v>80</v>
      </c>
      <c r="E159" s="31">
        <v>8</v>
      </c>
      <c r="F159" s="31">
        <v>8</v>
      </c>
      <c r="G159" s="31">
        <v>8</v>
      </c>
      <c r="H159" s="31">
        <v>8</v>
      </c>
      <c r="I159" s="31">
        <v>7.9000000950000002</v>
      </c>
      <c r="J159" s="31">
        <v>7.9000000950000002</v>
      </c>
      <c r="K159" s="34">
        <v>7.9500000474999997</v>
      </c>
      <c r="L159" s="31">
        <v>8</v>
      </c>
      <c r="M159" s="34">
        <v>7.92</v>
      </c>
      <c r="N159" s="34">
        <v>7.84</v>
      </c>
      <c r="O159" s="34">
        <v>7.76</v>
      </c>
      <c r="P159" s="34">
        <v>7.68</v>
      </c>
      <c r="Q159" s="34">
        <v>7.6000000000000005</v>
      </c>
      <c r="R159" s="34">
        <v>7.5200000000000005</v>
      </c>
      <c r="S159" s="34">
        <v>7.44</v>
      </c>
      <c r="T159" s="35">
        <v>7.36</v>
      </c>
    </row>
    <row r="160" spans="1:20" ht="13">
      <c r="A160" s="12"/>
      <c r="B160" s="12"/>
      <c r="C160" s="1" t="s">
        <v>271</v>
      </c>
      <c r="D160" s="1" t="s">
        <v>396</v>
      </c>
      <c r="E160" s="31">
        <v>97.300003050000001</v>
      </c>
      <c r="F160" s="31">
        <v>97.300003050000001</v>
      </c>
      <c r="G160" s="31">
        <v>97.300003050000001</v>
      </c>
      <c r="H160" s="31">
        <v>100</v>
      </c>
      <c r="I160" s="31">
        <v>100</v>
      </c>
      <c r="J160" s="31">
        <v>100</v>
      </c>
      <c r="K160" s="31">
        <v>100</v>
      </c>
      <c r="L160" s="31">
        <v>100</v>
      </c>
      <c r="M160" s="31">
        <v>100</v>
      </c>
      <c r="N160" s="31">
        <v>100</v>
      </c>
      <c r="O160" s="31">
        <v>100</v>
      </c>
      <c r="P160" s="31">
        <v>100</v>
      </c>
      <c r="Q160" s="31">
        <v>100</v>
      </c>
      <c r="R160" s="31">
        <v>100</v>
      </c>
      <c r="S160" s="34">
        <v>99</v>
      </c>
      <c r="T160" s="35">
        <v>98</v>
      </c>
    </row>
    <row r="161" spans="1:20" ht="13">
      <c r="A161" s="12"/>
      <c r="B161" s="12"/>
      <c r="C161" s="1" t="s">
        <v>69</v>
      </c>
      <c r="D161" s="1" t="s">
        <v>223</v>
      </c>
      <c r="E161" s="31">
        <v>85.800003050000001</v>
      </c>
      <c r="F161" s="31">
        <v>85.800003050000001</v>
      </c>
      <c r="G161" s="31">
        <v>86.599998470000003</v>
      </c>
      <c r="H161" s="31">
        <v>86.699996949999999</v>
      </c>
      <c r="I161" s="34">
        <v>86.849998475000007</v>
      </c>
      <c r="J161" s="31">
        <v>87</v>
      </c>
      <c r="K161" s="31">
        <v>87</v>
      </c>
      <c r="L161" s="31">
        <v>87.300003050000001</v>
      </c>
      <c r="M161" s="31">
        <v>87.309997559999999</v>
      </c>
      <c r="N161" s="31">
        <v>87.309997559999999</v>
      </c>
      <c r="O161" s="31">
        <v>87.019996640000002</v>
      </c>
      <c r="P161" s="31">
        <v>87.02999878</v>
      </c>
      <c r="Q161" s="34">
        <v>86.159698792200004</v>
      </c>
      <c r="R161" s="34">
        <v>85.289398804400008</v>
      </c>
      <c r="S161" s="34">
        <v>84.419098816599998</v>
      </c>
      <c r="T161" s="35">
        <v>83.548798828800003</v>
      </c>
    </row>
    <row r="162" spans="1:20" ht="13">
      <c r="A162" s="12"/>
      <c r="B162" s="12"/>
      <c r="C162" s="1" t="s">
        <v>71</v>
      </c>
      <c r="D162" s="1" t="s">
        <v>207</v>
      </c>
      <c r="E162" s="31">
        <v>80.199996949999999</v>
      </c>
      <c r="F162" s="31">
        <v>81.199996949999999</v>
      </c>
      <c r="G162" s="31">
        <v>81.699996949999999</v>
      </c>
      <c r="H162" s="31">
        <v>100</v>
      </c>
      <c r="I162" s="34">
        <v>100</v>
      </c>
      <c r="J162" s="31">
        <v>100</v>
      </c>
      <c r="K162" s="31">
        <v>100</v>
      </c>
      <c r="L162" s="31">
        <v>100</v>
      </c>
      <c r="M162" s="31">
        <v>100</v>
      </c>
      <c r="N162" s="31">
        <v>100</v>
      </c>
      <c r="O162" s="31">
        <v>100</v>
      </c>
      <c r="P162" s="31">
        <v>100</v>
      </c>
      <c r="Q162" s="31">
        <v>100</v>
      </c>
      <c r="R162" s="31">
        <v>100</v>
      </c>
      <c r="S162" s="34">
        <v>99</v>
      </c>
      <c r="T162" s="35">
        <v>98</v>
      </c>
    </row>
    <row r="163" spans="1:20" ht="13">
      <c r="A163" s="12"/>
      <c r="B163" s="12"/>
      <c r="C163" s="1" t="s">
        <v>346</v>
      </c>
      <c r="D163" s="1" t="s">
        <v>251</v>
      </c>
      <c r="E163" s="31">
        <v>2.4000000950000002</v>
      </c>
      <c r="F163" s="31">
        <v>2.5</v>
      </c>
      <c r="G163" s="31">
        <v>2.5</v>
      </c>
      <c r="H163" s="31">
        <v>2.5</v>
      </c>
      <c r="I163" s="31">
        <v>2.4400000570000002</v>
      </c>
      <c r="J163" s="31">
        <v>2.4400000570000002</v>
      </c>
      <c r="K163" s="31">
        <v>2.4400000570000002</v>
      </c>
      <c r="L163" s="34">
        <v>2.4156000564300002</v>
      </c>
      <c r="M163" s="34">
        <v>2.3912000558600002</v>
      </c>
      <c r="N163" s="34">
        <v>2.3668000552900001</v>
      </c>
      <c r="O163" s="34">
        <v>2.3424000547200001</v>
      </c>
      <c r="P163" s="34">
        <v>2.3180000541500005</v>
      </c>
      <c r="Q163" s="34">
        <v>2.2936000535800005</v>
      </c>
      <c r="R163" s="34">
        <v>2.2692000530100005</v>
      </c>
      <c r="S163" s="34">
        <v>2.2448000524400005</v>
      </c>
      <c r="T163" s="35">
        <v>2.2204000518700004</v>
      </c>
    </row>
    <row r="164" spans="1:20" ht="13">
      <c r="A164" s="12"/>
      <c r="B164" s="12"/>
      <c r="C164" s="1" t="s">
        <v>394</v>
      </c>
      <c r="D164" s="1" t="s">
        <v>161</v>
      </c>
      <c r="E164" s="31">
        <v>11.80000019</v>
      </c>
      <c r="F164" s="31">
        <v>11.80000019</v>
      </c>
      <c r="G164" s="31">
        <v>11.80000019</v>
      </c>
      <c r="H164" s="31">
        <v>11.80000019</v>
      </c>
      <c r="I164" s="31">
        <v>11.80000019</v>
      </c>
      <c r="J164" s="31">
        <v>11.80000019</v>
      </c>
      <c r="K164" s="31">
        <v>11.80000019</v>
      </c>
      <c r="L164" s="34">
        <v>11.6820001881</v>
      </c>
      <c r="M164" s="34">
        <v>11.564000186200001</v>
      </c>
      <c r="N164" s="34">
        <v>11.446000184300001</v>
      </c>
      <c r="O164" s="34">
        <v>11.3280001824</v>
      </c>
      <c r="P164" s="34">
        <v>11.210000180500002</v>
      </c>
      <c r="Q164" s="34">
        <v>11.092000178600001</v>
      </c>
      <c r="R164" s="34">
        <v>10.974000176700001</v>
      </c>
      <c r="S164" s="34">
        <v>10.856000174800002</v>
      </c>
      <c r="T164" s="35">
        <v>10.738000172900001</v>
      </c>
    </row>
    <row r="165" spans="1:20" ht="13">
      <c r="A165" s="12"/>
      <c r="B165" s="12"/>
      <c r="C165" s="1" t="s">
        <v>248</v>
      </c>
      <c r="D165" s="1" t="s">
        <v>109</v>
      </c>
      <c r="E165" s="35">
        <v>19.503000752400002</v>
      </c>
      <c r="F165" s="31">
        <v>19.700000760000002</v>
      </c>
      <c r="G165" s="31">
        <v>19.700000760000002</v>
      </c>
      <c r="H165" s="31">
        <v>19.700000760000002</v>
      </c>
      <c r="I165" s="31">
        <v>20.299999239999998</v>
      </c>
      <c r="J165" s="31">
        <v>20.299999239999998</v>
      </c>
      <c r="K165" s="31">
        <v>17.299999239999998</v>
      </c>
      <c r="L165" s="34">
        <v>17.126999247599997</v>
      </c>
      <c r="M165" s="34">
        <v>16.953999255199999</v>
      </c>
      <c r="N165" s="34">
        <v>16.780999262799998</v>
      </c>
      <c r="O165" s="34">
        <v>16.607999270399997</v>
      </c>
      <c r="P165" s="34">
        <v>16.434999277999999</v>
      </c>
      <c r="Q165" s="34">
        <v>16.261999285599998</v>
      </c>
      <c r="R165" s="34">
        <v>16.088999293199997</v>
      </c>
      <c r="S165" s="34">
        <v>15.915999300799998</v>
      </c>
      <c r="T165" s="35">
        <v>15.742999308399998</v>
      </c>
    </row>
    <row r="166" spans="1:20" ht="13">
      <c r="A166" s="12"/>
      <c r="B166" s="12"/>
      <c r="C166" s="1" t="s">
        <v>371</v>
      </c>
      <c r="D166" s="1" t="s">
        <v>151</v>
      </c>
      <c r="E166" s="31">
        <v>99</v>
      </c>
      <c r="F166" s="31">
        <v>99</v>
      </c>
      <c r="G166" s="31">
        <v>99</v>
      </c>
      <c r="H166" s="31">
        <v>99</v>
      </c>
      <c r="I166" s="31">
        <v>99</v>
      </c>
      <c r="J166" s="31">
        <v>99</v>
      </c>
      <c r="K166" s="31">
        <v>99</v>
      </c>
      <c r="L166" s="34">
        <v>99</v>
      </c>
      <c r="M166" s="31">
        <v>99</v>
      </c>
      <c r="N166" s="34">
        <v>98.01</v>
      </c>
      <c r="O166" s="34">
        <v>97.02</v>
      </c>
      <c r="P166" s="34">
        <v>96.03</v>
      </c>
      <c r="Q166" s="34">
        <v>95.039999999999992</v>
      </c>
      <c r="R166" s="34">
        <v>94.05</v>
      </c>
      <c r="S166" s="34">
        <v>93.059999999999988</v>
      </c>
      <c r="T166" s="35">
        <v>92.07</v>
      </c>
    </row>
    <row r="167" spans="1:20" ht="13">
      <c r="A167" s="12"/>
      <c r="B167" s="12"/>
      <c r="C167" s="1" t="s">
        <v>233</v>
      </c>
      <c r="D167" s="1" t="s">
        <v>344</v>
      </c>
      <c r="E167" s="35">
        <v>79.831196596200002</v>
      </c>
      <c r="F167" s="35">
        <v>80.689596559600005</v>
      </c>
      <c r="G167" s="35">
        <v>81.547996522999995</v>
      </c>
      <c r="H167" s="35">
        <v>82.406396486399998</v>
      </c>
      <c r="I167" s="35">
        <v>83.264796449800002</v>
      </c>
      <c r="J167" s="35">
        <v>84.123196413200006</v>
      </c>
      <c r="K167" s="35">
        <v>84.981596376599995</v>
      </c>
      <c r="L167" s="31">
        <v>85.839996339999999</v>
      </c>
      <c r="M167" s="31">
        <v>81</v>
      </c>
      <c r="N167" s="34">
        <v>80.19</v>
      </c>
      <c r="O167" s="34">
        <v>79.38</v>
      </c>
      <c r="P167" s="34">
        <v>78.569999999999993</v>
      </c>
      <c r="Q167" s="34">
        <v>77.760000000000005</v>
      </c>
      <c r="R167" s="34">
        <v>76.95</v>
      </c>
      <c r="S167" s="34">
        <v>76.14</v>
      </c>
      <c r="T167" s="35">
        <v>75.33</v>
      </c>
    </row>
    <row r="168" spans="1:20" ht="13">
      <c r="A168" s="12"/>
      <c r="B168" s="12"/>
      <c r="C168" s="1" t="s">
        <v>228</v>
      </c>
      <c r="D168" s="1" t="s">
        <v>61</v>
      </c>
      <c r="E168" s="31">
        <v>36.200000760000002</v>
      </c>
      <c r="F168" s="31">
        <v>36.299999239999998</v>
      </c>
      <c r="G168" s="31">
        <v>36.299999239999998</v>
      </c>
      <c r="H168" s="31">
        <v>36.299999239999998</v>
      </c>
      <c r="I168" s="31">
        <v>36.299999239999998</v>
      </c>
      <c r="J168" s="31">
        <v>36.299999239999998</v>
      </c>
      <c r="K168" s="31">
        <v>36.299999239999998</v>
      </c>
      <c r="L168" s="34">
        <v>35.936999247599999</v>
      </c>
      <c r="M168" s="34">
        <v>35.5739992552</v>
      </c>
      <c r="N168" s="34">
        <v>35.210999262800001</v>
      </c>
      <c r="O168" s="34">
        <v>34.847999270400003</v>
      </c>
      <c r="P168" s="34">
        <v>34.484999277999997</v>
      </c>
      <c r="Q168" s="34">
        <v>34.121999285599998</v>
      </c>
      <c r="R168" s="34">
        <v>33.758999293199999</v>
      </c>
      <c r="S168" s="34">
        <v>33.3959993008</v>
      </c>
      <c r="T168" s="35">
        <v>33.032999308400001</v>
      </c>
    </row>
    <row r="169" spans="1:20" ht="13">
      <c r="A169" s="12"/>
      <c r="B169" s="12"/>
      <c r="C169" s="1" t="s">
        <v>31</v>
      </c>
      <c r="D169" s="1" t="s">
        <v>390</v>
      </c>
      <c r="E169" s="31">
        <v>26</v>
      </c>
      <c r="F169" s="31">
        <v>26</v>
      </c>
      <c r="G169" s="34">
        <v>26</v>
      </c>
      <c r="H169" s="34">
        <v>26</v>
      </c>
      <c r="I169" s="31">
        <v>26</v>
      </c>
      <c r="J169" s="31">
        <v>26</v>
      </c>
      <c r="K169" s="31">
        <v>26</v>
      </c>
      <c r="L169" s="31">
        <v>26</v>
      </c>
      <c r="M169" s="31">
        <v>26.25</v>
      </c>
      <c r="N169" s="34">
        <v>25.987500000000001</v>
      </c>
      <c r="O169" s="34">
        <v>25.724999999999998</v>
      </c>
      <c r="P169" s="34">
        <v>25.462499999999999</v>
      </c>
      <c r="Q169" s="34">
        <v>25.2</v>
      </c>
      <c r="R169" s="34">
        <v>24.9375</v>
      </c>
      <c r="S169" s="34">
        <v>24.674999999999997</v>
      </c>
      <c r="T169" s="35">
        <v>24.412499999999998</v>
      </c>
    </row>
    <row r="170" spans="1:20" ht="13">
      <c r="A170" s="12"/>
      <c r="B170" s="12"/>
      <c r="C170" s="1" t="s">
        <v>50</v>
      </c>
      <c r="D170" s="1" t="s">
        <v>366</v>
      </c>
      <c r="E170" s="35">
        <v>27.890699786100001</v>
      </c>
      <c r="F170" s="35">
        <v>28.1905997838</v>
      </c>
      <c r="G170" s="35">
        <v>28.490499781499999</v>
      </c>
      <c r="H170" s="35">
        <v>28.790399779200001</v>
      </c>
      <c r="I170" s="35">
        <v>29.0902997769</v>
      </c>
      <c r="J170" s="35">
        <v>29.390199774599999</v>
      </c>
      <c r="K170" s="35">
        <v>29.690099772300002</v>
      </c>
      <c r="L170" s="31">
        <v>29.989999770000001</v>
      </c>
      <c r="M170" s="34">
        <v>29.690099772300002</v>
      </c>
      <c r="N170" s="34">
        <v>29.390199774599999</v>
      </c>
      <c r="O170" s="34">
        <v>29.0902997769</v>
      </c>
      <c r="P170" s="34">
        <v>28.790399779200001</v>
      </c>
      <c r="Q170" s="34">
        <v>28.490499781500002</v>
      </c>
      <c r="R170" s="34">
        <v>28.190599783800003</v>
      </c>
      <c r="S170" s="34">
        <v>27.890699786100001</v>
      </c>
      <c r="T170" s="35">
        <v>27.590799788400002</v>
      </c>
    </row>
    <row r="171" spans="1:20" ht="13">
      <c r="A171" s="12"/>
      <c r="B171" s="12"/>
      <c r="C171" s="1" t="s">
        <v>53</v>
      </c>
      <c r="D171" s="1" t="s">
        <v>49</v>
      </c>
      <c r="E171" s="35">
        <v>28.667199861999997</v>
      </c>
      <c r="F171" s="35">
        <v>28.978799860499997</v>
      </c>
      <c r="G171" s="35">
        <v>29.290399858999997</v>
      </c>
      <c r="H171" s="35">
        <v>29.601999857499997</v>
      </c>
      <c r="I171" s="35">
        <v>29.913599855999998</v>
      </c>
      <c r="J171" s="35">
        <v>30.225199854499998</v>
      </c>
      <c r="K171" s="35">
        <v>30.536799852999998</v>
      </c>
      <c r="L171" s="35">
        <v>30.848399851499998</v>
      </c>
      <c r="M171" s="31">
        <v>31.159999849999998</v>
      </c>
      <c r="N171" s="31">
        <v>30.510000229999999</v>
      </c>
      <c r="O171" s="31">
        <v>31.479999540000001</v>
      </c>
      <c r="P171" s="31">
        <v>31.65467288</v>
      </c>
      <c r="Q171" s="31">
        <v>31.662705339999999</v>
      </c>
      <c r="R171" s="31">
        <v>23.57</v>
      </c>
      <c r="S171" s="34">
        <v>23.334299999999999</v>
      </c>
      <c r="T171" s="35">
        <v>23.098600000000001</v>
      </c>
    </row>
    <row r="172" spans="1:20" ht="13">
      <c r="A172" s="12"/>
      <c r="B172" s="12"/>
      <c r="C172" s="1" t="s">
        <v>254</v>
      </c>
      <c r="D172" s="1" t="s">
        <v>317</v>
      </c>
      <c r="E172" s="35">
        <v>92</v>
      </c>
      <c r="F172" s="35">
        <v>93</v>
      </c>
      <c r="G172" s="35">
        <v>94</v>
      </c>
      <c r="H172" s="35">
        <v>95</v>
      </c>
      <c r="I172" s="35">
        <v>96</v>
      </c>
      <c r="J172" s="35">
        <v>97</v>
      </c>
      <c r="K172" s="35">
        <v>98</v>
      </c>
      <c r="L172" s="35">
        <v>99</v>
      </c>
      <c r="M172" s="31">
        <v>100</v>
      </c>
      <c r="N172" s="31">
        <v>100</v>
      </c>
      <c r="O172" s="31">
        <v>100</v>
      </c>
      <c r="P172" s="31">
        <v>100</v>
      </c>
      <c r="Q172" s="31">
        <v>100</v>
      </c>
      <c r="R172" s="31">
        <v>100</v>
      </c>
      <c r="S172" s="34">
        <v>99</v>
      </c>
      <c r="T172" s="35">
        <v>98</v>
      </c>
    </row>
    <row r="173" spans="1:20" ht="13">
      <c r="A173" s="12"/>
      <c r="B173" s="12"/>
      <c r="C173" s="1" t="s">
        <v>4</v>
      </c>
      <c r="D173" s="1" t="s">
        <v>188</v>
      </c>
      <c r="E173" s="35">
        <v>86.111999999999995</v>
      </c>
      <c r="F173" s="35">
        <v>87.048000000000002</v>
      </c>
      <c r="G173" s="35">
        <v>87.983999999999995</v>
      </c>
      <c r="H173" s="35">
        <v>88.919999999999987</v>
      </c>
      <c r="I173" s="35">
        <v>89.855999999999995</v>
      </c>
      <c r="J173" s="35">
        <v>90.792000000000002</v>
      </c>
      <c r="K173" s="35">
        <v>91.727999999999994</v>
      </c>
      <c r="L173" s="35">
        <v>92.663999999999987</v>
      </c>
      <c r="M173" s="31">
        <v>93.6</v>
      </c>
      <c r="N173" s="31">
        <v>94.58</v>
      </c>
      <c r="O173" s="31">
        <v>95.15</v>
      </c>
      <c r="P173" s="31">
        <v>95.75</v>
      </c>
      <c r="Q173" s="31">
        <v>92.98</v>
      </c>
      <c r="R173" s="31">
        <v>91.03</v>
      </c>
      <c r="S173" s="34">
        <v>90.119699999999995</v>
      </c>
      <c r="T173" s="35">
        <v>89.209400000000002</v>
      </c>
    </row>
    <row r="174" spans="1:20" ht="13">
      <c r="A174" s="12"/>
      <c r="B174" s="12"/>
      <c r="C174" s="1" t="s">
        <v>197</v>
      </c>
      <c r="D174" s="1" t="s">
        <v>131</v>
      </c>
      <c r="E174" s="31">
        <v>82.699996949999999</v>
      </c>
      <c r="F174" s="34">
        <v>81.872996980500005</v>
      </c>
      <c r="G174" s="34">
        <v>81.045997010999997</v>
      </c>
      <c r="H174" s="34">
        <v>80.218997041500003</v>
      </c>
      <c r="I174" s="34">
        <v>79.391997071999995</v>
      </c>
      <c r="J174" s="34">
        <v>78.564997102500001</v>
      </c>
      <c r="K174" s="34">
        <v>77.737997132999993</v>
      </c>
      <c r="L174" s="34">
        <v>76.910997163499999</v>
      </c>
      <c r="M174" s="34">
        <v>76.083997193999991</v>
      </c>
      <c r="N174" s="34">
        <v>75.256997224499997</v>
      </c>
      <c r="O174" s="34">
        <v>74.429997254999989</v>
      </c>
      <c r="P174" s="34">
        <v>73.602997285499995</v>
      </c>
      <c r="Q174" s="34">
        <v>72.775997315999987</v>
      </c>
      <c r="R174" s="34">
        <v>71.948997346499993</v>
      </c>
      <c r="S174" s="34">
        <v>71.121997376999985</v>
      </c>
      <c r="T174" s="35">
        <v>70.294997407499991</v>
      </c>
    </row>
    <row r="175" spans="1:20" ht="13">
      <c r="A175" s="12"/>
      <c r="B175" s="12"/>
      <c r="C175" s="1" t="s">
        <v>34</v>
      </c>
      <c r="D175" s="1" t="s">
        <v>74</v>
      </c>
      <c r="E175" s="35">
        <v>7.9396001048799993</v>
      </c>
      <c r="F175" s="35">
        <v>8.0259001060199999</v>
      </c>
      <c r="G175" s="35">
        <v>8.1122001071599996</v>
      </c>
      <c r="H175" s="35">
        <v>8.1985001082999993</v>
      </c>
      <c r="I175" s="35">
        <v>8.284800109439999</v>
      </c>
      <c r="J175" s="35">
        <v>8.3711001105799987</v>
      </c>
      <c r="K175" s="35">
        <v>8.4574001117200002</v>
      </c>
      <c r="L175" s="35">
        <v>8.5437001128599999</v>
      </c>
      <c r="M175" s="31">
        <v>8.6300001139999996</v>
      </c>
      <c r="N175" s="34">
        <v>8.3800000911999994</v>
      </c>
      <c r="O175" s="34">
        <v>8.1300000683999993</v>
      </c>
      <c r="P175" s="34">
        <v>7.8800000456000001</v>
      </c>
      <c r="Q175" s="34">
        <v>7.6300000228</v>
      </c>
      <c r="R175" s="31">
        <v>7.38</v>
      </c>
      <c r="S175" s="34">
        <v>7.3062000000000005</v>
      </c>
      <c r="T175" s="35">
        <v>7.2324000000000002</v>
      </c>
    </row>
    <row r="176" spans="1:20" ht="13">
      <c r="A176" s="12"/>
      <c r="B176" s="12"/>
      <c r="C176" s="1" t="s">
        <v>231</v>
      </c>
      <c r="D176" s="1" t="s">
        <v>226</v>
      </c>
      <c r="E176" s="31">
        <v>97.400001529999997</v>
      </c>
      <c r="F176" s="31">
        <v>97.5</v>
      </c>
      <c r="G176" s="31">
        <v>97.5</v>
      </c>
      <c r="H176" s="31">
        <v>97.5</v>
      </c>
      <c r="I176" s="31">
        <v>97.5</v>
      </c>
      <c r="J176" s="31">
        <v>98.5</v>
      </c>
      <c r="K176" s="34">
        <v>97.515000000000001</v>
      </c>
      <c r="L176" s="34">
        <v>96.53</v>
      </c>
      <c r="M176" s="34">
        <v>95.545000000000002</v>
      </c>
      <c r="N176" s="34">
        <v>94.56</v>
      </c>
      <c r="O176" s="34">
        <v>93.575000000000003</v>
      </c>
      <c r="P176" s="34">
        <v>92.59</v>
      </c>
      <c r="Q176" s="34">
        <v>91.605000000000004</v>
      </c>
      <c r="R176" s="34">
        <v>90.62</v>
      </c>
      <c r="S176" s="34">
        <v>89.635000000000005</v>
      </c>
      <c r="T176" s="35">
        <v>88.65</v>
      </c>
    </row>
    <row r="177" spans="1:20" ht="13">
      <c r="A177" s="12"/>
      <c r="B177" s="12"/>
      <c r="C177" s="1" t="s">
        <v>175</v>
      </c>
      <c r="D177" s="1" t="s">
        <v>215</v>
      </c>
      <c r="E177" t="e">
        <v>#N/A</v>
      </c>
      <c r="F177" t="e">
        <v>#N/A</v>
      </c>
      <c r="G177" t="e">
        <v>#N/A</v>
      </c>
      <c r="H177" t="e">
        <v>#N/A</v>
      </c>
      <c r="I177" t="e">
        <v>#N/A</v>
      </c>
      <c r="J177" t="e">
        <v>#N/A</v>
      </c>
      <c r="K177" t="e">
        <v>#N/A</v>
      </c>
      <c r="L177" t="e">
        <v>#N/A</v>
      </c>
      <c r="M177" t="e">
        <v>#N/A</v>
      </c>
      <c r="N177" t="e">
        <v>#N/A</v>
      </c>
      <c r="O177" t="e">
        <v>#N/A</v>
      </c>
      <c r="P177" t="e">
        <v>#N/A</v>
      </c>
      <c r="Q177" t="e">
        <v>#N/A</v>
      </c>
      <c r="R177" t="e">
        <v>#N/A</v>
      </c>
      <c r="S177" t="e">
        <v>#N/A</v>
      </c>
      <c r="T177" t="e">
        <v>#N/A</v>
      </c>
    </row>
    <row r="178" spans="1:20" ht="13">
      <c r="A178" s="12"/>
      <c r="B178" s="12"/>
      <c r="C178" s="1" t="s">
        <v>266</v>
      </c>
      <c r="D178" s="1" t="s">
        <v>59</v>
      </c>
      <c r="E178" s="31">
        <v>31.600000380000001</v>
      </c>
      <c r="F178" s="31">
        <v>31.600000380000001</v>
      </c>
      <c r="G178" s="31">
        <v>31.600000380000001</v>
      </c>
      <c r="H178" s="31">
        <v>31.600000380000001</v>
      </c>
      <c r="I178" s="31">
        <v>31.600000380000001</v>
      </c>
      <c r="J178" s="31">
        <v>31.600000380000001</v>
      </c>
      <c r="K178" s="31">
        <v>31.600000380000001</v>
      </c>
      <c r="L178" s="34">
        <v>29.83333365</v>
      </c>
      <c r="M178" s="34">
        <v>28.066666919999999</v>
      </c>
      <c r="N178" s="34">
        <v>26.300000189999999</v>
      </c>
      <c r="O178" s="34">
        <v>24.533333460000001</v>
      </c>
      <c r="P178" s="34">
        <v>22.766666730000001</v>
      </c>
      <c r="Q178" s="31">
        <v>21</v>
      </c>
      <c r="R178" s="34">
        <v>20.79</v>
      </c>
      <c r="S178" s="34">
        <v>20.580000000000002</v>
      </c>
      <c r="T178" s="35">
        <v>20.37</v>
      </c>
    </row>
    <row r="179" spans="1:20" ht="13">
      <c r="A179" s="12"/>
      <c r="B179" s="12"/>
      <c r="C179" s="1" t="s">
        <v>402</v>
      </c>
      <c r="D179" s="1" t="s">
        <v>230</v>
      </c>
      <c r="E179" s="31">
        <v>27</v>
      </c>
      <c r="F179" s="31">
        <v>27</v>
      </c>
      <c r="G179" s="31">
        <v>27</v>
      </c>
      <c r="H179" s="31">
        <v>27</v>
      </c>
      <c r="I179" s="31">
        <v>27</v>
      </c>
      <c r="J179" s="31">
        <v>27</v>
      </c>
      <c r="K179" s="31">
        <v>27</v>
      </c>
      <c r="L179" s="34">
        <v>26.73</v>
      </c>
      <c r="M179" s="34">
        <v>26.46</v>
      </c>
      <c r="N179" s="34">
        <v>26.19</v>
      </c>
      <c r="O179" s="34">
        <v>25.92</v>
      </c>
      <c r="P179" s="34">
        <v>25.65</v>
      </c>
      <c r="Q179" s="34">
        <v>25.38</v>
      </c>
      <c r="R179" s="34">
        <v>25.11</v>
      </c>
      <c r="S179" s="34">
        <v>24.84</v>
      </c>
      <c r="T179" s="35">
        <v>24.57</v>
      </c>
    </row>
    <row r="180" spans="1:20" ht="13">
      <c r="A180" s="12"/>
      <c r="B180" s="12"/>
      <c r="C180" s="1" t="s">
        <v>283</v>
      </c>
      <c r="D180" s="1" t="s">
        <v>64</v>
      </c>
      <c r="E180" s="31">
        <v>51</v>
      </c>
      <c r="F180" s="31">
        <v>51.099998470000003</v>
      </c>
      <c r="G180" s="31">
        <v>51.099998470000003</v>
      </c>
      <c r="H180" s="31">
        <v>51.099998470000003</v>
      </c>
      <c r="I180" s="31">
        <v>51.099998470000003</v>
      </c>
      <c r="J180" s="31">
        <v>51.099998470000003</v>
      </c>
      <c r="K180" s="31">
        <v>51.099998470000003</v>
      </c>
      <c r="L180" s="34">
        <v>50.588998485300003</v>
      </c>
      <c r="M180" s="34">
        <v>50.077998500600003</v>
      </c>
      <c r="N180" s="34">
        <v>49.566998515900003</v>
      </c>
      <c r="O180" s="34">
        <v>49.055998531200004</v>
      </c>
      <c r="P180" s="34">
        <v>48.544998546500004</v>
      </c>
      <c r="Q180" s="34">
        <v>48.033998561800004</v>
      </c>
      <c r="R180" s="34">
        <v>47.522998577100005</v>
      </c>
      <c r="S180" s="34">
        <v>47.011998592400005</v>
      </c>
      <c r="T180" s="35">
        <v>46.500998607700005</v>
      </c>
    </row>
    <row r="181" spans="1:20" ht="13">
      <c r="A181" s="12"/>
      <c r="B181" s="12"/>
      <c r="C181" s="1" t="s">
        <v>298</v>
      </c>
      <c r="D181" s="1" t="s">
        <v>264</v>
      </c>
      <c r="E181" s="31">
        <v>78.800003050000001</v>
      </c>
      <c r="F181" s="31">
        <v>78.900001529999997</v>
      </c>
      <c r="G181" s="31">
        <v>78.900001529999997</v>
      </c>
      <c r="H181" s="31">
        <v>63.700000760000002</v>
      </c>
      <c r="I181" s="31">
        <v>63.799999239999998</v>
      </c>
      <c r="J181" s="31">
        <v>68.400001529999997</v>
      </c>
      <c r="K181" s="31">
        <v>65.400001529999997</v>
      </c>
      <c r="L181" s="34">
        <v>65.533335370000003</v>
      </c>
      <c r="M181" s="34">
        <v>65.666669209999995</v>
      </c>
      <c r="N181" s="31">
        <v>65.800003050000001</v>
      </c>
      <c r="O181" s="34">
        <v>68.145002287500006</v>
      </c>
      <c r="P181" s="34">
        <v>70.490001524999997</v>
      </c>
      <c r="Q181" s="34">
        <v>72.835000762500002</v>
      </c>
      <c r="R181" s="31">
        <v>75.180000000000007</v>
      </c>
      <c r="S181" s="34">
        <v>74.428200000000004</v>
      </c>
      <c r="T181" s="35">
        <v>73.676400000000001</v>
      </c>
    </row>
    <row r="182" spans="1:20" ht="13">
      <c r="A182" s="12"/>
      <c r="B182" s="12"/>
      <c r="C182" s="1" t="s">
        <v>301</v>
      </c>
      <c r="D182" s="1" t="s">
        <v>86</v>
      </c>
      <c r="E182" s="31">
        <v>23</v>
      </c>
      <c r="F182" s="31">
        <v>25</v>
      </c>
      <c r="G182" s="31">
        <v>25</v>
      </c>
      <c r="H182" s="31">
        <v>28</v>
      </c>
      <c r="I182" s="31">
        <v>34</v>
      </c>
      <c r="J182" s="34">
        <v>33.659999999999997</v>
      </c>
      <c r="K182" s="34">
        <v>33.32</v>
      </c>
      <c r="L182" s="34">
        <v>32.980000000000004</v>
      </c>
      <c r="M182" s="34">
        <v>32.64</v>
      </c>
      <c r="N182" s="34">
        <v>32.299999999999997</v>
      </c>
      <c r="O182" s="34">
        <v>31.96</v>
      </c>
      <c r="P182" s="34">
        <v>31.62</v>
      </c>
      <c r="Q182" s="34">
        <v>31.28</v>
      </c>
      <c r="R182" s="34">
        <v>30.94</v>
      </c>
      <c r="S182" s="34">
        <v>30.6</v>
      </c>
      <c r="T182" s="35">
        <v>30.26</v>
      </c>
    </row>
    <row r="183" spans="1:20" ht="13">
      <c r="A183" s="12"/>
      <c r="B183" s="12"/>
      <c r="C183" s="1" t="s">
        <v>206</v>
      </c>
      <c r="D183" s="1" t="s">
        <v>258</v>
      </c>
      <c r="E183" s="35">
        <v>77.951997071999998</v>
      </c>
      <c r="F183" s="35">
        <v>78.763997041500005</v>
      </c>
      <c r="G183" s="35">
        <v>79.575997010999998</v>
      </c>
      <c r="H183" s="35">
        <v>80.387996980500006</v>
      </c>
      <c r="I183" s="31">
        <v>81.199996949999999</v>
      </c>
      <c r="J183" s="31">
        <v>81.199996949999999</v>
      </c>
      <c r="K183" s="31">
        <v>81.199996949999999</v>
      </c>
      <c r="L183" s="34">
        <v>80.387996980500006</v>
      </c>
      <c r="M183" s="34">
        <v>79.575997010999998</v>
      </c>
      <c r="N183" s="34">
        <v>78.763997041500005</v>
      </c>
      <c r="O183" s="34">
        <v>77.951997071999998</v>
      </c>
      <c r="P183" s="34">
        <v>77.139997102500004</v>
      </c>
      <c r="Q183" s="34">
        <v>76.327997132999997</v>
      </c>
      <c r="R183" s="34">
        <v>75.515997163500003</v>
      </c>
      <c r="S183" s="34">
        <v>74.703997193999996</v>
      </c>
      <c r="T183" s="35">
        <v>73.891997224500003</v>
      </c>
    </row>
    <row r="184" spans="1:20" ht="13">
      <c r="A184" s="12"/>
      <c r="B184" s="12"/>
      <c r="C184" s="1" t="s">
        <v>304</v>
      </c>
      <c r="D184" s="1" t="s">
        <v>150</v>
      </c>
      <c r="E184" t="e">
        <v>#N/A</v>
      </c>
      <c r="F184" t="e">
        <v>#N/A</v>
      </c>
      <c r="G184" t="e">
        <v>#N/A</v>
      </c>
      <c r="H184" t="e">
        <v>#N/A</v>
      </c>
      <c r="I184" t="e">
        <v>#N/A</v>
      </c>
      <c r="J184" t="e">
        <v>#N/A</v>
      </c>
      <c r="K184" t="e">
        <v>#N/A</v>
      </c>
      <c r="L184" t="e">
        <v>#N/A</v>
      </c>
      <c r="M184" t="e">
        <v>#N/A</v>
      </c>
      <c r="N184" t="e">
        <v>#N/A</v>
      </c>
      <c r="O184" t="e">
        <v>#N/A</v>
      </c>
      <c r="P184" t="e">
        <v>#N/A</v>
      </c>
      <c r="Q184" t="e">
        <v>#N/A</v>
      </c>
      <c r="R184" t="e">
        <v>#N/A</v>
      </c>
      <c r="S184" t="e">
        <v>#N/A</v>
      </c>
      <c r="T184" t="e">
        <v>#N/A</v>
      </c>
    </row>
    <row r="185" spans="1:20" ht="13">
      <c r="A185" s="12"/>
      <c r="B185" s="12"/>
      <c r="C185" s="1" t="s">
        <v>78</v>
      </c>
      <c r="D185" s="1" t="s">
        <v>60</v>
      </c>
      <c r="E185" s="35">
        <v>21.16</v>
      </c>
      <c r="F185" s="35">
        <v>21.39</v>
      </c>
      <c r="G185" s="35">
        <v>21.62</v>
      </c>
      <c r="H185" s="35">
        <v>21.85</v>
      </c>
      <c r="I185" s="35">
        <v>22.08</v>
      </c>
      <c r="J185" s="35">
        <v>22.31</v>
      </c>
      <c r="K185" s="35">
        <v>22.54</v>
      </c>
      <c r="L185" s="35">
        <v>22.77</v>
      </c>
      <c r="M185" s="31">
        <v>23</v>
      </c>
      <c r="N185" s="34">
        <v>22.77</v>
      </c>
      <c r="O185" s="34">
        <v>22.54</v>
      </c>
      <c r="P185" s="34">
        <v>22.31</v>
      </c>
      <c r="Q185" s="34">
        <v>22.08</v>
      </c>
      <c r="R185" s="34">
        <v>21.849999999999998</v>
      </c>
      <c r="S185" s="34">
        <v>21.619999999999997</v>
      </c>
      <c r="T185" s="35">
        <v>21.389999999999997</v>
      </c>
    </row>
    <row r="186" spans="1:20" ht="13">
      <c r="A186" s="12"/>
      <c r="B186" s="12"/>
      <c r="C186" s="1" t="s">
        <v>221</v>
      </c>
      <c r="D186" s="1" t="s">
        <v>35</v>
      </c>
      <c r="E186" s="31">
        <v>94.800003050000001</v>
      </c>
      <c r="F186" s="31">
        <v>95</v>
      </c>
      <c r="G186" s="31">
        <v>95</v>
      </c>
      <c r="H186" s="31">
        <v>96.5</v>
      </c>
      <c r="I186" s="31">
        <v>96.599998470000003</v>
      </c>
      <c r="J186" s="31">
        <v>96.699996949999999</v>
      </c>
      <c r="K186" s="31">
        <v>96.699996949999999</v>
      </c>
      <c r="L186" s="31">
        <v>96.800003050000001</v>
      </c>
      <c r="M186" s="31">
        <v>96.400001529999997</v>
      </c>
      <c r="N186" s="31">
        <v>97.199996949999999</v>
      </c>
      <c r="O186" s="31">
        <v>97.41999817</v>
      </c>
      <c r="P186" s="31">
        <v>97.664750690000005</v>
      </c>
      <c r="Q186" s="31">
        <v>97.751177530000007</v>
      </c>
      <c r="R186" s="31">
        <v>97.81</v>
      </c>
      <c r="S186" s="34">
        <v>96.831900000000005</v>
      </c>
      <c r="T186" s="35">
        <v>95.853800000000007</v>
      </c>
    </row>
    <row r="187" spans="1:20" ht="13">
      <c r="A187" s="12"/>
      <c r="B187" s="12"/>
      <c r="C187" s="1" t="s">
        <v>10</v>
      </c>
      <c r="D187" s="1" t="s">
        <v>336</v>
      </c>
      <c r="E187" s="31">
        <v>100</v>
      </c>
      <c r="F187" s="31">
        <v>100</v>
      </c>
      <c r="G187" s="31">
        <v>100</v>
      </c>
      <c r="H187" s="31">
        <v>100</v>
      </c>
      <c r="I187" s="31">
        <v>100</v>
      </c>
      <c r="J187" s="31">
        <v>100</v>
      </c>
      <c r="K187" s="34">
        <v>99</v>
      </c>
      <c r="L187" s="34">
        <v>98</v>
      </c>
      <c r="M187" s="34">
        <v>97</v>
      </c>
      <c r="N187" s="34">
        <v>96</v>
      </c>
      <c r="O187" s="34">
        <v>95</v>
      </c>
      <c r="P187" s="34">
        <v>94</v>
      </c>
      <c r="Q187" s="34">
        <v>93</v>
      </c>
      <c r="R187" s="34">
        <v>92</v>
      </c>
      <c r="S187" s="34">
        <v>91</v>
      </c>
      <c r="T187" s="35">
        <v>90</v>
      </c>
    </row>
    <row r="188" spans="1:20" ht="13">
      <c r="A188" s="12"/>
      <c r="B188" s="12"/>
      <c r="C188" s="1" t="s">
        <v>157</v>
      </c>
      <c r="D188" s="1" t="s">
        <v>166</v>
      </c>
      <c r="E188" s="31">
        <v>100</v>
      </c>
      <c r="F188" s="31">
        <v>100</v>
      </c>
      <c r="G188" s="31">
        <v>100</v>
      </c>
      <c r="H188" s="31">
        <v>100</v>
      </c>
      <c r="I188" s="31">
        <v>100</v>
      </c>
      <c r="J188" s="31">
        <v>100</v>
      </c>
      <c r="K188" s="31">
        <v>100</v>
      </c>
      <c r="L188" s="31">
        <v>100</v>
      </c>
      <c r="M188" s="31">
        <v>100</v>
      </c>
      <c r="N188" s="31">
        <v>100</v>
      </c>
      <c r="O188" s="31">
        <v>100</v>
      </c>
      <c r="P188" s="31">
        <v>100</v>
      </c>
      <c r="Q188" s="31">
        <v>100</v>
      </c>
      <c r="R188" s="31">
        <v>100</v>
      </c>
      <c r="S188" s="34">
        <v>99</v>
      </c>
      <c r="T188" s="35">
        <v>98</v>
      </c>
    </row>
    <row r="189" spans="1:20" ht="13">
      <c r="A189" s="12"/>
      <c r="B189" s="12"/>
      <c r="C189" s="1" t="s">
        <v>332</v>
      </c>
      <c r="D189" s="1" t="s">
        <v>311</v>
      </c>
      <c r="E189" s="35">
        <v>60.903997193999999</v>
      </c>
      <c r="F189" s="35">
        <v>61.565997163500001</v>
      </c>
      <c r="G189" s="35">
        <v>62.227997133000002</v>
      </c>
      <c r="H189" s="35">
        <v>62.889997102499997</v>
      </c>
      <c r="I189" s="35">
        <v>63.551997071999999</v>
      </c>
      <c r="J189" s="35">
        <v>64.213997041499994</v>
      </c>
      <c r="K189" s="35">
        <v>64.875997010999995</v>
      </c>
      <c r="L189" s="35">
        <v>65.537996980499997</v>
      </c>
      <c r="M189" s="31">
        <v>66.199996949999999</v>
      </c>
      <c r="N189" s="31">
        <v>64.5</v>
      </c>
      <c r="O189" s="31">
        <v>65.339996339999999</v>
      </c>
      <c r="P189" s="34">
        <v>65.229998170000002</v>
      </c>
      <c r="Q189" s="31">
        <v>65.12</v>
      </c>
      <c r="R189" s="31">
        <v>67.37</v>
      </c>
      <c r="S189" s="34">
        <v>66.696300000000008</v>
      </c>
      <c r="T189" s="35">
        <v>66.022599999999997</v>
      </c>
    </row>
    <row r="190" spans="1:20" ht="13">
      <c r="A190" s="12"/>
      <c r="B190" s="12"/>
      <c r="C190" s="1" t="s">
        <v>318</v>
      </c>
      <c r="D190" s="1" t="s">
        <v>144</v>
      </c>
      <c r="E190" t="e">
        <v>#N/A</v>
      </c>
      <c r="F190" t="e">
        <v>#N/A</v>
      </c>
      <c r="G190" t="e">
        <v>#N/A</v>
      </c>
      <c r="H190" t="e">
        <v>#N/A</v>
      </c>
      <c r="I190" t="e">
        <v>#N/A</v>
      </c>
      <c r="J190" t="e">
        <v>#N/A</v>
      </c>
      <c r="K190" t="e">
        <v>#N/A</v>
      </c>
      <c r="L190" t="e">
        <v>#N/A</v>
      </c>
      <c r="M190" t="e">
        <v>#N/A</v>
      </c>
      <c r="N190" t="e">
        <v>#N/A</v>
      </c>
      <c r="O190" t="e">
        <v>#N/A</v>
      </c>
      <c r="P190" t="e">
        <v>#N/A</v>
      </c>
      <c r="Q190" t="e">
        <v>#N/A</v>
      </c>
      <c r="R190" t="e">
        <v>#N/A</v>
      </c>
      <c r="S190" t="e">
        <v>#N/A</v>
      </c>
      <c r="T190" t="e">
        <v>#N/A</v>
      </c>
    </row>
    <row r="191" spans="1:20" ht="13">
      <c r="A191" s="12"/>
      <c r="B191" s="12"/>
      <c r="C191" s="1" t="s">
        <v>7</v>
      </c>
      <c r="D191" s="1" t="s">
        <v>12</v>
      </c>
      <c r="E191" s="31">
        <v>87.199996949999999</v>
      </c>
      <c r="F191" s="31">
        <v>87.300003050000001</v>
      </c>
      <c r="G191" s="34">
        <v>87.300003050000001</v>
      </c>
      <c r="H191" s="31">
        <v>87.300003050000001</v>
      </c>
      <c r="I191" s="31">
        <v>87.300003050000001</v>
      </c>
      <c r="J191" s="31">
        <v>87.300003050000001</v>
      </c>
      <c r="K191" s="31">
        <v>87.300003050000001</v>
      </c>
      <c r="L191" s="34">
        <v>86.427003019500006</v>
      </c>
      <c r="M191" s="34">
        <v>85.554002988999997</v>
      </c>
      <c r="N191" s="34">
        <v>84.681002958500002</v>
      </c>
      <c r="O191" s="34">
        <v>83.808002928000008</v>
      </c>
      <c r="P191" s="34">
        <v>82.935002897499999</v>
      </c>
      <c r="Q191" s="34">
        <v>82.062002867000004</v>
      </c>
      <c r="R191" s="34">
        <v>81.189002836500009</v>
      </c>
      <c r="S191" s="34">
        <v>80.316002806</v>
      </c>
      <c r="T191" s="35">
        <v>79.443002775500005</v>
      </c>
    </row>
    <row r="192" spans="1:20" ht="13">
      <c r="A192" s="12"/>
      <c r="B192" s="12"/>
      <c r="C192" s="1" t="s">
        <v>299</v>
      </c>
      <c r="D192" s="1" t="s">
        <v>323</v>
      </c>
      <c r="E192" s="31">
        <v>23.799999239999998</v>
      </c>
      <c r="F192" s="31">
        <v>23.899999619999999</v>
      </c>
      <c r="G192" s="31">
        <v>23.899999619999999</v>
      </c>
      <c r="H192" s="31">
        <v>23.899999619999999</v>
      </c>
      <c r="I192" s="31">
        <v>23.899999619999999</v>
      </c>
      <c r="J192" s="31">
        <v>23.899999619999999</v>
      </c>
      <c r="K192" s="31">
        <v>23.899999619999999</v>
      </c>
      <c r="L192" s="34">
        <v>23.660999623799999</v>
      </c>
      <c r="M192" s="34">
        <v>23.421999627599998</v>
      </c>
      <c r="N192" s="34">
        <v>23.182999631399998</v>
      </c>
      <c r="O192" s="34">
        <v>22.943999635199997</v>
      </c>
      <c r="P192" s="34">
        <v>22.704999639</v>
      </c>
      <c r="Q192" s="34">
        <v>22.4659996428</v>
      </c>
      <c r="R192" s="34">
        <v>22.226999646599999</v>
      </c>
      <c r="S192" s="34">
        <v>21.987999650399999</v>
      </c>
      <c r="T192" s="35">
        <v>21.748999654199999</v>
      </c>
    </row>
    <row r="193" spans="1:21" ht="13">
      <c r="A193" s="12"/>
      <c r="B193" s="12"/>
      <c r="C193" s="1" t="s">
        <v>104</v>
      </c>
      <c r="D193" s="1" t="s">
        <v>339</v>
      </c>
      <c r="E193" s="31">
        <v>35.400001529999997</v>
      </c>
      <c r="F193" s="31">
        <v>35.400001529999997</v>
      </c>
      <c r="G193" s="31">
        <v>33.599998470000003</v>
      </c>
      <c r="H193" s="31">
        <v>33.599998470000003</v>
      </c>
      <c r="I193" s="31">
        <v>33.599998470000003</v>
      </c>
      <c r="J193" s="31">
        <v>33.599998470000003</v>
      </c>
      <c r="K193" s="31">
        <v>33.599998470000003</v>
      </c>
      <c r="L193" s="34">
        <v>33.2639984853</v>
      </c>
      <c r="M193" s="34">
        <v>32.927998500600005</v>
      </c>
      <c r="N193" s="34">
        <v>32.591998515900002</v>
      </c>
      <c r="O193" s="34">
        <v>32.255998531200007</v>
      </c>
      <c r="P193" s="34">
        <v>31.919998546500004</v>
      </c>
      <c r="Q193" s="34">
        <v>31.583998561800005</v>
      </c>
      <c r="R193" s="34">
        <v>31.247998577100002</v>
      </c>
      <c r="S193" s="34">
        <v>30.911998592400003</v>
      </c>
      <c r="T193" s="35">
        <v>30.575998607700004</v>
      </c>
    </row>
    <row r="194" spans="1:21" ht="13">
      <c r="A194" s="12"/>
      <c r="B194" s="12"/>
      <c r="C194" s="1" t="s">
        <v>255</v>
      </c>
      <c r="D194" s="1" t="s">
        <v>160</v>
      </c>
      <c r="E194" s="31">
        <v>25.899999619999999</v>
      </c>
      <c r="F194" s="31">
        <v>25.100000380000001</v>
      </c>
      <c r="G194" s="31">
        <v>25.100000380000001</v>
      </c>
      <c r="H194" s="31">
        <v>25.100000380000001</v>
      </c>
      <c r="I194" s="34">
        <v>28.232168698333332</v>
      </c>
      <c r="J194" s="34">
        <v>31.364337016666667</v>
      </c>
      <c r="K194" s="34">
        <v>34.496505335000002</v>
      </c>
      <c r="L194" s="34">
        <v>37.628673653333337</v>
      </c>
      <c r="M194" s="34">
        <v>40.760841971666665</v>
      </c>
      <c r="N194" s="31">
        <v>43.893010289999999</v>
      </c>
      <c r="O194" s="34">
        <v>45.427696449999999</v>
      </c>
      <c r="P194" s="31">
        <v>46.962382609999999</v>
      </c>
      <c r="Q194" s="31">
        <v>47.624134079999997</v>
      </c>
      <c r="R194" s="34">
        <v>47.147892739199996</v>
      </c>
      <c r="S194" s="34">
        <v>46.671651398399995</v>
      </c>
      <c r="T194" s="35">
        <v>46.195410057599993</v>
      </c>
    </row>
    <row r="195" spans="1:21" ht="13">
      <c r="A195" s="12"/>
      <c r="B195" s="12"/>
      <c r="C195" s="1" t="s">
        <v>79</v>
      </c>
      <c r="D195" s="1" t="s">
        <v>324</v>
      </c>
      <c r="E195" s="31">
        <v>7.9000000950000002</v>
      </c>
      <c r="F195" s="31">
        <v>8.1000003809999992</v>
      </c>
      <c r="G195" s="34">
        <v>8.1666669841111101</v>
      </c>
      <c r="H195" s="34">
        <v>8.2333335872222211</v>
      </c>
      <c r="I195" s="34">
        <v>8.300000190333332</v>
      </c>
      <c r="J195" s="34">
        <v>8.366666793444443</v>
      </c>
      <c r="K195" s="34">
        <v>8.4333333965555557</v>
      </c>
      <c r="L195" s="34">
        <v>8.4999999996666666</v>
      </c>
      <c r="M195" s="34">
        <v>8.5666666027777776</v>
      </c>
      <c r="N195" s="34">
        <v>8.6333332058888885</v>
      </c>
      <c r="O195" s="31">
        <v>8.6999998089999995</v>
      </c>
      <c r="P195" s="34">
        <v>8.612999810909999</v>
      </c>
      <c r="Q195" s="34">
        <v>8.5259998128199985</v>
      </c>
      <c r="R195" s="34">
        <v>8.4389998147299998</v>
      </c>
      <c r="S195" s="34">
        <v>8.3519998166399994</v>
      </c>
      <c r="T195" s="35">
        <v>8.2649998185499989</v>
      </c>
    </row>
    <row r="196" spans="1:21" ht="13">
      <c r="A196" s="12"/>
      <c r="B196" s="12"/>
      <c r="C196" s="1" t="s">
        <v>29</v>
      </c>
      <c r="D196" s="1" t="s">
        <v>65</v>
      </c>
      <c r="E196" s="35">
        <v>20.68</v>
      </c>
      <c r="F196" s="35">
        <v>20.9</v>
      </c>
      <c r="G196" s="35">
        <v>21.12</v>
      </c>
      <c r="H196" s="35">
        <v>21.34</v>
      </c>
      <c r="I196" s="35">
        <v>21.56</v>
      </c>
      <c r="J196" s="35">
        <v>21.78</v>
      </c>
      <c r="K196" s="31">
        <v>22</v>
      </c>
      <c r="L196" s="34">
        <v>21.78</v>
      </c>
      <c r="M196" s="34">
        <v>21.56</v>
      </c>
      <c r="N196" s="34">
        <v>21.34</v>
      </c>
      <c r="O196" s="34">
        <v>21.12</v>
      </c>
      <c r="P196" s="34">
        <v>20.9</v>
      </c>
      <c r="Q196" s="34">
        <v>20.68</v>
      </c>
      <c r="R196" s="34">
        <v>20.46</v>
      </c>
      <c r="S196" s="34">
        <v>20.239999999999998</v>
      </c>
      <c r="T196" s="35">
        <v>20.02</v>
      </c>
    </row>
    <row r="197" spans="1:21" ht="13">
      <c r="A197" s="12"/>
      <c r="B197" s="12"/>
      <c r="C197" s="1" t="s">
        <v>382</v>
      </c>
      <c r="D197" s="1" t="s">
        <v>245</v>
      </c>
      <c r="E197" s="31">
        <v>48</v>
      </c>
      <c r="F197" s="31">
        <v>47.400001529999997</v>
      </c>
      <c r="G197" s="31">
        <v>47.400001529999997</v>
      </c>
      <c r="H197" s="31">
        <v>47.400001529999997</v>
      </c>
      <c r="I197" s="34">
        <v>40.300001147499998</v>
      </c>
      <c r="J197" s="34">
        <v>33.200000764999999</v>
      </c>
      <c r="K197" s="34">
        <v>26.100000382499999</v>
      </c>
      <c r="L197" s="31">
        <v>19</v>
      </c>
      <c r="M197" s="34">
        <v>18.809999999999999</v>
      </c>
      <c r="N197" s="34">
        <v>18.62</v>
      </c>
      <c r="O197" s="34">
        <v>18.43</v>
      </c>
      <c r="P197" s="34">
        <v>18.240000000000002</v>
      </c>
      <c r="Q197" s="34">
        <v>18.05</v>
      </c>
      <c r="R197" s="34">
        <v>17.86</v>
      </c>
      <c r="S197" s="34">
        <v>17.670000000000002</v>
      </c>
      <c r="T197" s="35">
        <v>17.48</v>
      </c>
    </row>
    <row r="198" spans="1:21" ht="13">
      <c r="A198" s="12"/>
      <c r="B198" s="12"/>
      <c r="C198" s="1"/>
      <c r="D198" s="1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</row>
    <row r="199" spans="1:21" ht="13">
      <c r="A199" s="12"/>
      <c r="B199" s="12"/>
      <c r="C199" s="1"/>
      <c r="D199" s="24" t="s">
        <v>70</v>
      </c>
      <c r="E199" s="11">
        <v>48.757323899102602</v>
      </c>
      <c r="F199" s="11">
        <v>48.898847783578198</v>
      </c>
      <c r="G199" s="11">
        <v>48.996733792520601</v>
      </c>
      <c r="H199" s="11">
        <v>49.0043366252821</v>
      </c>
      <c r="I199" s="11">
        <v>48.9560504373285</v>
      </c>
      <c r="J199" s="11">
        <v>48.928074879677801</v>
      </c>
      <c r="K199" s="11">
        <v>48.989953568100603</v>
      </c>
      <c r="L199" s="11">
        <v>49.0769191492723</v>
      </c>
      <c r="M199" s="11">
        <v>49.020320208646901</v>
      </c>
      <c r="N199" s="11">
        <v>49.052029948666402</v>
      </c>
      <c r="O199" s="11">
        <v>49.188424924734697</v>
      </c>
      <c r="P199" s="11">
        <v>49.003871212949697</v>
      </c>
      <c r="Q199" s="11">
        <v>49.1229860924919</v>
      </c>
      <c r="R199" s="11">
        <v>49.235343770755001</v>
      </c>
      <c r="S199" s="11">
        <v>49.195794027546299</v>
      </c>
      <c r="T199" s="11">
        <v>49.2196978379515</v>
      </c>
      <c r="U199" s="11">
        <v>49.243601648356602</v>
      </c>
    </row>
    <row r="200" spans="1:21" ht="13">
      <c r="A200" s="12"/>
      <c r="B200" s="12"/>
      <c r="C200" s="1"/>
      <c r="D200" s="24" t="s">
        <v>268</v>
      </c>
      <c r="E200" s="11">
        <v>33.692193501945098</v>
      </c>
      <c r="F200" s="11">
        <v>33.525500483883498</v>
      </c>
      <c r="G200" s="11">
        <v>33.365697367472897</v>
      </c>
      <c r="H200" s="11">
        <v>33.341629949181801</v>
      </c>
      <c r="I200" s="11">
        <v>33.028150790346203</v>
      </c>
      <c r="J200" s="11">
        <v>33.0545957872556</v>
      </c>
      <c r="K200" s="11">
        <v>33.087590500393198</v>
      </c>
      <c r="L200" s="11">
        <v>33.065649555789001</v>
      </c>
      <c r="M200" s="11">
        <v>33.1671140415772</v>
      </c>
      <c r="N200" s="11">
        <v>33.177406270263603</v>
      </c>
      <c r="O200" s="11">
        <v>33.301995850517301</v>
      </c>
      <c r="P200" s="11">
        <v>33.3051840869039</v>
      </c>
      <c r="Q200" s="11">
        <v>33.360052592941898</v>
      </c>
      <c r="R200" s="11">
        <v>33.605842958063697</v>
      </c>
      <c r="S200" s="11">
        <v>33.968452304361797</v>
      </c>
      <c r="T200" s="11">
        <v>34.249566714679702</v>
      </c>
      <c r="U200" s="11">
        <v>34.563251050336802</v>
      </c>
    </row>
    <row r="201" spans="1:21" ht="13">
      <c r="A201" s="12"/>
      <c r="B201" s="12"/>
      <c r="C201" s="1"/>
      <c r="D201" s="24" t="s">
        <v>373</v>
      </c>
      <c r="E201" s="11">
        <f t="shared" ref="E201:U201" si="0">COUNT(E6:E197)</f>
        <v>179</v>
      </c>
      <c r="F201" s="11">
        <f t="shared" si="0"/>
        <v>179</v>
      </c>
      <c r="G201" s="11">
        <f t="shared" si="0"/>
        <v>179</v>
      </c>
      <c r="H201" s="11">
        <f t="shared" si="0"/>
        <v>179</v>
      </c>
      <c r="I201" s="11">
        <f t="shared" si="0"/>
        <v>179</v>
      </c>
      <c r="J201" s="11">
        <f t="shared" si="0"/>
        <v>179</v>
      </c>
      <c r="K201" s="11">
        <f t="shared" si="0"/>
        <v>179</v>
      </c>
      <c r="L201" s="11">
        <f t="shared" si="0"/>
        <v>179</v>
      </c>
      <c r="M201" s="11">
        <f t="shared" si="0"/>
        <v>179</v>
      </c>
      <c r="N201" s="11">
        <f t="shared" si="0"/>
        <v>179</v>
      </c>
      <c r="O201" s="11">
        <f t="shared" si="0"/>
        <v>179</v>
      </c>
      <c r="P201" s="11">
        <f t="shared" si="0"/>
        <v>179</v>
      </c>
      <c r="Q201" s="11">
        <f t="shared" si="0"/>
        <v>179</v>
      </c>
      <c r="R201" s="11">
        <f t="shared" si="0"/>
        <v>179</v>
      </c>
      <c r="S201" s="11">
        <f t="shared" si="0"/>
        <v>179</v>
      </c>
      <c r="T201" s="11">
        <f t="shared" si="0"/>
        <v>179</v>
      </c>
      <c r="U201" s="11">
        <f t="shared" si="0"/>
        <v>0</v>
      </c>
    </row>
    <row r="202" spans="1:21" ht="13">
      <c r="A202" s="12"/>
      <c r="B202" s="12"/>
      <c r="C202" s="1"/>
      <c r="D202" s="2" t="s">
        <v>236</v>
      </c>
      <c r="E202" s="4">
        <v>-3.1400049540188801</v>
      </c>
      <c r="F202" s="4">
        <v>0.80000001200000004</v>
      </c>
      <c r="G202" s="4">
        <v>0.80000001200000004</v>
      </c>
      <c r="H202" s="4">
        <v>0.80000001200000004</v>
      </c>
      <c r="I202" s="4">
        <v>0.80000001200000004</v>
      </c>
      <c r="J202" s="4">
        <v>0.80000001200000004</v>
      </c>
      <c r="K202" s="4">
        <v>0.80000001200000004</v>
      </c>
      <c r="L202" s="4">
        <v>0.80000001200000004</v>
      </c>
      <c r="M202" s="4">
        <v>0.80000001200000004</v>
      </c>
      <c r="N202" s="4">
        <v>0.80000001200000004</v>
      </c>
      <c r="O202" s="4">
        <v>0.80000001200000004</v>
      </c>
      <c r="P202" s="4">
        <v>0.80000001200000004</v>
      </c>
      <c r="Q202" s="4">
        <v>0.50857179225318005</v>
      </c>
      <c r="R202" s="4">
        <v>-3.2219178710929599</v>
      </c>
      <c r="S202" s="4">
        <v>-7.5547946777351198</v>
      </c>
      <c r="T202" s="4">
        <v>-11.8876714843791</v>
      </c>
      <c r="U202" s="4">
        <v>-16.2205482910231</v>
      </c>
    </row>
    <row r="203" spans="1:21" ht="13">
      <c r="A203" s="12"/>
      <c r="B203" s="12"/>
      <c r="C203" s="1"/>
      <c r="D203" s="2" t="s">
        <v>159</v>
      </c>
      <c r="E203" s="4">
        <v>130</v>
      </c>
      <c r="F203" s="4">
        <v>127</v>
      </c>
      <c r="G203" s="4">
        <v>124</v>
      </c>
      <c r="H203" s="4">
        <v>121</v>
      </c>
      <c r="I203" s="4">
        <v>118</v>
      </c>
      <c r="J203" s="4">
        <v>115</v>
      </c>
      <c r="K203" s="4">
        <v>112</v>
      </c>
      <c r="L203" s="4">
        <v>109</v>
      </c>
      <c r="M203" s="4">
        <v>106</v>
      </c>
      <c r="N203" s="4">
        <v>103</v>
      </c>
      <c r="O203" s="4">
        <v>100.649998134688</v>
      </c>
      <c r="P203" s="4">
        <v>101.09999784282</v>
      </c>
      <c r="Q203" s="4">
        <v>101.54999755095101</v>
      </c>
      <c r="R203" s="4">
        <v>101.999997259083</v>
      </c>
      <c r="S203" s="4">
        <v>106.393903459241</v>
      </c>
      <c r="T203" s="4">
        <v>107.86780613419</v>
      </c>
      <c r="U203" s="4">
        <v>109.34170880913901</v>
      </c>
    </row>
    <row r="204" spans="1:21" ht="13">
      <c r="A204" s="12"/>
      <c r="B204" s="12"/>
      <c r="C204" s="1"/>
      <c r="D204" s="2" t="s">
        <v>149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  <c r="J204" s="4">
        <v>0</v>
      </c>
      <c r="K204" s="4">
        <v>0</v>
      </c>
      <c r="L204" s="4">
        <v>0</v>
      </c>
      <c r="M204" s="4">
        <v>0</v>
      </c>
      <c r="N204" s="4">
        <v>0</v>
      </c>
      <c r="O204" s="4">
        <v>0</v>
      </c>
      <c r="P204" s="4">
        <v>0</v>
      </c>
      <c r="Q204" s="4">
        <v>0</v>
      </c>
      <c r="R204" s="4">
        <v>0</v>
      </c>
      <c r="S204" s="4">
        <v>0</v>
      </c>
      <c r="T204" s="4">
        <v>0</v>
      </c>
      <c r="U204" s="4">
        <v>0</v>
      </c>
    </row>
    <row r="205" spans="1:21" ht="13">
      <c r="A205" s="12"/>
      <c r="B205" s="12"/>
      <c r="C205" s="1"/>
      <c r="D205" s="2" t="s">
        <v>326</v>
      </c>
      <c r="E205" s="4">
        <v>100</v>
      </c>
      <c r="F205" s="4">
        <v>100</v>
      </c>
      <c r="G205" s="4">
        <v>100</v>
      </c>
      <c r="H205" s="4">
        <v>100</v>
      </c>
      <c r="I205" s="4">
        <v>100</v>
      </c>
      <c r="J205" s="4">
        <v>100</v>
      </c>
      <c r="K205" s="4">
        <v>100</v>
      </c>
      <c r="L205" s="4">
        <v>100</v>
      </c>
      <c r="M205" s="4">
        <v>100</v>
      </c>
      <c r="N205" s="4">
        <v>100</v>
      </c>
      <c r="O205" s="4">
        <v>100</v>
      </c>
      <c r="P205" s="4">
        <v>100</v>
      </c>
      <c r="Q205" s="4">
        <v>100</v>
      </c>
      <c r="R205" s="4">
        <v>100</v>
      </c>
      <c r="S205" s="4">
        <v>100</v>
      </c>
      <c r="T205" s="4">
        <v>100</v>
      </c>
      <c r="U205" s="4">
        <v>100</v>
      </c>
    </row>
  </sheetData>
  <mergeCells count="3">
    <mergeCell ref="A1:D1"/>
    <mergeCell ref="A2:D2"/>
    <mergeCell ref="A3:D3"/>
  </mergeCells>
  <conditionalFormatting sqref="A1:U5 A198:U201 A6:D197">
    <cfRule type="cellIs" dxfId="1" priority="1" operator="greaterThan">
      <formula>100</formula>
    </cfRule>
  </conditionalFormatting>
  <pageMargins left="0.75" right="0.75" top="1" bottom="1" header="0.5" footer="0.5"/>
  <pageSetup paperSize="9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AC206"/>
  <sheetViews>
    <sheetView workbookViewId="0">
      <pane xSplit="4" ySplit="5" topLeftCell="E122" activePane="bottomRight" state="frozen"/>
      <selection pane="topRight" activeCell="E1" sqref="E1"/>
      <selection pane="bottomLeft" activeCell="A6" sqref="A6"/>
      <selection pane="bottomRight" activeCell="A126" sqref="A126:XFD126"/>
    </sheetView>
  </sheetViews>
  <sheetFormatPr baseColWidth="10" defaultColWidth="17.1640625" defaultRowHeight="12.75" customHeight="1" x14ac:dyDescent="0"/>
  <cols>
    <col min="1" max="4" width="8.83203125" customWidth="1"/>
    <col min="5" max="19" width="11.5" customWidth="1"/>
    <col min="20" max="20" width="5" customWidth="1"/>
    <col min="21" max="21" width="8.83203125" customWidth="1"/>
    <col min="22" max="22" width="7" customWidth="1"/>
    <col min="23" max="23" width="8.6640625" customWidth="1"/>
  </cols>
  <sheetData>
    <row r="1" spans="1:29" ht="13">
      <c r="A1" s="40"/>
      <c r="B1" s="42"/>
      <c r="C1" s="42"/>
      <c r="D1" s="42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26"/>
      <c r="W1" s="27"/>
    </row>
    <row r="2" spans="1:29" ht="13">
      <c r="A2" s="40"/>
      <c r="B2" s="42"/>
      <c r="C2" s="42"/>
      <c r="D2" s="42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26"/>
      <c r="W2" s="27"/>
    </row>
    <row r="3" spans="1:29" ht="13">
      <c r="A3" s="40"/>
      <c r="B3" s="42"/>
      <c r="C3" s="42"/>
      <c r="D3" s="42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26"/>
      <c r="W3" s="27"/>
    </row>
    <row r="4" spans="1:29" ht="13">
      <c r="A4" s="8"/>
      <c r="B4" s="8"/>
      <c r="C4" s="8"/>
      <c r="D4" s="8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8"/>
      <c r="V4" s="26"/>
      <c r="W4" s="27"/>
    </row>
    <row r="5" spans="1:29" ht="36">
      <c r="A5" s="22"/>
      <c r="B5" s="22"/>
      <c r="C5" s="23" t="s">
        <v>130</v>
      </c>
      <c r="D5" s="23" t="s">
        <v>392</v>
      </c>
      <c r="E5" s="23">
        <v>1995</v>
      </c>
      <c r="F5" s="23">
        <v>1996</v>
      </c>
      <c r="G5" s="23">
        <v>1997</v>
      </c>
      <c r="H5" s="23">
        <v>1998</v>
      </c>
      <c r="I5" s="23">
        <v>1999</v>
      </c>
      <c r="J5" s="23">
        <v>2000</v>
      </c>
      <c r="K5" s="23">
        <v>2001</v>
      </c>
      <c r="L5" s="23">
        <v>2002</v>
      </c>
      <c r="M5" s="23">
        <v>2003</v>
      </c>
      <c r="N5" s="23">
        <v>2004</v>
      </c>
      <c r="O5" s="23">
        <v>2005</v>
      </c>
      <c r="P5" s="23">
        <v>2006</v>
      </c>
      <c r="Q5" s="23">
        <v>2007</v>
      </c>
      <c r="R5" s="23">
        <v>2008</v>
      </c>
      <c r="S5" s="23">
        <v>2009</v>
      </c>
      <c r="T5" s="23">
        <v>2010</v>
      </c>
      <c r="U5" s="23">
        <v>2011</v>
      </c>
      <c r="V5" s="28" t="s">
        <v>403</v>
      </c>
      <c r="W5" s="29" t="s">
        <v>404</v>
      </c>
      <c r="AA5" t="s">
        <v>405</v>
      </c>
      <c r="AB5" t="s">
        <v>406</v>
      </c>
      <c r="AC5" t="s">
        <v>407</v>
      </c>
    </row>
    <row r="6" spans="1:29" ht="13">
      <c r="A6" s="12"/>
      <c r="B6" s="12"/>
      <c r="C6" s="1" t="s">
        <v>276</v>
      </c>
      <c r="D6" s="1" t="s">
        <v>2</v>
      </c>
      <c r="E6" s="12">
        <f>MAX(0,MIN(1,((Input!E6-Input!E$204)/(Input!E$205-Input!E$204))))</f>
        <v>0.245</v>
      </c>
      <c r="F6" s="12">
        <f>MAX(0,MIN(1,((Input!F6-Input!F$204)/(Input!F$205-Input!F$204))))</f>
        <v>0.2475</v>
      </c>
      <c r="G6" s="12">
        <f>MAX(0,MIN(1,((Input!G6-Input!G$204)/(Input!G$205-Input!G$204))))</f>
        <v>0.25</v>
      </c>
      <c r="H6" s="12">
        <f>MAX(0,MIN(1,((Input!H6-Input!H$204)/(Input!H$205-Input!H$204))))</f>
        <v>0.26</v>
      </c>
      <c r="I6" s="12">
        <f>MAX(0,MIN(1,((Input!I6-Input!I$204)/(Input!I$205-Input!I$204))))</f>
        <v>0.27</v>
      </c>
      <c r="J6" s="12">
        <f>MAX(0,MIN(1,((Input!J6-Input!J$204)/(Input!J$205-Input!J$204))))</f>
        <v>0.27500000000000002</v>
      </c>
      <c r="K6" s="12">
        <f>MAX(0,MIN(1,((Input!K6-Input!K$204)/(Input!K$205-Input!K$204))))</f>
        <v>0.28000000000000003</v>
      </c>
      <c r="L6" s="12">
        <f>MAX(0,MIN(1,((Input!L6-Input!L$204)/(Input!L$205-Input!L$204))))</f>
        <v>0.26553333283333336</v>
      </c>
      <c r="M6" s="12">
        <f>MAX(0,MIN(1,((Input!M6-Input!M$204)/(Input!M$205-Input!M$204))))</f>
        <v>0.25106666566666663</v>
      </c>
      <c r="N6" s="12">
        <f>MAX(0,MIN(1,((Input!N6-Input!N$204)/(Input!N$205-Input!N$204))))</f>
        <v>0.23659999849999999</v>
      </c>
      <c r="O6" s="12">
        <f>MAX(0,MIN(1,((Input!O6-Input!O$204)/(Input!O$205-Input!O$204))))</f>
        <v>0.27459428790000001</v>
      </c>
      <c r="P6" s="12">
        <f>MAX(0,MIN(1,((Input!P6-Input!P$204)/(Input!P$205-Input!P$204))))</f>
        <v>0.29299999999999998</v>
      </c>
      <c r="Q6" s="12">
        <f>MAX(0,MIN(1,((Input!Q6-Input!Q$204)/(Input!Q$205-Input!Q$204))))</f>
        <v>0.29006999999999999</v>
      </c>
      <c r="R6" s="12">
        <f>MAX(0,MIN(1,((Input!R6-Input!R$204)/(Input!R$205-Input!R$204))))</f>
        <v>0.28714000000000001</v>
      </c>
      <c r="S6" s="12">
        <f>MAX(0,MIN(1,((Input!S6-Input!S$204)/(Input!S$205-Input!S$204))))</f>
        <v>0.28421000000000002</v>
      </c>
      <c r="T6" s="12">
        <f>MAX(0,MIN(1,((Input!T6-Input!T$204)/(Input!T$205-Input!T$204))))</f>
        <v>0.28127999999999997</v>
      </c>
      <c r="U6" s="12">
        <f>MAX(0,MIN(1,((Input!U6-Input!U$204)/(Input!U$205-Input!U$204))))</f>
        <v>0</v>
      </c>
      <c r="V6" s="26">
        <f>COUNT(Raw!E6:U6)</f>
        <v>6</v>
      </c>
      <c r="W6" s="27">
        <f t="shared" ref="W6:W37" si="0">COUNT(E6:U6)</f>
        <v>17</v>
      </c>
      <c r="AA6">
        <v>0.43726476663333413</v>
      </c>
      <c r="AB6">
        <v>2011</v>
      </c>
      <c r="AC6">
        <v>17</v>
      </c>
    </row>
    <row r="7" spans="1:29" ht="13">
      <c r="A7" s="12"/>
      <c r="B7" s="12"/>
      <c r="C7" s="1" t="s">
        <v>320</v>
      </c>
      <c r="D7" s="1" t="s">
        <v>108</v>
      </c>
      <c r="E7" s="12">
        <f>MAX(0,MIN(1,((Input!E7-Input!E$204)/(Input!E$205-Input!E$204))))</f>
        <v>0.39</v>
      </c>
      <c r="F7" s="12">
        <f>MAX(0,MIN(1,((Input!F7-Input!F$204)/(Input!F$205-Input!F$204))))</f>
        <v>0.39</v>
      </c>
      <c r="G7" s="12">
        <f>MAX(0,MIN(1,((Input!G7-Input!G$204)/(Input!G$205-Input!G$204))))</f>
        <v>0.39</v>
      </c>
      <c r="H7" s="12">
        <f>MAX(0,MIN(1,((Input!H7-Input!H$204)/(Input!H$205-Input!H$204))))</f>
        <v>0.39555555555555555</v>
      </c>
      <c r="I7" s="12">
        <f>MAX(0,MIN(1,((Input!I7-Input!I$204)/(Input!I$205-Input!I$204))))</f>
        <v>0.40111111111111114</v>
      </c>
      <c r="J7" s="12">
        <f>MAX(0,MIN(1,((Input!J7-Input!J$204)/(Input!J$205-Input!J$204))))</f>
        <v>0.40666666666666662</v>
      </c>
      <c r="K7" s="12">
        <f>MAX(0,MIN(1,((Input!K7-Input!K$204)/(Input!K$205-Input!K$204))))</f>
        <v>0.41222222222222221</v>
      </c>
      <c r="L7" s="12">
        <f>MAX(0,MIN(1,((Input!L7-Input!L$204)/(Input!L$205-Input!L$204))))</f>
        <v>0.4177777777777778</v>
      </c>
      <c r="M7" s="12">
        <f>MAX(0,MIN(1,((Input!M7-Input!M$204)/(Input!M$205-Input!M$204))))</f>
        <v>0.42333333333333334</v>
      </c>
      <c r="N7" s="12">
        <f>MAX(0,MIN(1,((Input!N7-Input!N$204)/(Input!N$205-Input!N$204))))</f>
        <v>0.42888888888888888</v>
      </c>
      <c r="O7" s="12">
        <f>MAX(0,MIN(1,((Input!O7-Input!O$204)/(Input!O$205-Input!O$204))))</f>
        <v>0.43444444444444441</v>
      </c>
      <c r="P7" s="12">
        <f>MAX(0,MIN(1,((Input!P7-Input!P$204)/(Input!P$205-Input!P$204))))</f>
        <v>0.44</v>
      </c>
      <c r="Q7" s="12">
        <f>MAX(0,MIN(1,((Input!Q7-Input!Q$204)/(Input!Q$205-Input!Q$204))))</f>
        <v>0.41969999999999996</v>
      </c>
      <c r="R7" s="12">
        <f>MAX(0,MIN(1,((Input!R7-Input!R$204)/(Input!R$205-Input!R$204))))</f>
        <v>0.39939999999999998</v>
      </c>
      <c r="S7" s="12">
        <f>MAX(0,MIN(1,((Input!S7-Input!S$204)/(Input!S$205-Input!S$204))))</f>
        <v>0.37910000000000005</v>
      </c>
      <c r="T7" s="12">
        <f>MAX(0,MIN(1,((Input!T7-Input!T$204)/(Input!T$205-Input!T$204))))</f>
        <v>0.35880000000000001</v>
      </c>
      <c r="U7" s="12">
        <f>MAX(0,MIN(1,((Input!U7-Input!U$204)/(Input!U$205-Input!U$204))))</f>
        <v>0</v>
      </c>
      <c r="V7" s="26">
        <f>COUNT(Raw!E7:U7)</f>
        <v>4</v>
      </c>
      <c r="W7" s="27">
        <f t="shared" si="0"/>
        <v>17</v>
      </c>
      <c r="AA7">
        <v>0.39</v>
      </c>
      <c r="AB7">
        <v>2011</v>
      </c>
      <c r="AC7">
        <v>17</v>
      </c>
    </row>
    <row r="8" spans="1:29" ht="13">
      <c r="A8" s="12"/>
      <c r="B8" s="12"/>
      <c r="C8" s="1" t="s">
        <v>52</v>
      </c>
      <c r="D8" s="1" t="s">
        <v>309</v>
      </c>
      <c r="E8" s="12">
        <f>MAX(0,MIN(1,((Input!E8-Input!E$204)/(Input!E$205-Input!E$204))))</f>
        <v>0.67522001499399986</v>
      </c>
      <c r="F8" s="12">
        <f>MAX(0,MIN(1,((Input!F8-Input!F$204)/(Input!F$205-Input!F$204))))</f>
        <v>0.68211001514699998</v>
      </c>
      <c r="G8" s="12">
        <f>MAX(0,MIN(1,((Input!G8-Input!G$204)/(Input!G$205-Input!G$204))))</f>
        <v>0.68900001529999999</v>
      </c>
      <c r="H8" s="12">
        <f>MAX(0,MIN(1,((Input!H8-Input!H$204)/(Input!H$205-Input!H$204))))</f>
        <v>0.68900001529999999</v>
      </c>
      <c r="I8" s="12">
        <f>MAX(0,MIN(1,((Input!I8-Input!I$204)/(Input!I$205-Input!I$204))))</f>
        <v>0.68900001529999999</v>
      </c>
      <c r="J8" s="12">
        <f>MAX(0,MIN(1,((Input!J8-Input!J$204)/(Input!J$205-Input!J$204))))</f>
        <v>0.68900001529999999</v>
      </c>
      <c r="K8" s="12">
        <f>MAX(0,MIN(1,((Input!K8-Input!K$204)/(Input!K$205-Input!K$204))))</f>
        <v>0.69225000385000002</v>
      </c>
      <c r="L8" s="12">
        <f>MAX(0,MIN(1,((Input!L8-Input!L$204)/(Input!L$205-Input!L$204))))</f>
        <v>0.69549999240000004</v>
      </c>
      <c r="M8" s="12">
        <f>MAX(0,MIN(1,((Input!M8-Input!M$204)/(Input!M$205-Input!M$204))))</f>
        <v>0.69874998094999996</v>
      </c>
      <c r="N8" s="12">
        <f>MAX(0,MIN(1,((Input!N8-Input!N$204)/(Input!N$205-Input!N$204))))</f>
        <v>0.70199996949999999</v>
      </c>
      <c r="O8" s="12">
        <f>MAX(0,MIN(1,((Input!O8-Input!O$204)/(Input!O$205-Input!O$204))))</f>
        <v>0.71014997712499994</v>
      </c>
      <c r="P8" s="12">
        <f>MAX(0,MIN(1,((Input!P8-Input!P$204)/(Input!P$205-Input!P$204))))</f>
        <v>0.71829998475000001</v>
      </c>
      <c r="Q8" s="12">
        <f>MAX(0,MIN(1,((Input!Q8-Input!Q$204)/(Input!Q$205-Input!Q$204))))</f>
        <v>0.72644999237500008</v>
      </c>
      <c r="R8" s="12">
        <f>MAX(0,MIN(1,((Input!R8-Input!R$204)/(Input!R$205-Input!R$204))))</f>
        <v>0.73459999999999992</v>
      </c>
      <c r="S8" s="12">
        <f>MAX(0,MIN(1,((Input!S8-Input!S$204)/(Input!S$205-Input!S$204))))</f>
        <v>0.72725399999999996</v>
      </c>
      <c r="T8" s="12">
        <f>MAX(0,MIN(1,((Input!T8-Input!T$204)/(Input!T$205-Input!T$204))))</f>
        <v>0.71990799999999988</v>
      </c>
      <c r="U8" s="12">
        <f>MAX(0,MIN(1,((Input!U8-Input!U$204)/(Input!U$205-Input!U$204))))</f>
        <v>0</v>
      </c>
      <c r="V8" s="26">
        <f>COUNT(Raw!E8:U8)</f>
        <v>6</v>
      </c>
      <c r="W8" s="27">
        <f t="shared" si="0"/>
        <v>17</v>
      </c>
      <c r="AA8">
        <v>0.73360651569738589</v>
      </c>
      <c r="AB8">
        <v>2011</v>
      </c>
      <c r="AC8">
        <v>17</v>
      </c>
    </row>
    <row r="9" spans="1:29" ht="13">
      <c r="A9" s="12"/>
      <c r="B9" s="12"/>
      <c r="C9" s="1" t="s">
        <v>353</v>
      </c>
      <c r="D9" s="1" t="s">
        <v>145</v>
      </c>
      <c r="E9" s="12">
        <f>MAX(0,MIN(1,((Input!E9-Input!E$204)/(Input!E$205-Input!E$204))))</f>
        <v>0</v>
      </c>
      <c r="F9" s="12">
        <f>MAX(0,MIN(1,((Input!F9-Input!F$204)/(Input!F$205-Input!F$204))))</f>
        <v>0</v>
      </c>
      <c r="G9" s="12">
        <f>MAX(0,MIN(1,((Input!G9-Input!G$204)/(Input!G$205-Input!G$204))))</f>
        <v>0</v>
      </c>
      <c r="H9" s="12">
        <f>MAX(0,MIN(1,((Input!H9-Input!H$204)/(Input!H$205-Input!H$204))))</f>
        <v>0</v>
      </c>
      <c r="I9" s="12">
        <f>MAX(0,MIN(1,((Input!I9-Input!I$204)/(Input!I$205-Input!I$204))))</f>
        <v>0</v>
      </c>
      <c r="J9" s="12">
        <f>MAX(0,MIN(1,((Input!J9-Input!J$204)/(Input!J$205-Input!J$204))))</f>
        <v>0</v>
      </c>
      <c r="K9" s="12">
        <f>MAX(0,MIN(1,((Input!K9-Input!K$204)/(Input!K$205-Input!K$204))))</f>
        <v>0</v>
      </c>
      <c r="L9" s="12">
        <f>MAX(0,MIN(1,((Input!L9-Input!L$204)/(Input!L$205-Input!L$204))))</f>
        <v>0</v>
      </c>
      <c r="M9" s="12">
        <f>MAX(0,MIN(1,((Input!M9-Input!M$204)/(Input!M$205-Input!M$204))))</f>
        <v>0</v>
      </c>
      <c r="N9" s="12">
        <f>MAX(0,MIN(1,((Input!N9-Input!N$204)/(Input!N$205-Input!N$204))))</f>
        <v>0</v>
      </c>
      <c r="O9" s="12">
        <f>MAX(0,MIN(1,((Input!O9-Input!O$204)/(Input!O$205-Input!O$204))))</f>
        <v>0</v>
      </c>
      <c r="P9" s="12">
        <f>MAX(0,MIN(1,((Input!P9-Input!P$204)/(Input!P$205-Input!P$204))))</f>
        <v>0</v>
      </c>
      <c r="Q9" s="12">
        <f>MAX(0,MIN(1,((Input!Q9-Input!Q$204)/(Input!Q$205-Input!Q$204))))</f>
        <v>0</v>
      </c>
      <c r="R9" s="12">
        <f>MAX(0,MIN(1,((Input!R9-Input!R$204)/(Input!R$205-Input!R$204))))</f>
        <v>0</v>
      </c>
      <c r="S9" s="12">
        <f>MAX(0,MIN(1,((Input!S9-Input!S$204)/(Input!S$205-Input!S$204))))</f>
        <v>0</v>
      </c>
      <c r="T9" s="12">
        <f>MAX(0,MIN(1,((Input!T9-Input!T$204)/(Input!T$205-Input!T$204))))</f>
        <v>0</v>
      </c>
      <c r="U9" s="12">
        <f>MAX(0,MIN(1,((Input!U9-Input!U$204)/(Input!U$205-Input!U$204))))</f>
        <v>0</v>
      </c>
      <c r="V9" s="26">
        <f>COUNT(Raw!E9:U9)</f>
        <v>13</v>
      </c>
      <c r="W9" s="27">
        <f t="shared" si="0"/>
        <v>17</v>
      </c>
      <c r="AA9" t="e">
        <v>#N/A</v>
      </c>
      <c r="AC9">
        <v>0</v>
      </c>
    </row>
    <row r="10" spans="1:29" ht="13">
      <c r="A10" s="12"/>
      <c r="B10" s="12"/>
      <c r="C10" s="1" t="s">
        <v>257</v>
      </c>
      <c r="D10" s="1" t="s">
        <v>222</v>
      </c>
      <c r="E10" s="12">
        <f>MAX(0,MIN(1,((Input!E10-Input!E$204)/(Input!E$205-Input!E$204))))</f>
        <v>9.9839996351999999E-2</v>
      </c>
      <c r="F10" s="12">
        <f>MAX(0,MIN(1,((Input!F10-Input!F$204)/(Input!F$205-Input!F$204))))</f>
        <v>0.10087999631399999</v>
      </c>
      <c r="G10" s="12">
        <f>MAX(0,MIN(1,((Input!G10-Input!G$204)/(Input!G$205-Input!G$204))))</f>
        <v>0.101919996276</v>
      </c>
      <c r="H10" s="12">
        <f>MAX(0,MIN(1,((Input!H10-Input!H$204)/(Input!H$205-Input!H$204))))</f>
        <v>0.10295999623799998</v>
      </c>
      <c r="I10" s="12">
        <f>MAX(0,MIN(1,((Input!I10-Input!I$204)/(Input!I$205-Input!I$204))))</f>
        <v>0.10399999619999999</v>
      </c>
      <c r="J10" s="12">
        <f>MAX(0,MIN(1,((Input!J10-Input!J$204)/(Input!J$205-Input!J$204))))</f>
        <v>0.10399999619999999</v>
      </c>
      <c r="K10" s="12">
        <f>MAX(0,MIN(1,((Input!K10-Input!K$204)/(Input!K$205-Input!K$204))))</f>
        <v>0.10399999619999999</v>
      </c>
      <c r="L10" s="12">
        <f>MAX(0,MIN(1,((Input!L10-Input!L$204)/(Input!L$205-Input!L$204))))</f>
        <v>0.10295999623799998</v>
      </c>
      <c r="M10" s="12">
        <f>MAX(0,MIN(1,((Input!M10-Input!M$204)/(Input!M$205-Input!M$204))))</f>
        <v>0.101919996276</v>
      </c>
      <c r="N10" s="12">
        <f>MAX(0,MIN(1,((Input!N10-Input!N$204)/(Input!N$205-Input!N$204))))</f>
        <v>0.10087999631399999</v>
      </c>
      <c r="O10" s="12">
        <f>MAX(0,MIN(1,((Input!O10-Input!O$204)/(Input!O$205-Input!O$204))))</f>
        <v>9.9839996351999999E-2</v>
      </c>
      <c r="P10" s="12">
        <f>MAX(0,MIN(1,((Input!P10-Input!P$204)/(Input!P$205-Input!P$204))))</f>
        <v>9.8799996389999992E-2</v>
      </c>
      <c r="Q10" s="12">
        <f>MAX(0,MIN(1,((Input!Q10-Input!Q$204)/(Input!Q$205-Input!Q$204))))</f>
        <v>9.7759996427999998E-2</v>
      </c>
      <c r="R10" s="12">
        <f>MAX(0,MIN(1,((Input!R10-Input!R$204)/(Input!R$205-Input!R$204))))</f>
        <v>9.6719996465999991E-2</v>
      </c>
      <c r="S10" s="12">
        <f>MAX(0,MIN(1,((Input!S10-Input!S$204)/(Input!S$205-Input!S$204))))</f>
        <v>9.5679996504000012E-2</v>
      </c>
      <c r="T10" s="12">
        <f>MAX(0,MIN(1,((Input!T10-Input!T$204)/(Input!T$205-Input!T$204))))</f>
        <v>9.4639996542000004E-2</v>
      </c>
      <c r="U10" s="12">
        <f>MAX(0,MIN(1,((Input!U10-Input!U$204)/(Input!U$205-Input!U$204))))</f>
        <v>0</v>
      </c>
      <c r="V10" s="26">
        <f>COUNT(Raw!E10:U10)</f>
        <v>3</v>
      </c>
      <c r="W10" s="27">
        <f t="shared" si="0"/>
        <v>17</v>
      </c>
      <c r="AA10">
        <v>0.10399999619999999</v>
      </c>
      <c r="AB10">
        <v>2011</v>
      </c>
      <c r="AC10">
        <v>17</v>
      </c>
    </row>
    <row r="11" spans="1:29" ht="13">
      <c r="A11" s="12"/>
      <c r="B11" s="12"/>
      <c r="C11" s="1" t="s">
        <v>22</v>
      </c>
      <c r="D11" s="1" t="s">
        <v>162</v>
      </c>
      <c r="E11" s="12">
        <f>MAX(0,MIN(1,((Input!E11-Input!E$204)/(Input!E$205-Input!E$204))))</f>
        <v>0.306527991444</v>
      </c>
      <c r="F11" s="12">
        <f>MAX(0,MIN(1,((Input!F11-Input!F$204)/(Input!F$205-Input!F$204))))</f>
        <v>0.30982399135200001</v>
      </c>
      <c r="G11" s="12">
        <f>MAX(0,MIN(1,((Input!G11-Input!G$204)/(Input!G$205-Input!G$204))))</f>
        <v>0.31311999126000001</v>
      </c>
      <c r="H11" s="12">
        <f>MAX(0,MIN(1,((Input!H11-Input!H$204)/(Input!H$205-Input!H$204))))</f>
        <v>0.31641599116800001</v>
      </c>
      <c r="I11" s="12">
        <f>MAX(0,MIN(1,((Input!I11-Input!I$204)/(Input!I$205-Input!I$204))))</f>
        <v>0.31971199107600001</v>
      </c>
      <c r="J11" s="12">
        <f>MAX(0,MIN(1,((Input!J11-Input!J$204)/(Input!J$205-Input!J$204))))</f>
        <v>0.32300799098400007</v>
      </c>
      <c r="K11" s="12">
        <f>MAX(0,MIN(1,((Input!K11-Input!K$204)/(Input!K$205-Input!K$204))))</f>
        <v>0.32630399089200002</v>
      </c>
      <c r="L11" s="12">
        <f>MAX(0,MIN(1,((Input!L11-Input!L$204)/(Input!L$205-Input!L$204))))</f>
        <v>0.32959999080000002</v>
      </c>
      <c r="M11" s="12">
        <f>MAX(0,MIN(1,((Input!M11-Input!M$204)/(Input!M$205-Input!M$204))))</f>
        <v>0.32630399089200002</v>
      </c>
      <c r="N11" s="12">
        <f>MAX(0,MIN(1,((Input!N11-Input!N$204)/(Input!N$205-Input!N$204))))</f>
        <v>0.32300799098400007</v>
      </c>
      <c r="O11" s="12">
        <f>MAX(0,MIN(1,((Input!O11-Input!O$204)/(Input!O$205-Input!O$204))))</f>
        <v>0.31971199107600001</v>
      </c>
      <c r="P11" s="12">
        <f>MAX(0,MIN(1,((Input!P11-Input!P$204)/(Input!P$205-Input!P$204))))</f>
        <v>0.31641599116800001</v>
      </c>
      <c r="Q11" s="12">
        <f>MAX(0,MIN(1,((Input!Q11-Input!Q$204)/(Input!Q$205-Input!Q$204))))</f>
        <v>0.31311999126000001</v>
      </c>
      <c r="R11" s="12">
        <f>MAX(0,MIN(1,((Input!R11-Input!R$204)/(Input!R$205-Input!R$204))))</f>
        <v>0.30982399135200006</v>
      </c>
      <c r="S11" s="12">
        <f>MAX(0,MIN(1,((Input!S11-Input!S$204)/(Input!S$205-Input!S$204))))</f>
        <v>0.306527991444</v>
      </c>
      <c r="T11" s="12">
        <f>MAX(0,MIN(1,((Input!T11-Input!T$204)/(Input!T$205-Input!T$204))))</f>
        <v>0.30323199153600006</v>
      </c>
      <c r="U11" s="12">
        <f>MAX(0,MIN(1,((Input!U11-Input!U$204)/(Input!U$205-Input!U$204))))</f>
        <v>0</v>
      </c>
      <c r="V11" s="26">
        <f>COUNT(Raw!E11:U11)</f>
        <v>1</v>
      </c>
      <c r="W11" s="27">
        <f t="shared" si="0"/>
        <v>17</v>
      </c>
      <c r="AA11">
        <v>0.24060799328399754</v>
      </c>
      <c r="AB11">
        <v>2011</v>
      </c>
      <c r="AC11">
        <v>17</v>
      </c>
    </row>
    <row r="12" spans="1:29" ht="13">
      <c r="A12" s="12"/>
      <c r="B12" s="12"/>
      <c r="C12" s="1" t="s">
        <v>11</v>
      </c>
      <c r="D12" s="1" t="s">
        <v>334</v>
      </c>
      <c r="E12" s="12">
        <f>MAX(0,MIN(1,((Input!E12-Input!E$204)/(Input!E$205-Input!E$204))))</f>
        <v>0.29100000380000002</v>
      </c>
      <c r="F12" s="12">
        <f>MAX(0,MIN(1,((Input!F12-Input!F$204)/(Input!F$205-Input!F$204))))</f>
        <v>0.29100000380000002</v>
      </c>
      <c r="G12" s="12">
        <f>MAX(0,MIN(1,((Input!G12-Input!G$204)/(Input!G$205-Input!G$204))))</f>
        <v>0.29499999999999998</v>
      </c>
      <c r="H12" s="12">
        <f>MAX(0,MIN(1,((Input!H12-Input!H$204)/(Input!H$205-Input!H$204))))</f>
        <v>0.29499999999999998</v>
      </c>
      <c r="I12" s="12">
        <f>MAX(0,MIN(1,((Input!I12-Input!I$204)/(Input!I$205-Input!I$204))))</f>
        <v>0.2939999962</v>
      </c>
      <c r="J12" s="12">
        <f>MAX(0,MIN(1,((Input!J12-Input!J$204)/(Input!J$205-Input!J$204))))</f>
        <v>0.2939999962</v>
      </c>
      <c r="K12" s="12">
        <f>MAX(0,MIN(1,((Input!K12-Input!K$204)/(Input!K$205-Input!K$204))))</f>
        <v>0.29599999746666666</v>
      </c>
      <c r="L12" s="12">
        <f>MAX(0,MIN(1,((Input!L12-Input!L$204)/(Input!L$205-Input!L$204))))</f>
        <v>0.29799999873333333</v>
      </c>
      <c r="M12" s="12">
        <f>MAX(0,MIN(1,((Input!M12-Input!M$204)/(Input!M$205-Input!M$204))))</f>
        <v>0.3</v>
      </c>
      <c r="N12" s="12">
        <f>MAX(0,MIN(1,((Input!N12-Input!N$204)/(Input!N$205-Input!N$204))))</f>
        <v>0.29699999999999999</v>
      </c>
      <c r="O12" s="12">
        <f>MAX(0,MIN(1,((Input!O12-Input!O$204)/(Input!O$205-Input!O$204))))</f>
        <v>0.29399999999999998</v>
      </c>
      <c r="P12" s="12">
        <f>MAX(0,MIN(1,((Input!P12-Input!P$204)/(Input!P$205-Input!P$204))))</f>
        <v>0.29099999999999998</v>
      </c>
      <c r="Q12" s="12">
        <f>MAX(0,MIN(1,((Input!Q12-Input!Q$204)/(Input!Q$205-Input!Q$204))))</f>
        <v>0.28800000000000003</v>
      </c>
      <c r="R12" s="12">
        <f>MAX(0,MIN(1,((Input!R12-Input!R$204)/(Input!R$205-Input!R$204))))</f>
        <v>0.28499999999999998</v>
      </c>
      <c r="S12" s="12">
        <f>MAX(0,MIN(1,((Input!S12-Input!S$204)/(Input!S$205-Input!S$204))))</f>
        <v>0.28199999999999997</v>
      </c>
      <c r="T12" s="12">
        <f>MAX(0,MIN(1,((Input!T12-Input!T$204)/(Input!T$205-Input!T$204))))</f>
        <v>0.27899999999999997</v>
      </c>
      <c r="U12" s="12">
        <f>MAX(0,MIN(1,((Input!U12-Input!U$204)/(Input!U$205-Input!U$204))))</f>
        <v>0</v>
      </c>
      <c r="V12" s="26">
        <f>COUNT(Raw!E12:U12)</f>
        <v>7</v>
      </c>
      <c r="W12" s="27">
        <f t="shared" si="0"/>
        <v>17</v>
      </c>
      <c r="AA12">
        <v>0.30699999109999992</v>
      </c>
      <c r="AB12">
        <v>2011</v>
      </c>
      <c r="AC12">
        <v>17</v>
      </c>
    </row>
    <row r="13" spans="1:29" ht="13">
      <c r="A13" s="12"/>
      <c r="B13" s="12"/>
      <c r="C13" s="1" t="s">
        <v>14</v>
      </c>
      <c r="D13" s="1" t="s">
        <v>43</v>
      </c>
      <c r="E13" s="12">
        <f>MAX(0,MIN(1,((Input!E13-Input!E$204)/(Input!E$205-Input!E$204))))</f>
        <v>0.9669999695</v>
      </c>
      <c r="F13" s="12">
        <f>MAX(0,MIN(1,((Input!F13-Input!F$204)/(Input!F$205-Input!F$204))))</f>
        <v>0.9669999695</v>
      </c>
      <c r="G13" s="12">
        <f>MAX(0,MIN(1,((Input!G13-Input!G$204)/(Input!G$205-Input!G$204))))</f>
        <v>0.96800003050000005</v>
      </c>
      <c r="H13" s="12">
        <f>MAX(0,MIN(1,((Input!H13-Input!H$204)/(Input!H$205-Input!H$204))))</f>
        <v>0.96800003050000005</v>
      </c>
      <c r="I13" s="12">
        <f>MAX(0,MIN(1,((Input!I13-Input!I$204)/(Input!I$205-Input!I$204))))</f>
        <v>0.95694001768000003</v>
      </c>
      <c r="J13" s="12">
        <f>MAX(0,MIN(1,((Input!J13-Input!J$204)/(Input!J$205-Input!J$204))))</f>
        <v>0.94588000486000001</v>
      </c>
      <c r="K13" s="12">
        <f>MAX(0,MIN(1,((Input!K13-Input!K$204)/(Input!K$205-Input!K$204))))</f>
        <v>0.93481999203999999</v>
      </c>
      <c r="L13" s="12">
        <f>MAX(0,MIN(1,((Input!L13-Input!L$204)/(Input!L$205-Input!L$204))))</f>
        <v>0.92375997921999997</v>
      </c>
      <c r="M13" s="12">
        <f>MAX(0,MIN(1,((Input!M13-Input!M$204)/(Input!M$205-Input!M$204))))</f>
        <v>0.91269996640000006</v>
      </c>
      <c r="N13" s="12">
        <f>MAX(0,MIN(1,((Input!N13-Input!N$204)/(Input!N$205-Input!N$204))))</f>
        <v>0.90120002749999994</v>
      </c>
      <c r="O13" s="12">
        <f>MAX(0,MIN(1,((Input!O13-Input!O$204)/(Input!O$205-Input!O$204))))</f>
        <v>0.89970001219999995</v>
      </c>
      <c r="P13" s="12">
        <f>MAX(0,MIN(1,((Input!P13-Input!P$204)/(Input!P$205-Input!P$204))))</f>
        <v>0.8897899628</v>
      </c>
      <c r="Q13" s="12">
        <f>MAX(0,MIN(1,((Input!Q13-Input!Q$204)/(Input!Q$205-Input!Q$204))))</f>
        <v>0.89040000000000008</v>
      </c>
      <c r="R13" s="12">
        <f>MAX(0,MIN(1,((Input!R13-Input!R$204)/(Input!R$205-Input!R$204))))</f>
        <v>0.9052</v>
      </c>
      <c r="S13" s="12">
        <f>MAX(0,MIN(1,((Input!S13-Input!S$204)/(Input!S$205-Input!S$204))))</f>
        <v>0.89614800000000006</v>
      </c>
      <c r="T13" s="12">
        <f>MAX(0,MIN(1,((Input!T13-Input!T$204)/(Input!T$205-Input!T$204))))</f>
        <v>0.887096</v>
      </c>
      <c r="U13" s="12">
        <f>MAX(0,MIN(1,((Input!U13-Input!U$204)/(Input!U$205-Input!U$204))))</f>
        <v>0</v>
      </c>
      <c r="V13" s="26">
        <f>COUNT(Raw!E13:U13)</f>
        <v>10</v>
      </c>
      <c r="W13" s="27">
        <f t="shared" si="0"/>
        <v>17</v>
      </c>
      <c r="AA13">
        <v>0.86398602849728146</v>
      </c>
      <c r="AB13">
        <v>2011</v>
      </c>
      <c r="AC13">
        <v>17</v>
      </c>
    </row>
    <row r="14" spans="1:29" ht="13">
      <c r="A14" s="12"/>
      <c r="B14" s="12"/>
      <c r="C14" s="1" t="s">
        <v>32</v>
      </c>
      <c r="D14" s="1" t="s">
        <v>385</v>
      </c>
      <c r="E14" s="12">
        <f>MAX(0,MIN(1,((Input!E14-Input!E$204)/(Input!E$205-Input!E$204))))</f>
        <v>0.38599998470000002</v>
      </c>
      <c r="F14" s="12">
        <f>MAX(0,MIN(1,((Input!F14-Input!F$204)/(Input!F$205-Input!F$204))))</f>
        <v>0.38700000760000003</v>
      </c>
      <c r="G14" s="12">
        <f>MAX(0,MIN(1,((Input!G14-Input!G$204)/(Input!G$205-Input!G$204))))</f>
        <v>0.38700000760000003</v>
      </c>
      <c r="H14" s="12">
        <f>MAX(0,MIN(1,((Input!H14-Input!H$204)/(Input!H$205-Input!H$204))))</f>
        <v>0.38700000760000003</v>
      </c>
      <c r="I14" s="12">
        <f>MAX(0,MIN(1,((Input!I14-Input!I$204)/(Input!I$205-Input!I$204))))</f>
        <v>0.383130007524</v>
      </c>
      <c r="J14" s="12">
        <f>MAX(0,MIN(1,((Input!J14-Input!J$204)/(Input!J$205-Input!J$204))))</f>
        <v>0.37926000744799998</v>
      </c>
      <c r="K14" s="12">
        <f>MAX(0,MIN(1,((Input!K14-Input!K$204)/(Input!K$205-Input!K$204))))</f>
        <v>0.37539000737200001</v>
      </c>
      <c r="L14" s="12">
        <f>MAX(0,MIN(1,((Input!L14-Input!L$204)/(Input!L$205-Input!L$204))))</f>
        <v>0.37152000729600004</v>
      </c>
      <c r="M14" s="12">
        <f>MAX(0,MIN(1,((Input!M14-Input!M$204)/(Input!M$205-Input!M$204))))</f>
        <v>0.36765000722000002</v>
      </c>
      <c r="N14" s="12">
        <f>MAX(0,MIN(1,((Input!N14-Input!N$204)/(Input!N$205-Input!N$204))))</f>
        <v>0.36378000714400005</v>
      </c>
      <c r="O14" s="12">
        <f>MAX(0,MIN(1,((Input!O14-Input!O$204)/(Input!O$205-Input!O$204))))</f>
        <v>0.35991000706800003</v>
      </c>
      <c r="P14" s="12">
        <f>MAX(0,MIN(1,((Input!P14-Input!P$204)/(Input!P$205-Input!P$204))))</f>
        <v>0.356040006992</v>
      </c>
      <c r="Q14" s="12">
        <f>MAX(0,MIN(1,((Input!Q14-Input!Q$204)/(Input!Q$205-Input!Q$204))))</f>
        <v>0.35217000691600009</v>
      </c>
      <c r="R14" s="12">
        <f>MAX(0,MIN(1,((Input!R14-Input!R$204)/(Input!R$205-Input!R$204))))</f>
        <v>0.34830000684000006</v>
      </c>
      <c r="S14" s="12">
        <f>MAX(0,MIN(1,((Input!S14-Input!S$204)/(Input!S$205-Input!S$204))))</f>
        <v>0.34443000676400004</v>
      </c>
      <c r="T14" s="12">
        <f>MAX(0,MIN(1,((Input!T14-Input!T$204)/(Input!T$205-Input!T$204))))</f>
        <v>0.34056000668800002</v>
      </c>
      <c r="U14" s="12">
        <f>MAX(0,MIN(1,((Input!U14-Input!U$204)/(Input!U$205-Input!U$204))))</f>
        <v>0</v>
      </c>
      <c r="V14" s="26">
        <f>COUNT(Raw!E14:U14)</f>
        <v>3</v>
      </c>
      <c r="W14" s="27">
        <f t="shared" si="0"/>
        <v>17</v>
      </c>
      <c r="AA14">
        <v>0.39085723878571427</v>
      </c>
      <c r="AB14">
        <v>2011</v>
      </c>
      <c r="AC14">
        <v>17</v>
      </c>
    </row>
    <row r="15" spans="1:29" ht="13">
      <c r="A15" s="12"/>
      <c r="B15" s="12"/>
      <c r="C15" s="1" t="s">
        <v>45</v>
      </c>
      <c r="D15" s="1" t="s">
        <v>330</v>
      </c>
      <c r="E15" s="12">
        <f>MAX(0,MIN(1,((Input!E15-Input!E$204)/(Input!E$205-Input!E$204))))</f>
        <v>1</v>
      </c>
      <c r="F15" s="12">
        <f>MAX(0,MIN(1,((Input!F15-Input!F$204)/(Input!F$205-Input!F$204))))</f>
        <v>1</v>
      </c>
      <c r="G15" s="12">
        <f>MAX(0,MIN(1,((Input!G15-Input!G$204)/(Input!G$205-Input!G$204))))</f>
        <v>1</v>
      </c>
      <c r="H15" s="12">
        <f>MAX(0,MIN(1,((Input!H15-Input!H$204)/(Input!H$205-Input!H$204))))</f>
        <v>1</v>
      </c>
      <c r="I15" s="12">
        <f>MAX(0,MIN(1,((Input!I15-Input!I$204)/(Input!I$205-Input!I$204))))</f>
        <v>0.96666666666666667</v>
      </c>
      <c r="J15" s="12">
        <f>MAX(0,MIN(1,((Input!J15-Input!J$204)/(Input!J$205-Input!J$204))))</f>
        <v>0.93333333333333324</v>
      </c>
      <c r="K15" s="12">
        <f>MAX(0,MIN(1,((Input!K15-Input!K$204)/(Input!K$205-Input!K$204))))</f>
        <v>0.9</v>
      </c>
      <c r="L15" s="12">
        <f>MAX(0,MIN(1,((Input!L15-Input!L$204)/(Input!L$205-Input!L$204))))</f>
        <v>1</v>
      </c>
      <c r="M15" s="12">
        <f>MAX(0,MIN(1,((Input!M15-Input!M$204)/(Input!M$205-Input!M$204))))</f>
        <v>0.8</v>
      </c>
      <c r="N15" s="12">
        <f>MAX(0,MIN(1,((Input!N15-Input!N$204)/(Input!N$205-Input!N$204))))</f>
        <v>0.9</v>
      </c>
      <c r="O15" s="12">
        <f>MAX(0,MIN(1,((Input!O15-Input!O$204)/(Input!O$205-Input!O$204))))</f>
        <v>1</v>
      </c>
      <c r="P15" s="12">
        <f>MAX(0,MIN(1,((Input!P15-Input!P$204)/(Input!P$205-Input!P$204))))</f>
        <v>1</v>
      </c>
      <c r="Q15" s="12">
        <f>MAX(0,MIN(1,((Input!Q15-Input!Q$204)/(Input!Q$205-Input!Q$204))))</f>
        <v>1</v>
      </c>
      <c r="R15" s="12">
        <f>MAX(0,MIN(1,((Input!R15-Input!R$204)/(Input!R$205-Input!R$204))))</f>
        <v>1</v>
      </c>
      <c r="S15" s="12">
        <f>MAX(0,MIN(1,((Input!S15-Input!S$204)/(Input!S$205-Input!S$204))))</f>
        <v>0.99</v>
      </c>
      <c r="T15" s="12">
        <f>MAX(0,MIN(1,((Input!T15-Input!T$204)/(Input!T$205-Input!T$204))))</f>
        <v>0.98</v>
      </c>
      <c r="U15" s="12">
        <f>MAX(0,MIN(1,((Input!U15-Input!U$204)/(Input!U$205-Input!U$204))))</f>
        <v>0</v>
      </c>
      <c r="V15" s="26">
        <f>COUNT(Raw!E15:U15)</f>
        <v>11</v>
      </c>
      <c r="W15" s="27">
        <f t="shared" si="0"/>
        <v>17</v>
      </c>
      <c r="AA15">
        <v>1</v>
      </c>
      <c r="AB15">
        <v>2011</v>
      </c>
      <c r="AC15">
        <v>17</v>
      </c>
    </row>
    <row r="16" spans="1:29" ht="13">
      <c r="A16" s="12"/>
      <c r="B16" s="12"/>
      <c r="C16" s="1" t="s">
        <v>87</v>
      </c>
      <c r="D16" s="1" t="s">
        <v>155</v>
      </c>
      <c r="E16" s="12">
        <f>MAX(0,MIN(1,((Input!E16-Input!E$204)/(Input!E$205-Input!E$204))))</f>
        <v>0.44944899444900005</v>
      </c>
      <c r="F16" s="12">
        <f>MAX(0,MIN(1,((Input!F16-Input!F$204)/(Input!F$205-Input!F$204))))</f>
        <v>0.45438799438799998</v>
      </c>
      <c r="G16" s="12">
        <f>MAX(0,MIN(1,((Input!G16-Input!G$204)/(Input!G$205-Input!G$204))))</f>
        <v>0.45932699432699997</v>
      </c>
      <c r="H16" s="12">
        <f>MAX(0,MIN(1,((Input!H16-Input!H$204)/(Input!H$205-Input!H$204))))</f>
        <v>0.46426599426600001</v>
      </c>
      <c r="I16" s="12">
        <f>MAX(0,MIN(1,((Input!I16-Input!I$204)/(Input!I$205-Input!I$204))))</f>
        <v>0.469204994205</v>
      </c>
      <c r="J16" s="12">
        <f>MAX(0,MIN(1,((Input!J16-Input!J$204)/(Input!J$205-Input!J$204))))</f>
        <v>0.47414399414399999</v>
      </c>
      <c r="K16" s="12">
        <f>MAX(0,MIN(1,((Input!K16-Input!K$204)/(Input!K$205-Input!K$204))))</f>
        <v>0.47908299408300004</v>
      </c>
      <c r="L16" s="12">
        <f>MAX(0,MIN(1,((Input!L16-Input!L$204)/(Input!L$205-Input!L$204))))</f>
        <v>0.48402199402199997</v>
      </c>
      <c r="M16" s="12">
        <f>MAX(0,MIN(1,((Input!M16-Input!M$204)/(Input!M$205-Input!M$204))))</f>
        <v>0.48896099396100001</v>
      </c>
      <c r="N16" s="12">
        <f>MAX(0,MIN(1,((Input!N16-Input!N$204)/(Input!N$205-Input!N$204))))</f>
        <v>0.4938999939</v>
      </c>
      <c r="O16" s="12">
        <f>MAX(0,MIN(1,((Input!O16-Input!O$204)/(Input!O$205-Input!O$204))))</f>
        <v>0.49996272785000001</v>
      </c>
      <c r="P16" s="12">
        <f>MAX(0,MIN(1,((Input!P16-Input!P$204)/(Input!P$205-Input!P$204))))</f>
        <v>0.50602546179999996</v>
      </c>
      <c r="Q16" s="12">
        <f>MAX(0,MIN(1,((Input!Q16-Input!Q$204)/(Input!Q$205-Input!Q$204))))</f>
        <v>0.50096520718199999</v>
      </c>
      <c r="R16" s="12">
        <f>MAX(0,MIN(1,((Input!R16-Input!R$204)/(Input!R$205-Input!R$204))))</f>
        <v>0.49590495256399997</v>
      </c>
      <c r="S16" s="12">
        <f>MAX(0,MIN(1,((Input!S16-Input!S$204)/(Input!S$205-Input!S$204))))</f>
        <v>0.49084469794599994</v>
      </c>
      <c r="T16" s="12">
        <f>MAX(0,MIN(1,((Input!T16-Input!T$204)/(Input!T$205-Input!T$204))))</f>
        <v>0.48578444332799997</v>
      </c>
      <c r="U16" s="12">
        <f>MAX(0,MIN(1,((Input!U16-Input!U$204)/(Input!U$205-Input!U$204))))</f>
        <v>0</v>
      </c>
      <c r="V16" s="26">
        <f>COUNT(Raw!E16:U16)</f>
        <v>2</v>
      </c>
      <c r="W16" s="27">
        <f t="shared" si="0"/>
        <v>17</v>
      </c>
      <c r="AA16">
        <v>0.53633913155000068</v>
      </c>
      <c r="AB16">
        <v>2011</v>
      </c>
      <c r="AC16">
        <v>17</v>
      </c>
    </row>
    <row r="17" spans="1:29" ht="13">
      <c r="A17" s="12"/>
      <c r="B17" s="12"/>
      <c r="C17" s="1" t="s">
        <v>256</v>
      </c>
      <c r="D17" s="1" t="s">
        <v>63</v>
      </c>
      <c r="E17" s="12">
        <f>MAX(0,MIN(1,((Input!E17-Input!E$204)/(Input!E$205-Input!E$204))))</f>
        <v>0.5740000153</v>
      </c>
      <c r="F17" s="12">
        <f>MAX(0,MIN(1,((Input!F17-Input!F$204)/(Input!F$205-Input!F$204))))</f>
        <v>0.5740000153</v>
      </c>
      <c r="G17" s="12">
        <f>MAX(0,MIN(1,((Input!G17-Input!G$204)/(Input!G$205-Input!G$204))))</f>
        <v>0.5740000153</v>
      </c>
      <c r="H17" s="12">
        <f>MAX(0,MIN(1,((Input!H17-Input!H$204)/(Input!H$205-Input!H$204))))</f>
        <v>0.5740000153</v>
      </c>
      <c r="I17" s="12">
        <f>MAX(0,MIN(1,((Input!I17-Input!I$204)/(Input!I$205-Input!I$204))))</f>
        <v>0.5740000153</v>
      </c>
      <c r="J17" s="12">
        <f>MAX(0,MIN(1,((Input!J17-Input!J$204)/(Input!J$205-Input!J$204))))</f>
        <v>0.5740000153</v>
      </c>
      <c r="K17" s="12">
        <f>MAX(0,MIN(1,((Input!K17-Input!K$204)/(Input!K$205-Input!K$204))))</f>
        <v>0.5740000153</v>
      </c>
      <c r="L17" s="12">
        <f>MAX(0,MIN(1,((Input!L17-Input!L$204)/(Input!L$205-Input!L$204))))</f>
        <v>0.56826001514699997</v>
      </c>
      <c r="M17" s="12">
        <f>MAX(0,MIN(1,((Input!M17-Input!M$204)/(Input!M$205-Input!M$204))))</f>
        <v>0.56252001499399995</v>
      </c>
      <c r="N17" s="12">
        <f>MAX(0,MIN(1,((Input!N17-Input!N$204)/(Input!N$205-Input!N$204))))</f>
        <v>0.55678001484100004</v>
      </c>
      <c r="O17" s="12">
        <f>MAX(0,MIN(1,((Input!O17-Input!O$204)/(Input!O$205-Input!O$204))))</f>
        <v>0.55104001468800001</v>
      </c>
      <c r="P17" s="12">
        <f>MAX(0,MIN(1,((Input!P17-Input!P$204)/(Input!P$205-Input!P$204))))</f>
        <v>0.54530001453499999</v>
      </c>
      <c r="Q17" s="12">
        <f>MAX(0,MIN(1,((Input!Q17-Input!Q$204)/(Input!Q$205-Input!Q$204))))</f>
        <v>0.53956001438199996</v>
      </c>
      <c r="R17" s="12">
        <f>MAX(0,MIN(1,((Input!R17-Input!R$204)/(Input!R$205-Input!R$204))))</f>
        <v>0.53382001422900005</v>
      </c>
      <c r="S17" s="12">
        <f>MAX(0,MIN(1,((Input!S17-Input!S$204)/(Input!S$205-Input!S$204))))</f>
        <v>0.52808001407600003</v>
      </c>
      <c r="T17" s="12">
        <f>MAX(0,MIN(1,((Input!T17-Input!T$204)/(Input!T$205-Input!T$204))))</f>
        <v>0.522340013923</v>
      </c>
      <c r="U17" s="12">
        <f>MAX(0,MIN(1,((Input!U17-Input!U$204)/(Input!U$205-Input!U$204))))</f>
        <v>0</v>
      </c>
      <c r="V17" s="26">
        <f>COUNT(Raw!E17:U17)</f>
        <v>7</v>
      </c>
      <c r="W17" s="27">
        <f t="shared" si="0"/>
        <v>17</v>
      </c>
      <c r="AA17">
        <v>0.5740000153</v>
      </c>
      <c r="AB17">
        <v>2011</v>
      </c>
      <c r="AC17">
        <v>17</v>
      </c>
    </row>
    <row r="18" spans="1:29" ht="13">
      <c r="A18" s="12"/>
      <c r="B18" s="12"/>
      <c r="C18" s="1" t="s">
        <v>252</v>
      </c>
      <c r="D18" s="1" t="s">
        <v>284</v>
      </c>
      <c r="E18" s="12">
        <f>MAX(0,MIN(1,((Input!E18-Input!E$204)/(Input!E$205-Input!E$204))))</f>
        <v>0.75042003019500003</v>
      </c>
      <c r="F18" s="12">
        <f>MAX(0,MIN(1,((Input!F18-Input!F$204)/(Input!F$205-Input!F$204))))</f>
        <v>0.75800003049999998</v>
      </c>
      <c r="G18" s="12">
        <f>MAX(0,MIN(1,((Input!G18-Input!G$204)/(Input!G$205-Input!G$204))))</f>
        <v>0.76500000000000001</v>
      </c>
      <c r="H18" s="12">
        <f>MAX(0,MIN(1,((Input!H18-Input!H$204)/(Input!H$205-Input!H$204))))</f>
        <v>0.76900001529999995</v>
      </c>
      <c r="I18" s="12">
        <f>MAX(0,MIN(1,((Input!I18-Input!I$204)/(Input!I$205-Input!I$204))))</f>
        <v>0.77400001529999995</v>
      </c>
      <c r="J18" s="12">
        <f>MAX(0,MIN(1,((Input!J18-Input!J$204)/(Input!J$205-Input!J$204))))</f>
        <v>0.77599998469999998</v>
      </c>
      <c r="K18" s="12">
        <f>MAX(0,MIN(1,((Input!K18-Input!K$204)/(Input!K$205-Input!K$204))))</f>
        <v>0.75300003049999997</v>
      </c>
      <c r="L18" s="12">
        <f>MAX(0,MIN(1,((Input!L18-Input!L$204)/(Input!L$205-Input!L$204))))</f>
        <v>0.78900001529999997</v>
      </c>
      <c r="M18" s="12">
        <f>MAX(0,MIN(1,((Input!M18-Input!M$204)/(Input!M$205-Input!M$204))))</f>
        <v>0.79129997250000006</v>
      </c>
      <c r="N18" s="12">
        <f>MAX(0,MIN(1,((Input!N18-Input!N$204)/(Input!N$205-Input!N$204))))</f>
        <v>0.79739106300000007</v>
      </c>
      <c r="O18" s="12">
        <f>MAX(0,MIN(1,((Input!O18-Input!O$204)/(Input!O$205-Input!O$204))))</f>
        <v>0.80312837110000002</v>
      </c>
      <c r="P18" s="12">
        <f>MAX(0,MIN(1,((Input!P18-Input!P$204)/(Input!P$205-Input!P$204))))</f>
        <v>0.80804627929999995</v>
      </c>
      <c r="Q18" s="12">
        <f>MAX(0,MIN(1,((Input!Q18-Input!Q$204)/(Input!Q$205-Input!Q$204))))</f>
        <v>0.81043884710000003</v>
      </c>
      <c r="R18" s="12">
        <f>MAX(0,MIN(1,((Input!R18-Input!R$204)/(Input!R$205-Input!R$204))))</f>
        <v>0.81481481479999995</v>
      </c>
      <c r="S18" s="12">
        <f>MAX(0,MIN(1,((Input!S18-Input!S$204)/(Input!S$205-Input!S$204))))</f>
        <v>0.80666666665199993</v>
      </c>
      <c r="T18" s="12">
        <f>MAX(0,MIN(1,((Input!T18-Input!T$204)/(Input!T$205-Input!T$204))))</f>
        <v>0.79851851850399991</v>
      </c>
      <c r="U18" s="12">
        <f>MAX(0,MIN(1,((Input!U18-Input!U$204)/(Input!U$205-Input!U$204))))</f>
        <v>0</v>
      </c>
      <c r="V18" s="26">
        <f>COUNT(Raw!E18:U18)</f>
        <v>13</v>
      </c>
      <c r="W18" s="27">
        <f t="shared" si="0"/>
        <v>17</v>
      </c>
      <c r="AA18">
        <v>0.82946312429285629</v>
      </c>
      <c r="AB18">
        <v>2011</v>
      </c>
      <c r="AC18">
        <v>17</v>
      </c>
    </row>
    <row r="19" spans="1:29" ht="13">
      <c r="A19" s="12"/>
      <c r="B19" s="12"/>
      <c r="C19" s="1" t="s">
        <v>225</v>
      </c>
      <c r="D19" s="1" t="s">
        <v>116</v>
      </c>
      <c r="E19" s="12">
        <f>MAX(0,MIN(1,((Input!E19-Input!E$204)/(Input!E$205-Input!E$204))))</f>
        <v>7.9000000949999996E-2</v>
      </c>
      <c r="F19" s="12">
        <f>MAX(0,MIN(1,((Input!F19-Input!F$204)/(Input!F$205-Input!F$204))))</f>
        <v>8.3999996190000009E-2</v>
      </c>
      <c r="G19" s="12">
        <f>MAX(0,MIN(1,((Input!G19-Input!G$204)/(Input!G$205-Input!G$204))))</f>
        <v>9.5000000000000001E-2</v>
      </c>
      <c r="H19" s="12">
        <f>MAX(0,MIN(1,((Input!H19-Input!H$204)/(Input!H$205-Input!H$204))))</f>
        <v>9.5299997329999997E-2</v>
      </c>
      <c r="I19" s="12">
        <f>MAX(0,MIN(1,((Input!I19-Input!I$204)/(Input!I$205-Input!I$204))))</f>
        <v>9.5299997329999997E-2</v>
      </c>
      <c r="J19" s="12">
        <f>MAX(0,MIN(1,((Input!J19-Input!J$204)/(Input!J$205-Input!J$204))))</f>
        <v>9.5299997329999997E-2</v>
      </c>
      <c r="K19" s="12">
        <f>MAX(0,MIN(1,((Input!K19-Input!K$204)/(Input!K$205-Input!K$204))))</f>
        <v>9.5199998220000012E-2</v>
      </c>
      <c r="L19" s="12">
        <f>MAX(0,MIN(1,((Input!L19-Input!L$204)/(Input!L$205-Input!L$204))))</f>
        <v>9.509999911E-2</v>
      </c>
      <c r="M19" s="12">
        <f>MAX(0,MIN(1,((Input!M19-Input!M$204)/(Input!M$205-Input!M$204))))</f>
        <v>9.5000000000000001E-2</v>
      </c>
      <c r="N19" s="12">
        <f>MAX(0,MIN(1,((Input!N19-Input!N$204)/(Input!N$205-Input!N$204))))</f>
        <v>9.4049999999999995E-2</v>
      </c>
      <c r="O19" s="12">
        <f>MAX(0,MIN(1,((Input!O19-Input!O$204)/(Input!O$205-Input!O$204))))</f>
        <v>9.3100000000000002E-2</v>
      </c>
      <c r="P19" s="12">
        <f>MAX(0,MIN(1,((Input!P19-Input!P$204)/(Input!P$205-Input!P$204))))</f>
        <v>9.2149999999999996E-2</v>
      </c>
      <c r="Q19" s="12">
        <f>MAX(0,MIN(1,((Input!Q19-Input!Q$204)/(Input!Q$205-Input!Q$204))))</f>
        <v>9.1199999999999989E-2</v>
      </c>
      <c r="R19" s="12">
        <f>MAX(0,MIN(1,((Input!R19-Input!R$204)/(Input!R$205-Input!R$204))))</f>
        <v>9.0249999999999983E-2</v>
      </c>
      <c r="S19" s="12">
        <f>MAX(0,MIN(1,((Input!S19-Input!S$204)/(Input!S$205-Input!S$204))))</f>
        <v>8.929999999999999E-2</v>
      </c>
      <c r="T19" s="12">
        <f>MAX(0,MIN(1,((Input!T19-Input!T$204)/(Input!T$205-Input!T$204))))</f>
        <v>8.8349999999999984E-2</v>
      </c>
      <c r="U19" s="12">
        <f>MAX(0,MIN(1,((Input!U19-Input!U$204)/(Input!U$205-Input!U$204))))</f>
        <v>0</v>
      </c>
      <c r="V19" s="26">
        <f>COUNT(Raw!E19:U19)</f>
        <v>7</v>
      </c>
      <c r="W19" s="27">
        <f t="shared" si="0"/>
        <v>17</v>
      </c>
      <c r="AA19">
        <v>0.11421151156572421</v>
      </c>
      <c r="AB19">
        <v>2011</v>
      </c>
      <c r="AC19">
        <v>17</v>
      </c>
    </row>
    <row r="20" spans="1:29" ht="13">
      <c r="A20" s="12"/>
      <c r="B20" s="12"/>
      <c r="C20" s="1" t="s">
        <v>401</v>
      </c>
      <c r="D20" s="1" t="s">
        <v>19</v>
      </c>
      <c r="E20" s="12">
        <f>MAX(0,MIN(1,((Input!E20-Input!E$204)/(Input!E$205-Input!E$204))))</f>
        <v>0.95800003050000004</v>
      </c>
      <c r="F20" s="12">
        <f>MAX(0,MIN(1,((Input!F20-Input!F$204)/(Input!F$205-Input!F$204))))</f>
        <v>0.95900001530000001</v>
      </c>
      <c r="G20" s="12">
        <f>MAX(0,MIN(1,((Input!G20-Input!G$204)/(Input!G$205-Input!G$204))))</f>
        <v>0.97250000000000003</v>
      </c>
      <c r="H20" s="12">
        <f>MAX(0,MIN(1,((Input!H20-Input!H$204)/(Input!H$205-Input!H$204))))</f>
        <v>0.98599998470000005</v>
      </c>
      <c r="I20" s="12">
        <f>MAX(0,MIN(1,((Input!I20-Input!I$204)/(Input!I$205-Input!I$204))))</f>
        <v>0.98599998470000005</v>
      </c>
      <c r="J20" s="12">
        <f>MAX(0,MIN(1,((Input!J20-Input!J$204)/(Input!J$205-Input!J$204))))</f>
        <v>0.98599998470000005</v>
      </c>
      <c r="K20" s="12">
        <f>MAX(0,MIN(1,((Input!K20-Input!K$204)/(Input!K$205-Input!K$204))))</f>
        <v>0.98599998470000005</v>
      </c>
      <c r="L20" s="12">
        <f>MAX(0,MIN(1,((Input!L20-Input!L$204)/(Input!L$205-Input!L$204))))</f>
        <v>0.98599998470000005</v>
      </c>
      <c r="M20" s="12">
        <f>MAX(0,MIN(1,((Input!M20-Input!M$204)/(Input!M$205-Input!M$204))))</f>
        <v>1</v>
      </c>
      <c r="N20" s="12">
        <f>MAX(0,MIN(1,((Input!N20-Input!N$204)/(Input!N$205-Input!N$204))))</f>
        <v>1</v>
      </c>
      <c r="O20" s="12">
        <f>MAX(0,MIN(1,((Input!O20-Input!O$204)/(Input!O$205-Input!O$204))))</f>
        <v>0.99</v>
      </c>
      <c r="P20" s="12">
        <f>MAX(0,MIN(1,((Input!P20-Input!P$204)/(Input!P$205-Input!P$204))))</f>
        <v>0.98</v>
      </c>
      <c r="Q20" s="12">
        <f>MAX(0,MIN(1,((Input!Q20-Input!Q$204)/(Input!Q$205-Input!Q$204))))</f>
        <v>0.97</v>
      </c>
      <c r="R20" s="12">
        <f>MAX(0,MIN(1,((Input!R20-Input!R$204)/(Input!R$205-Input!R$204))))</f>
        <v>0.96</v>
      </c>
      <c r="S20" s="12">
        <f>MAX(0,MIN(1,((Input!S20-Input!S$204)/(Input!S$205-Input!S$204))))</f>
        <v>0.95</v>
      </c>
      <c r="T20" s="12">
        <f>MAX(0,MIN(1,((Input!T20-Input!T$204)/(Input!T$205-Input!T$204))))</f>
        <v>0.94</v>
      </c>
      <c r="U20" s="12">
        <f>MAX(0,MIN(1,((Input!U20-Input!U$204)/(Input!U$205-Input!U$204))))</f>
        <v>0</v>
      </c>
      <c r="V20" s="26">
        <f>COUNT(Raw!E20:U20)</f>
        <v>9</v>
      </c>
      <c r="W20" s="27">
        <f t="shared" si="0"/>
        <v>17</v>
      </c>
      <c r="AA20">
        <v>1</v>
      </c>
      <c r="AB20">
        <v>2011</v>
      </c>
      <c r="AC20">
        <v>17</v>
      </c>
    </row>
    <row r="21" spans="1:29" ht="13">
      <c r="A21" s="12"/>
      <c r="B21" s="12"/>
      <c r="C21" s="1" t="s">
        <v>319</v>
      </c>
      <c r="D21" s="1" t="s">
        <v>169</v>
      </c>
      <c r="E21" s="12">
        <f>MAX(0,MIN(1,((Input!E21-Input!E$204)/(Input!E$205-Input!E$204))))</f>
        <v>0.98599998470000005</v>
      </c>
      <c r="F21" s="12">
        <f>MAX(0,MIN(1,((Input!F21-Input!F$204)/(Input!F$205-Input!F$204))))</f>
        <v>0.98800003049999996</v>
      </c>
      <c r="G21" s="12">
        <f>MAX(0,MIN(1,((Input!G21-Input!G$204)/(Input!G$205-Input!G$204))))</f>
        <v>0.98199996950000001</v>
      </c>
      <c r="H21" s="12">
        <f>MAX(0,MIN(1,((Input!H21-Input!H$204)/(Input!H$205-Input!H$204))))</f>
        <v>0.95599998470000003</v>
      </c>
      <c r="I21" s="12">
        <f>MAX(0,MIN(1,((Input!I21-Input!I$204)/(Input!I$205-Input!I$204))))</f>
        <v>0.93759999082000012</v>
      </c>
      <c r="J21" s="12">
        <f>MAX(0,MIN(1,((Input!J21-Input!J$204)/(Input!J$205-Input!J$204))))</f>
        <v>0.91919999693999999</v>
      </c>
      <c r="K21" s="12">
        <f>MAX(0,MIN(1,((Input!K21-Input!K$204)/(Input!K$205-Input!K$204))))</f>
        <v>0.90080000306000008</v>
      </c>
      <c r="L21" s="12">
        <f>MAX(0,MIN(1,((Input!L21-Input!L$204)/(Input!L$205-Input!L$204))))</f>
        <v>0.88240000917999994</v>
      </c>
      <c r="M21" s="12">
        <f>MAX(0,MIN(1,((Input!M21-Input!M$204)/(Input!M$205-Input!M$204))))</f>
        <v>0.86400001529999992</v>
      </c>
      <c r="N21" s="12">
        <f>MAX(0,MIN(1,((Input!N21-Input!N$204)/(Input!N$205-Input!N$204))))</f>
        <v>0.87</v>
      </c>
      <c r="O21" s="12">
        <f>MAX(0,MIN(1,((Input!O21-Input!O$204)/(Input!O$205-Input!O$204))))</f>
        <v>0.88639999390000002</v>
      </c>
      <c r="P21" s="12">
        <f>MAX(0,MIN(1,((Input!P21-Input!P$204)/(Input!P$205-Input!P$204))))</f>
        <v>0.87753599396100002</v>
      </c>
      <c r="Q21" s="12">
        <f>MAX(0,MIN(1,((Input!Q21-Input!Q$204)/(Input!Q$205-Input!Q$204))))</f>
        <v>0.86867199402200002</v>
      </c>
      <c r="R21" s="12">
        <f>MAX(0,MIN(1,((Input!R21-Input!R$204)/(Input!R$205-Input!R$204))))</f>
        <v>0.85980799408300002</v>
      </c>
      <c r="S21" s="12">
        <f>MAX(0,MIN(1,((Input!S21-Input!S$204)/(Input!S$205-Input!S$204))))</f>
        <v>0.85094399414400002</v>
      </c>
      <c r="T21" s="12">
        <f>MAX(0,MIN(1,((Input!T21-Input!T$204)/(Input!T$205-Input!T$204))))</f>
        <v>0.84207999420500002</v>
      </c>
      <c r="U21" s="12">
        <f>MAX(0,MIN(1,((Input!U21-Input!U$204)/(Input!U$205-Input!U$204))))</f>
        <v>0</v>
      </c>
      <c r="V21" s="26">
        <f>COUNT(Raw!E21:U21)</f>
        <v>7</v>
      </c>
      <c r="W21" s="27">
        <f t="shared" si="0"/>
        <v>17</v>
      </c>
      <c r="AA21">
        <v>0.78375470244696321</v>
      </c>
      <c r="AB21">
        <v>2011</v>
      </c>
      <c r="AC21">
        <v>17</v>
      </c>
    </row>
    <row r="22" spans="1:29" ht="13">
      <c r="A22" s="12"/>
      <c r="B22" s="12"/>
      <c r="C22" s="1" t="s">
        <v>219</v>
      </c>
      <c r="D22" s="1" t="s">
        <v>274</v>
      </c>
      <c r="E22" s="12">
        <f>MAX(0,MIN(1,((Input!E22-Input!E$204)/(Input!E$205-Input!E$204))))</f>
        <v>0.80699996949999997</v>
      </c>
      <c r="F22" s="12">
        <f>MAX(0,MIN(1,((Input!F22-Input!F$204)/(Input!F$205-Input!F$204))))</f>
        <v>0.80699996949999997</v>
      </c>
      <c r="G22" s="12">
        <f>MAX(0,MIN(1,((Input!G22-Input!G$204)/(Input!G$205-Input!G$204))))</f>
        <v>0.80699996949999997</v>
      </c>
      <c r="H22" s="12">
        <f>MAX(0,MIN(1,((Input!H22-Input!H$204)/(Input!H$205-Input!H$204))))</f>
        <v>0.78199996949999995</v>
      </c>
      <c r="I22" s="12">
        <f>MAX(0,MIN(1,((Input!I22-Input!I$204)/(Input!I$205-Input!I$204))))</f>
        <v>0.78199996949999995</v>
      </c>
      <c r="J22" s="12">
        <f>MAX(0,MIN(1,((Input!J22-Input!J$204)/(Input!J$205-Input!J$204))))</f>
        <v>0.78199996949999995</v>
      </c>
      <c r="K22" s="12">
        <f>MAX(0,MIN(1,((Input!K22-Input!K$204)/(Input!K$205-Input!K$204))))</f>
        <v>0.7830000305</v>
      </c>
      <c r="L22" s="12">
        <f>MAX(0,MIN(1,((Input!L22-Input!L$204)/(Input!L$205-Input!L$204))))</f>
        <v>0.78199996949999995</v>
      </c>
      <c r="M22" s="12">
        <f>MAX(0,MIN(1,((Input!M22-Input!M$204)/(Input!M$205-Input!M$204))))</f>
        <v>0.78</v>
      </c>
      <c r="N22" s="12">
        <f>MAX(0,MIN(1,((Input!N22-Input!N$204)/(Input!N$205-Input!N$204))))</f>
        <v>0.78</v>
      </c>
      <c r="O22" s="12">
        <f>MAX(0,MIN(1,((Input!O22-Input!O$204)/(Input!O$205-Input!O$204))))</f>
        <v>0.78211997990000004</v>
      </c>
      <c r="P22" s="12">
        <f>MAX(0,MIN(1,((Input!P22-Input!P$204)/(Input!P$205-Input!P$204))))</f>
        <v>0.78208000180000004</v>
      </c>
      <c r="Q22" s="12">
        <f>MAX(0,MIN(1,((Input!Q22-Input!Q$204)/(Input!Q$205-Input!Q$204))))</f>
        <v>0.78200000000000003</v>
      </c>
      <c r="R22" s="12">
        <f>MAX(0,MIN(1,((Input!R22-Input!R$204)/(Input!R$205-Input!R$204))))</f>
        <v>0.78200000000000003</v>
      </c>
      <c r="S22" s="12">
        <f>MAX(0,MIN(1,((Input!S22-Input!S$204)/(Input!S$205-Input!S$204))))</f>
        <v>0.77418000000000009</v>
      </c>
      <c r="T22" s="12">
        <f>MAX(0,MIN(1,((Input!T22-Input!T$204)/(Input!T$205-Input!T$204))))</f>
        <v>0.76635999999999993</v>
      </c>
      <c r="U22" s="12">
        <f>MAX(0,MIN(1,((Input!U22-Input!U$204)/(Input!U$205-Input!U$204))))</f>
        <v>0</v>
      </c>
      <c r="V22" s="26">
        <f>COUNT(Raw!E22:U22)</f>
        <v>14</v>
      </c>
      <c r="W22" s="27">
        <f t="shared" si="0"/>
        <v>17</v>
      </c>
      <c r="AA22">
        <v>0.76960950682087914</v>
      </c>
      <c r="AB22">
        <v>2011</v>
      </c>
      <c r="AC22">
        <v>17</v>
      </c>
    </row>
    <row r="23" spans="1:29" ht="13">
      <c r="A23" s="12"/>
      <c r="B23" s="12"/>
      <c r="C23" s="1" t="s">
        <v>322</v>
      </c>
      <c r="D23" s="1" t="s">
        <v>312</v>
      </c>
      <c r="E23" s="12">
        <f>MAX(0,MIN(1,((Input!E23-Input!E$204)/(Input!E$205-Input!E$204))))</f>
        <v>0.18809999999999999</v>
      </c>
      <c r="F23" s="12">
        <f>MAX(0,MIN(1,((Input!F23-Input!F$204)/(Input!F$205-Input!F$204))))</f>
        <v>0.19</v>
      </c>
      <c r="G23" s="12">
        <f>MAX(0,MIN(1,((Input!G23-Input!G$204)/(Input!G$205-Input!G$204))))</f>
        <v>0.16</v>
      </c>
      <c r="H23" s="12">
        <f>MAX(0,MIN(1,((Input!H23-Input!H$204)/(Input!H$205-Input!H$204))))</f>
        <v>0.17</v>
      </c>
      <c r="I23" s="12">
        <f>MAX(0,MIN(1,((Input!I23-Input!I$204)/(Input!I$205-Input!I$204))))</f>
        <v>0.17</v>
      </c>
      <c r="J23" s="12">
        <f>MAX(0,MIN(1,((Input!J23-Input!J$204)/(Input!J$205-Input!J$204))))</f>
        <v>0.17</v>
      </c>
      <c r="K23" s="12">
        <f>MAX(0,MIN(1,((Input!K23-Input!K$204)/(Input!K$205-Input!K$204))))</f>
        <v>0.17</v>
      </c>
      <c r="L23" s="12">
        <f>MAX(0,MIN(1,((Input!L23-Input!L$204)/(Input!L$205-Input!L$204))))</f>
        <v>0.16829999999999998</v>
      </c>
      <c r="M23" s="12">
        <f>MAX(0,MIN(1,((Input!M23-Input!M$204)/(Input!M$205-Input!M$204))))</f>
        <v>0.1666</v>
      </c>
      <c r="N23" s="12">
        <f>MAX(0,MIN(1,((Input!N23-Input!N$204)/(Input!N$205-Input!N$204))))</f>
        <v>0.16490000000000002</v>
      </c>
      <c r="O23" s="12">
        <f>MAX(0,MIN(1,((Input!O23-Input!O$204)/(Input!O$205-Input!O$204))))</f>
        <v>0.16320000000000001</v>
      </c>
      <c r="P23" s="12">
        <f>MAX(0,MIN(1,((Input!P23-Input!P$204)/(Input!P$205-Input!P$204))))</f>
        <v>0.16149999999999998</v>
      </c>
      <c r="Q23" s="12">
        <f>MAX(0,MIN(1,((Input!Q23-Input!Q$204)/(Input!Q$205-Input!Q$204))))</f>
        <v>0.1598</v>
      </c>
      <c r="R23" s="12">
        <f>MAX(0,MIN(1,((Input!R23-Input!R$204)/(Input!R$205-Input!R$204))))</f>
        <v>0.15810000000000002</v>
      </c>
      <c r="S23" s="12">
        <f>MAX(0,MIN(1,((Input!S23-Input!S$204)/(Input!S$205-Input!S$204))))</f>
        <v>0.15640000000000001</v>
      </c>
      <c r="T23" s="12">
        <f>MAX(0,MIN(1,((Input!T23-Input!T$204)/(Input!T$205-Input!T$204))))</f>
        <v>0.1547</v>
      </c>
      <c r="U23" s="12">
        <f>MAX(0,MIN(1,((Input!U23-Input!U$204)/(Input!U$205-Input!U$204))))</f>
        <v>0</v>
      </c>
      <c r="V23" s="26">
        <f>COUNT(Raw!E23:U23)</f>
        <v>6</v>
      </c>
      <c r="W23" s="27">
        <f t="shared" si="0"/>
        <v>17</v>
      </c>
      <c r="AA23">
        <v>0.14666666666666686</v>
      </c>
      <c r="AB23">
        <v>2011</v>
      </c>
      <c r="AC23">
        <v>17</v>
      </c>
    </row>
    <row r="24" spans="1:29" ht="13">
      <c r="A24" s="12"/>
      <c r="B24" s="12"/>
      <c r="C24" s="1" t="s">
        <v>218</v>
      </c>
      <c r="D24" s="1" t="s">
        <v>89</v>
      </c>
      <c r="E24" s="12">
        <f>MAX(0,MIN(1,((Input!E24-Input!E$204)/(Input!E$205-Input!E$204))))</f>
        <v>0.2</v>
      </c>
      <c r="F24" s="12">
        <f>MAX(0,MIN(1,((Input!F24-Input!F$204)/(Input!F$205-Input!F$204))))</f>
        <v>0.2</v>
      </c>
      <c r="G24" s="12">
        <f>MAX(0,MIN(1,((Input!G24-Input!G$204)/(Input!G$205-Input!G$204))))</f>
        <v>0.2</v>
      </c>
      <c r="H24" s="12">
        <f>MAX(0,MIN(1,((Input!H24-Input!H$204)/(Input!H$205-Input!H$204))))</f>
        <v>0.2</v>
      </c>
      <c r="I24" s="12">
        <f>MAX(0,MIN(1,((Input!I24-Input!I$204)/(Input!I$205-Input!I$204))))</f>
        <v>0.1825</v>
      </c>
      <c r="J24" s="12">
        <f>MAX(0,MIN(1,((Input!J24-Input!J$204)/(Input!J$205-Input!J$204))))</f>
        <v>0.16500000000000001</v>
      </c>
      <c r="K24" s="12">
        <f>MAX(0,MIN(1,((Input!K24-Input!K$204)/(Input!K$205-Input!K$204))))</f>
        <v>0.14749999999999999</v>
      </c>
      <c r="L24" s="12">
        <f>MAX(0,MIN(1,((Input!L24-Input!L$204)/(Input!L$205-Input!L$204))))</f>
        <v>0.13</v>
      </c>
      <c r="M24" s="12">
        <f>MAX(0,MIN(1,((Input!M24-Input!M$204)/(Input!M$205-Input!M$204))))</f>
        <v>0.1125</v>
      </c>
      <c r="N24" s="12">
        <f>MAX(0,MIN(1,((Input!N24-Input!N$204)/(Input!N$205-Input!N$204))))</f>
        <v>9.5000000000000001E-2</v>
      </c>
      <c r="O24" s="12">
        <f>MAX(0,MIN(1,((Input!O24-Input!O$204)/(Input!O$205-Input!O$204))))</f>
        <v>9.4049999999999995E-2</v>
      </c>
      <c r="P24" s="12">
        <f>MAX(0,MIN(1,((Input!P24-Input!P$204)/(Input!P$205-Input!P$204))))</f>
        <v>9.3100000000000002E-2</v>
      </c>
      <c r="Q24" s="12">
        <f>MAX(0,MIN(1,((Input!Q24-Input!Q$204)/(Input!Q$205-Input!Q$204))))</f>
        <v>9.2149999999999996E-2</v>
      </c>
      <c r="R24" s="12">
        <f>MAX(0,MIN(1,((Input!R24-Input!R$204)/(Input!R$205-Input!R$204))))</f>
        <v>9.1199999999999989E-2</v>
      </c>
      <c r="S24" s="12">
        <f>MAX(0,MIN(1,((Input!S24-Input!S$204)/(Input!S$205-Input!S$204))))</f>
        <v>9.0249999999999997E-2</v>
      </c>
      <c r="T24" s="12">
        <f>MAX(0,MIN(1,((Input!T24-Input!T$204)/(Input!T$205-Input!T$204))))</f>
        <v>8.929999999999999E-2</v>
      </c>
      <c r="U24" s="12">
        <f>MAX(0,MIN(1,((Input!U24-Input!U$204)/(Input!U$205-Input!U$204))))</f>
        <v>0</v>
      </c>
      <c r="V24" s="26">
        <f>COUNT(Raw!E24:U24)</f>
        <v>5</v>
      </c>
      <c r="W24" s="27">
        <f t="shared" si="0"/>
        <v>17</v>
      </c>
      <c r="AA24">
        <v>1.5199999999999818E-2</v>
      </c>
      <c r="AB24">
        <v>2011</v>
      </c>
      <c r="AC24">
        <v>17</v>
      </c>
    </row>
    <row r="25" spans="1:29" ht="13">
      <c r="A25" s="12"/>
      <c r="B25" s="12"/>
      <c r="C25" s="1" t="s">
        <v>0</v>
      </c>
      <c r="D25" s="1" t="s">
        <v>379</v>
      </c>
      <c r="E25" s="12">
        <f>MAX(0,MIN(1,((Input!E25-Input!E$204)/(Input!E$205-Input!E$204))))</f>
        <v>0.63700000759999997</v>
      </c>
      <c r="F25" s="12">
        <f>MAX(0,MIN(1,((Input!F25-Input!F$204)/(Input!F$205-Input!F$204))))</f>
        <v>0.60700000760000006</v>
      </c>
      <c r="G25" s="12">
        <f>MAX(0,MIN(1,((Input!G25-Input!G$204)/(Input!G$205-Input!G$204))))</f>
        <v>0.60700000760000006</v>
      </c>
      <c r="H25" s="12">
        <f>MAX(0,MIN(1,((Input!H25-Input!H$204)/(Input!H$205-Input!H$204))))</f>
        <v>0.60916667300000005</v>
      </c>
      <c r="I25" s="12">
        <f>MAX(0,MIN(1,((Input!I25-Input!I$204)/(Input!I$205-Input!I$204))))</f>
        <v>0.61133333840000004</v>
      </c>
      <c r="J25" s="12">
        <f>MAX(0,MIN(1,((Input!J25-Input!J$204)/(Input!J$205-Input!J$204))))</f>
        <v>0.61350000380000003</v>
      </c>
      <c r="K25" s="12">
        <f>MAX(0,MIN(1,((Input!K25-Input!K$204)/(Input!K$205-Input!K$204))))</f>
        <v>0.61566666920000002</v>
      </c>
      <c r="L25" s="12">
        <f>MAX(0,MIN(1,((Input!L25-Input!L$204)/(Input!L$205-Input!L$204))))</f>
        <v>0.61783333460000001</v>
      </c>
      <c r="M25" s="12">
        <f>MAX(0,MIN(1,((Input!M25-Input!M$204)/(Input!M$205-Input!M$204))))</f>
        <v>0.62</v>
      </c>
      <c r="N25" s="12">
        <f>MAX(0,MIN(1,((Input!N25-Input!N$204)/(Input!N$205-Input!N$204))))</f>
        <v>0.6137999999999999</v>
      </c>
      <c r="O25" s="12">
        <f>MAX(0,MIN(1,((Input!O25-Input!O$204)/(Input!O$205-Input!O$204))))</f>
        <v>0.60760000000000003</v>
      </c>
      <c r="P25" s="12">
        <f>MAX(0,MIN(1,((Input!P25-Input!P$204)/(Input!P$205-Input!P$204))))</f>
        <v>0.60140000000000005</v>
      </c>
      <c r="Q25" s="12">
        <f>MAX(0,MIN(1,((Input!Q25-Input!Q$204)/(Input!Q$205-Input!Q$204))))</f>
        <v>0.59519999999999995</v>
      </c>
      <c r="R25" s="12">
        <f>MAX(0,MIN(1,((Input!R25-Input!R$204)/(Input!R$205-Input!R$204))))</f>
        <v>0.58899999999999997</v>
      </c>
      <c r="S25" s="12">
        <f>MAX(0,MIN(1,((Input!S25-Input!S$204)/(Input!S$205-Input!S$204))))</f>
        <v>0.58279999999999998</v>
      </c>
      <c r="T25" s="12">
        <f>MAX(0,MIN(1,((Input!T25-Input!T$204)/(Input!T$205-Input!T$204))))</f>
        <v>0.5766</v>
      </c>
      <c r="U25" s="12">
        <f>MAX(0,MIN(1,((Input!U25-Input!U$204)/(Input!U$205-Input!U$204))))</f>
        <v>0</v>
      </c>
      <c r="V25" s="26">
        <f>COUNT(Raw!E25:U25)</f>
        <v>4</v>
      </c>
      <c r="W25" s="27">
        <f t="shared" si="0"/>
        <v>17</v>
      </c>
      <c r="AA25">
        <v>0.612877411411613</v>
      </c>
      <c r="AB25">
        <v>2011</v>
      </c>
      <c r="AC25">
        <v>17</v>
      </c>
    </row>
    <row r="26" spans="1:29" ht="13">
      <c r="A26" s="12"/>
      <c r="B26" s="12"/>
      <c r="C26" s="1" t="s">
        <v>349</v>
      </c>
      <c r="D26" s="1" t="s">
        <v>93</v>
      </c>
      <c r="E26" s="12">
        <f>MAX(0,MIN(1,((Input!E26-Input!E$204)/(Input!E$205-Input!E$204))))</f>
        <v>5.5E-2</v>
      </c>
      <c r="F26" s="12">
        <f>MAX(0,MIN(1,((Input!F26-Input!F$204)/(Input!F$205-Input!F$204))))</f>
        <v>5.5E-2</v>
      </c>
      <c r="G26" s="12">
        <f>MAX(0,MIN(1,((Input!G26-Input!G$204)/(Input!G$205-Input!G$204))))</f>
        <v>5.6999998090000004E-2</v>
      </c>
      <c r="H26" s="12">
        <f>MAX(0,MIN(1,((Input!H26-Input!H$204)/(Input!H$205-Input!H$204))))</f>
        <v>0.06</v>
      </c>
      <c r="I26" s="12">
        <f>MAX(0,MIN(1,((Input!I26-Input!I$204)/(Input!I$205-Input!I$204))))</f>
        <v>6.4000000949999997E-2</v>
      </c>
      <c r="J26" s="12">
        <f>MAX(0,MIN(1,((Input!J26-Input!J$204)/(Input!J$205-Input!J$204))))</f>
        <v>6.5999999049999994E-2</v>
      </c>
      <c r="K26" s="12">
        <f>MAX(0,MIN(1,((Input!K26-Input!K$204)/(Input!K$205-Input!K$204))))</f>
        <v>6.6999998089999999E-2</v>
      </c>
      <c r="L26" s="12">
        <f>MAX(0,MIN(1,((Input!L26-Input!L$204)/(Input!L$205-Input!L$204))))</f>
        <v>6.6999998089999999E-2</v>
      </c>
      <c r="M26" s="12">
        <f>MAX(0,MIN(1,((Input!M26-Input!M$204)/(Input!M$205-Input!M$204))))</f>
        <v>7.0000000000000007E-2</v>
      </c>
      <c r="N26" s="12">
        <f>MAX(0,MIN(1,((Input!N26-Input!N$204)/(Input!N$205-Input!N$204))))</f>
        <v>7.0000000000000007E-2</v>
      </c>
      <c r="O26" s="12">
        <f>MAX(0,MIN(1,((Input!O26-Input!O$204)/(Input!O$205-Input!O$204))))</f>
        <v>6.93E-2</v>
      </c>
      <c r="P26" s="12">
        <f>MAX(0,MIN(1,((Input!P26-Input!P$204)/(Input!P$205-Input!P$204))))</f>
        <v>6.8600000000000008E-2</v>
      </c>
      <c r="Q26" s="12">
        <f>MAX(0,MIN(1,((Input!Q26-Input!Q$204)/(Input!Q$205-Input!Q$204))))</f>
        <v>6.7900000000000002E-2</v>
      </c>
      <c r="R26" s="12">
        <f>MAX(0,MIN(1,((Input!R26-Input!R$204)/(Input!R$205-Input!R$204))))</f>
        <v>6.7199999999999996E-2</v>
      </c>
      <c r="S26" s="12">
        <f>MAX(0,MIN(1,((Input!S26-Input!S$204)/(Input!S$205-Input!S$204))))</f>
        <v>6.6500000000000004E-2</v>
      </c>
      <c r="T26" s="12">
        <f>MAX(0,MIN(1,((Input!T26-Input!T$204)/(Input!T$205-Input!T$204))))</f>
        <v>6.5799999999999997E-2</v>
      </c>
      <c r="U26" s="12">
        <f>MAX(0,MIN(1,((Input!U26-Input!U$204)/(Input!U$205-Input!U$204))))</f>
        <v>0</v>
      </c>
      <c r="V26" s="26">
        <f>COUNT(Raw!E26:U26)</f>
        <v>10</v>
      </c>
      <c r="W26" s="27">
        <f t="shared" si="0"/>
        <v>17</v>
      </c>
      <c r="AA26">
        <v>8.4915150410363363E-2</v>
      </c>
      <c r="AB26">
        <v>2011</v>
      </c>
      <c r="AC26">
        <v>17</v>
      </c>
    </row>
    <row r="27" spans="1:29" ht="13">
      <c r="A27" s="12"/>
      <c r="B27" s="12"/>
      <c r="C27" s="1" t="s">
        <v>277</v>
      </c>
      <c r="D27" s="1" t="s">
        <v>186</v>
      </c>
      <c r="E27" s="12">
        <f>MAX(0,MIN(1,((Input!E27-Input!E$204)/(Input!E$205-Input!E$204))))</f>
        <v>0.52299999239999995</v>
      </c>
      <c r="F27" s="12">
        <f>MAX(0,MIN(1,((Input!F27-Input!F$204)/(Input!F$205-Input!F$204))))</f>
        <v>0.52299999239999995</v>
      </c>
      <c r="G27" s="12">
        <f>MAX(0,MIN(1,((Input!G27-Input!G$204)/(Input!G$205-Input!G$204))))</f>
        <v>0.52299999239999995</v>
      </c>
      <c r="H27" s="12">
        <f>MAX(0,MIN(1,((Input!H27-Input!H$204)/(Input!H$205-Input!H$204))))</f>
        <v>0.52299999239999995</v>
      </c>
      <c r="I27" s="12">
        <f>MAX(0,MIN(1,((Input!I27-Input!I$204)/(Input!I$205-Input!I$204))))</f>
        <v>0.52299999239999995</v>
      </c>
      <c r="J27" s="12">
        <f>MAX(0,MIN(1,((Input!J27-Input!J$204)/(Input!J$205-Input!J$204))))</f>
        <v>0.52299999239999995</v>
      </c>
      <c r="K27" s="12">
        <f>MAX(0,MIN(1,((Input!K27-Input!K$204)/(Input!K$205-Input!K$204))))</f>
        <v>0.52299999239999995</v>
      </c>
      <c r="L27" s="12">
        <f>MAX(0,MIN(1,((Input!L27-Input!L$204)/(Input!L$205-Input!L$204))))</f>
        <v>0.52299999239999995</v>
      </c>
      <c r="M27" s="12">
        <f>MAX(0,MIN(1,((Input!M27-Input!M$204)/(Input!M$205-Input!M$204))))</f>
        <v>0.52299999239999995</v>
      </c>
      <c r="N27" s="12">
        <f>MAX(0,MIN(1,((Input!N27-Input!N$204)/(Input!N$205-Input!N$204))))</f>
        <v>0.52299999239999995</v>
      </c>
      <c r="O27" s="12">
        <f>MAX(0,MIN(1,((Input!O27-Input!O$204)/(Input!O$205-Input!O$204))))</f>
        <v>0.52299999239999995</v>
      </c>
      <c r="P27" s="12">
        <f>MAX(0,MIN(1,((Input!P27-Input!P$204)/(Input!P$205-Input!P$204))))</f>
        <v>0.51776999247599997</v>
      </c>
      <c r="Q27" s="12">
        <f>MAX(0,MIN(1,((Input!Q27-Input!Q$204)/(Input!Q$205-Input!Q$204))))</f>
        <v>0.512539992552</v>
      </c>
      <c r="R27" s="12">
        <f>MAX(0,MIN(1,((Input!R27-Input!R$204)/(Input!R$205-Input!R$204))))</f>
        <v>0.50730999262800003</v>
      </c>
      <c r="S27" s="12">
        <f>MAX(0,MIN(1,((Input!S27-Input!S$204)/(Input!S$205-Input!S$204))))</f>
        <v>0.50207999270400006</v>
      </c>
      <c r="T27" s="12">
        <f>MAX(0,MIN(1,((Input!T27-Input!T$204)/(Input!T$205-Input!T$204))))</f>
        <v>0.49684999277999997</v>
      </c>
      <c r="U27" s="12">
        <f>MAX(0,MIN(1,((Input!U27-Input!U$204)/(Input!U$205-Input!U$204))))</f>
        <v>0</v>
      </c>
      <c r="V27" s="26">
        <f>COUNT(Raw!E27:U27)</f>
        <v>6</v>
      </c>
      <c r="W27" s="27">
        <f t="shared" si="0"/>
        <v>17</v>
      </c>
      <c r="AA27">
        <v>0.52299999239999995</v>
      </c>
      <c r="AB27">
        <v>2011</v>
      </c>
      <c r="AC27">
        <v>17</v>
      </c>
    </row>
    <row r="28" spans="1:29" ht="13">
      <c r="A28" s="12"/>
      <c r="B28" s="12"/>
      <c r="C28" s="1" t="s">
        <v>42</v>
      </c>
      <c r="D28" s="1" t="s">
        <v>167</v>
      </c>
      <c r="E28" s="12">
        <f>MAX(0,MIN(1,((Input!E28-Input!E$204)/(Input!E$205-Input!E$204))))</f>
        <v>0.32828999293200001</v>
      </c>
      <c r="F28" s="12">
        <f>MAX(0,MIN(1,((Input!F28-Input!F$204)/(Input!F$205-Input!F$204))))</f>
        <v>0.331819992856</v>
      </c>
      <c r="G28" s="12">
        <f>MAX(0,MIN(1,((Input!G28-Input!G$204)/(Input!G$205-Input!G$204))))</f>
        <v>0.33534999277999999</v>
      </c>
      <c r="H28" s="12">
        <f>MAX(0,MIN(1,((Input!H28-Input!H$204)/(Input!H$205-Input!H$204))))</f>
        <v>0.33887999270400004</v>
      </c>
      <c r="I28" s="12">
        <f>MAX(0,MIN(1,((Input!I28-Input!I$204)/(Input!I$205-Input!I$204))))</f>
        <v>0.34240999262799998</v>
      </c>
      <c r="J28" s="12">
        <f>MAX(0,MIN(1,((Input!J28-Input!J$204)/(Input!J$205-Input!J$204))))</f>
        <v>0.34593999255199998</v>
      </c>
      <c r="K28" s="12">
        <f>MAX(0,MIN(1,((Input!K28-Input!K$204)/(Input!K$205-Input!K$204))))</f>
        <v>0.34946999247599997</v>
      </c>
      <c r="L28" s="12">
        <f>MAX(0,MIN(1,((Input!L28-Input!L$204)/(Input!L$205-Input!L$204))))</f>
        <v>0.35299999239999996</v>
      </c>
      <c r="M28" s="12">
        <f>MAX(0,MIN(1,((Input!M28-Input!M$204)/(Input!M$205-Input!M$204))))</f>
        <v>0.35139999389999999</v>
      </c>
      <c r="N28" s="12">
        <f>MAX(0,MIN(1,((Input!N28-Input!N$204)/(Input!N$205-Input!N$204))))</f>
        <v>0.33200000760000004</v>
      </c>
      <c r="O28" s="12">
        <f>MAX(0,MIN(1,((Input!O28-Input!O$204)/(Input!O$205-Input!O$204))))</f>
        <v>0.32599998470000002</v>
      </c>
      <c r="P28" s="12">
        <f>MAX(0,MIN(1,((Input!P28-Input!P$204)/(Input!P$205-Input!P$204))))</f>
        <v>0.32273998485300004</v>
      </c>
      <c r="Q28" s="12">
        <f>MAX(0,MIN(1,((Input!Q28-Input!Q$204)/(Input!Q$205-Input!Q$204))))</f>
        <v>0.319479985006</v>
      </c>
      <c r="R28" s="12">
        <f>MAX(0,MIN(1,((Input!R28-Input!R$204)/(Input!R$205-Input!R$204))))</f>
        <v>0.31621998515900002</v>
      </c>
      <c r="S28" s="12">
        <f>MAX(0,MIN(1,((Input!S28-Input!S$204)/(Input!S$205-Input!S$204))))</f>
        <v>0.31295998531200003</v>
      </c>
      <c r="T28" s="12">
        <f>MAX(0,MIN(1,((Input!T28-Input!T$204)/(Input!T$205-Input!T$204))))</f>
        <v>0.30969998546499999</v>
      </c>
      <c r="U28" s="12">
        <f>MAX(0,MIN(1,((Input!U28-Input!U$204)/(Input!U$205-Input!U$204))))</f>
        <v>0</v>
      </c>
      <c r="V28" s="26">
        <f>COUNT(Raw!E28:U28)</f>
        <v>4</v>
      </c>
      <c r="W28" s="27">
        <f t="shared" si="0"/>
        <v>17</v>
      </c>
      <c r="AA28">
        <v>0.26529998759999901</v>
      </c>
      <c r="AB28">
        <v>2011</v>
      </c>
      <c r="AC28">
        <v>17</v>
      </c>
    </row>
    <row r="29" spans="1:29" ht="13">
      <c r="A29" s="12"/>
      <c r="B29" s="12"/>
      <c r="C29" s="1" t="s">
        <v>400</v>
      </c>
      <c r="D29" s="1" t="s">
        <v>367</v>
      </c>
      <c r="E29" s="12">
        <f>MAX(0,MIN(1,((Input!E29-Input!E$204)/(Input!E$205-Input!E$204))))</f>
        <v>8.8999996190000014E-2</v>
      </c>
      <c r="F29" s="12">
        <f>MAX(0,MIN(1,((Input!F29-Input!F$204)/(Input!F$205-Input!F$204))))</f>
        <v>9.3000001910000005E-2</v>
      </c>
      <c r="G29" s="12">
        <f>MAX(0,MIN(1,((Input!G29-Input!G$204)/(Input!G$205-Input!G$204))))</f>
        <v>9.1000003809999994E-2</v>
      </c>
      <c r="H29" s="12">
        <f>MAX(0,MIN(1,((Input!H29-Input!H$204)/(Input!H$205-Input!H$204))))</f>
        <v>9.6000003809999998E-2</v>
      </c>
      <c r="I29" s="12">
        <f>MAX(0,MIN(1,((Input!I29-Input!I$204)/(Input!I$205-Input!I$204))))</f>
        <v>5.5999999049999999E-2</v>
      </c>
      <c r="J29" s="12">
        <f>MAX(0,MIN(1,((Input!J29-Input!J$204)/(Input!J$205-Input!J$204))))</f>
        <v>5.5E-2</v>
      </c>
      <c r="K29" s="12">
        <f>MAX(0,MIN(1,((Input!K29-Input!K$204)/(Input!K$205-Input!K$204))))</f>
        <v>5.4450000000000005E-2</v>
      </c>
      <c r="L29" s="12">
        <f>MAX(0,MIN(1,((Input!L29-Input!L$204)/(Input!L$205-Input!L$204))))</f>
        <v>5.3899999999999997E-2</v>
      </c>
      <c r="M29" s="12">
        <f>MAX(0,MIN(1,((Input!M29-Input!M$204)/(Input!M$205-Input!M$204))))</f>
        <v>5.3350000000000002E-2</v>
      </c>
      <c r="N29" s="12">
        <f>MAX(0,MIN(1,((Input!N29-Input!N$204)/(Input!N$205-Input!N$204))))</f>
        <v>5.28E-2</v>
      </c>
      <c r="O29" s="12">
        <f>MAX(0,MIN(1,((Input!O29-Input!O$204)/(Input!O$205-Input!O$204))))</f>
        <v>5.2249999999999998E-2</v>
      </c>
      <c r="P29" s="12">
        <f>MAX(0,MIN(1,((Input!P29-Input!P$204)/(Input!P$205-Input!P$204))))</f>
        <v>5.1699999999999996E-2</v>
      </c>
      <c r="Q29" s="12">
        <f>MAX(0,MIN(1,((Input!Q29-Input!Q$204)/(Input!Q$205-Input!Q$204))))</f>
        <v>5.1150000000000001E-2</v>
      </c>
      <c r="R29" s="12">
        <f>MAX(0,MIN(1,((Input!R29-Input!R$204)/(Input!R$205-Input!R$204))))</f>
        <v>5.0600000000000006E-2</v>
      </c>
      <c r="S29" s="12">
        <f>MAX(0,MIN(1,((Input!S29-Input!S$204)/(Input!S$205-Input!S$204))))</f>
        <v>5.0049999999999997E-2</v>
      </c>
      <c r="T29" s="12">
        <f>MAX(0,MIN(1,((Input!T29-Input!T$204)/(Input!T$205-Input!T$204))))</f>
        <v>4.9500000000000002E-2</v>
      </c>
      <c r="U29" s="12">
        <f>MAX(0,MIN(1,((Input!U29-Input!U$204)/(Input!U$205-Input!U$204))))</f>
        <v>0</v>
      </c>
      <c r="V29" s="26">
        <f>COUNT(Raw!E29:U29)</f>
        <v>6</v>
      </c>
      <c r="W29" s="27">
        <f t="shared" si="0"/>
        <v>17</v>
      </c>
      <c r="AA29">
        <v>5.0857179225704385E-3</v>
      </c>
      <c r="AB29">
        <v>2007</v>
      </c>
      <c r="AC29">
        <v>17</v>
      </c>
    </row>
    <row r="30" spans="1:29" ht="13">
      <c r="A30" s="12"/>
      <c r="B30" s="12"/>
      <c r="C30" s="1" t="s">
        <v>395</v>
      </c>
      <c r="D30" s="1" t="s">
        <v>154</v>
      </c>
      <c r="E30" s="12">
        <f>MAX(0,MIN(1,((Input!E30-Input!E$204)/(Input!E$205-Input!E$204))))</f>
        <v>0.34599998470000004</v>
      </c>
      <c r="F30" s="12">
        <f>MAX(0,MIN(1,((Input!F30-Input!F$204)/(Input!F$205-Input!F$204))))</f>
        <v>0.34649999614999999</v>
      </c>
      <c r="G30" s="12">
        <f>MAX(0,MIN(1,((Input!G30-Input!G$204)/(Input!G$205-Input!G$204))))</f>
        <v>0.34700000759999999</v>
      </c>
      <c r="H30" s="12">
        <f>MAX(0,MIN(1,((Input!H30-Input!H$204)/(Input!H$205-Input!H$204))))</f>
        <v>0.34700000759999999</v>
      </c>
      <c r="I30" s="12">
        <f>MAX(0,MIN(1,((Input!I30-Input!I$204)/(Input!I$205-Input!I$204))))</f>
        <v>0.34700000759999999</v>
      </c>
      <c r="J30" s="12">
        <f>MAX(0,MIN(1,((Input!J30-Input!J$204)/(Input!J$205-Input!J$204))))</f>
        <v>0.34700000759999999</v>
      </c>
      <c r="K30" s="12">
        <f>MAX(0,MIN(1,((Input!K30-Input!K$204)/(Input!K$205-Input!K$204))))</f>
        <v>0.4320600128</v>
      </c>
      <c r="L30" s="12">
        <f>MAX(0,MIN(1,((Input!L30-Input!L$204)/(Input!L$205-Input!L$204))))</f>
        <v>0.51712001800000007</v>
      </c>
      <c r="M30" s="12">
        <f>MAX(0,MIN(1,((Input!M30-Input!M$204)/(Input!M$205-Input!M$204))))</f>
        <v>0.60218002319999997</v>
      </c>
      <c r="N30" s="12">
        <f>MAX(0,MIN(1,((Input!N30-Input!N$204)/(Input!N$205-Input!N$204))))</f>
        <v>0.68724002839999998</v>
      </c>
      <c r="O30" s="12">
        <f>MAX(0,MIN(1,((Input!O30-Input!O$204)/(Input!O$205-Input!O$204))))</f>
        <v>0.77230003359999999</v>
      </c>
      <c r="P30" s="12">
        <f>MAX(0,MIN(1,((Input!P30-Input!P$204)/(Input!P$205-Input!P$204))))</f>
        <v>0.76457703326399995</v>
      </c>
      <c r="Q30" s="12">
        <f>MAX(0,MIN(1,((Input!Q30-Input!Q$204)/(Input!Q$205-Input!Q$204))))</f>
        <v>0.75685403292799991</v>
      </c>
      <c r="R30" s="12">
        <f>MAX(0,MIN(1,((Input!R30-Input!R$204)/(Input!R$205-Input!R$204))))</f>
        <v>0.74913103259199998</v>
      </c>
      <c r="S30" s="12">
        <f>MAX(0,MIN(1,((Input!S30-Input!S$204)/(Input!S$205-Input!S$204))))</f>
        <v>0.74140803225599994</v>
      </c>
      <c r="T30" s="12">
        <f>MAX(0,MIN(1,((Input!T30-Input!T$204)/(Input!T$205-Input!T$204))))</f>
        <v>0.7336850319199999</v>
      </c>
      <c r="U30" s="12">
        <f>MAX(0,MIN(1,((Input!U30-Input!U$204)/(Input!U$205-Input!U$204))))</f>
        <v>0</v>
      </c>
      <c r="V30" s="26">
        <f>COUNT(Raw!E30:U30)</f>
        <v>6</v>
      </c>
      <c r="W30" s="27">
        <f t="shared" si="0"/>
        <v>17</v>
      </c>
      <c r="AA30">
        <v>0.94650293290746046</v>
      </c>
      <c r="AB30">
        <v>2011</v>
      </c>
      <c r="AC30">
        <v>17</v>
      </c>
    </row>
    <row r="31" spans="1:29" ht="13">
      <c r="A31" s="12"/>
      <c r="B31" s="12"/>
      <c r="C31" s="1" t="s">
        <v>243</v>
      </c>
      <c r="D31" s="1" t="s">
        <v>121</v>
      </c>
      <c r="E31" s="12">
        <f>MAX(0,MIN(1,((Input!E31-Input!E$204)/(Input!E$205-Input!E$204))))</f>
        <v>0.92</v>
      </c>
      <c r="F31" s="12">
        <f>MAX(0,MIN(1,((Input!F31-Input!F$204)/(Input!F$205-Input!F$204))))</f>
        <v>0.92</v>
      </c>
      <c r="G31" s="12">
        <f>MAX(0,MIN(1,((Input!G31-Input!G$204)/(Input!G$205-Input!G$204))))</f>
        <v>0.92</v>
      </c>
      <c r="H31" s="12">
        <f>MAX(0,MIN(1,((Input!H31-Input!H$204)/(Input!H$205-Input!H$204))))</f>
        <v>0.9209999847</v>
      </c>
      <c r="I31" s="12">
        <f>MAX(0,MIN(1,((Input!I31-Input!I$204)/(Input!I$205-Input!I$204))))</f>
        <v>0.92999998907142856</v>
      </c>
      <c r="J31" s="12">
        <f>MAX(0,MIN(1,((Input!J31-Input!J$204)/(Input!J$205-Input!J$204))))</f>
        <v>0.93899999344285723</v>
      </c>
      <c r="K31" s="12">
        <f>MAX(0,MIN(1,((Input!K31-Input!K$204)/(Input!K$205-Input!K$204))))</f>
        <v>0.94799999781428568</v>
      </c>
      <c r="L31" s="12">
        <f>MAX(0,MIN(1,((Input!L31-Input!L$204)/(Input!L$205-Input!L$204))))</f>
        <v>0.95700000218571435</v>
      </c>
      <c r="M31" s="12">
        <f>MAX(0,MIN(1,((Input!M31-Input!M$204)/(Input!M$205-Input!M$204))))</f>
        <v>0.9660000065571428</v>
      </c>
      <c r="N31" s="12">
        <f>MAX(0,MIN(1,((Input!N31-Input!N$204)/(Input!N$205-Input!N$204))))</f>
        <v>0.97500001092857147</v>
      </c>
      <c r="O31" s="12">
        <f>MAX(0,MIN(1,((Input!O31-Input!O$204)/(Input!O$205-Input!O$204))))</f>
        <v>0.98400001529999992</v>
      </c>
      <c r="P31" s="12">
        <f>MAX(0,MIN(1,((Input!P31-Input!P$204)/(Input!P$205-Input!P$204))))</f>
        <v>0.97416001514700001</v>
      </c>
      <c r="Q31" s="12">
        <f>MAX(0,MIN(1,((Input!Q31-Input!Q$204)/(Input!Q$205-Input!Q$204))))</f>
        <v>0.964320014994</v>
      </c>
      <c r="R31" s="12">
        <f>MAX(0,MIN(1,((Input!R31-Input!R$204)/(Input!R$205-Input!R$204))))</f>
        <v>0.95448001484099987</v>
      </c>
      <c r="S31" s="12">
        <f>MAX(0,MIN(1,((Input!S31-Input!S$204)/(Input!S$205-Input!S$204))))</f>
        <v>0.94464001468799996</v>
      </c>
      <c r="T31" s="12">
        <f>MAX(0,MIN(1,((Input!T31-Input!T$204)/(Input!T$205-Input!T$204))))</f>
        <v>0.93480001453499995</v>
      </c>
      <c r="U31" s="12">
        <f>MAX(0,MIN(1,((Input!U31-Input!U$204)/(Input!U$205-Input!U$204))))</f>
        <v>0</v>
      </c>
      <c r="V31" s="26">
        <f>COUNT(Raw!E31:U31)</f>
        <v>5</v>
      </c>
      <c r="W31" s="27">
        <f t="shared" si="0"/>
        <v>17</v>
      </c>
      <c r="AA31">
        <v>1</v>
      </c>
      <c r="AB31">
        <v>2011</v>
      </c>
      <c r="AC31">
        <v>17</v>
      </c>
    </row>
    <row r="32" spans="1:29" ht="13">
      <c r="A32" s="12"/>
      <c r="B32" s="12"/>
      <c r="C32" s="1" t="s">
        <v>214</v>
      </c>
      <c r="D32" s="1" t="s">
        <v>209</v>
      </c>
      <c r="E32" s="12">
        <f>MAX(0,MIN(1,((Input!E32-Input!E$204)/(Input!E$205-Input!E$204))))</f>
        <v>0.16</v>
      </c>
      <c r="F32" s="12">
        <f>MAX(0,MIN(1,((Input!F32-Input!F$204)/(Input!F$205-Input!F$204))))</f>
        <v>0.16</v>
      </c>
      <c r="G32" s="12">
        <f>MAX(0,MIN(1,((Input!G32-Input!G$204)/(Input!G$205-Input!G$204))))</f>
        <v>0.16</v>
      </c>
      <c r="H32" s="12">
        <f>MAX(0,MIN(1,((Input!H32-Input!H$204)/(Input!H$205-Input!H$204))))</f>
        <v>0.16</v>
      </c>
      <c r="I32" s="12">
        <f>MAX(0,MIN(1,((Input!I32-Input!I$204)/(Input!I$205-Input!I$204))))</f>
        <v>0.16</v>
      </c>
      <c r="J32" s="12">
        <f>MAX(0,MIN(1,((Input!J32-Input!J$204)/(Input!J$205-Input!J$204))))</f>
        <v>0.13634000015199998</v>
      </c>
      <c r="K32" s="12">
        <f>MAX(0,MIN(1,((Input!K32-Input!K$204)/(Input!K$205-Input!K$204))))</f>
        <v>0.11268000030399999</v>
      </c>
      <c r="L32" s="12">
        <f>MAX(0,MIN(1,((Input!L32-Input!L$204)/(Input!L$205-Input!L$204))))</f>
        <v>8.902000045599999E-2</v>
      </c>
      <c r="M32" s="12">
        <f>MAX(0,MIN(1,((Input!M32-Input!M$204)/(Input!M$205-Input!M$204))))</f>
        <v>6.5360000607999999E-2</v>
      </c>
      <c r="N32" s="12">
        <f>MAX(0,MIN(1,((Input!N32-Input!N$204)/(Input!N$205-Input!N$204))))</f>
        <v>4.1700000760000001E-2</v>
      </c>
      <c r="O32" s="12">
        <f>MAX(0,MIN(1,((Input!O32-Input!O$204)/(Input!O$205-Input!O$204))))</f>
        <v>4.1283000752400004E-2</v>
      </c>
      <c r="P32" s="12">
        <f>MAX(0,MIN(1,((Input!P32-Input!P$204)/(Input!P$205-Input!P$204))))</f>
        <v>4.0866000744799999E-2</v>
      </c>
      <c r="Q32" s="12">
        <f>MAX(0,MIN(1,((Input!Q32-Input!Q$204)/(Input!Q$205-Input!Q$204))))</f>
        <v>4.0449000737200001E-2</v>
      </c>
      <c r="R32" s="12">
        <f>MAX(0,MIN(1,((Input!R32-Input!R$204)/(Input!R$205-Input!R$204))))</f>
        <v>4.0032000729599997E-2</v>
      </c>
      <c r="S32" s="12">
        <f>MAX(0,MIN(1,((Input!S32-Input!S$204)/(Input!S$205-Input!S$204))))</f>
        <v>3.9615000721999999E-2</v>
      </c>
      <c r="T32" s="12">
        <f>MAX(0,MIN(1,((Input!T32-Input!T$204)/(Input!T$205-Input!T$204))))</f>
        <v>3.9198000714399994E-2</v>
      </c>
      <c r="U32" s="12">
        <f>MAX(0,MIN(1,((Input!U32-Input!U$204)/(Input!U$205-Input!U$204))))</f>
        <v>0</v>
      </c>
      <c r="V32" s="26">
        <f>COUNT(Raw!E32:U32)</f>
        <v>6</v>
      </c>
      <c r="W32" s="27">
        <f t="shared" si="0"/>
        <v>17</v>
      </c>
      <c r="AA32">
        <v>6.7918042629571572E-3</v>
      </c>
      <c r="AB32">
        <v>2008</v>
      </c>
      <c r="AC32">
        <v>17</v>
      </c>
    </row>
    <row r="33" spans="1:29" ht="13">
      <c r="A33" s="12"/>
      <c r="B33" s="12"/>
      <c r="C33" s="1" t="s">
        <v>202</v>
      </c>
      <c r="D33" s="1" t="s">
        <v>189</v>
      </c>
      <c r="E33" s="12">
        <f>MAX(0,MIN(1,((Input!E33-Input!E$204)/(Input!E$205-Input!E$204))))</f>
        <v>6.8159999087999995E-2</v>
      </c>
      <c r="F33" s="12">
        <f>MAX(0,MIN(1,((Input!F33-Input!F$204)/(Input!F$205-Input!F$204))))</f>
        <v>6.8869999078499999E-2</v>
      </c>
      <c r="G33" s="12">
        <f>MAX(0,MIN(1,((Input!G33-Input!G$204)/(Input!G$205-Input!G$204))))</f>
        <v>6.957999906899999E-2</v>
      </c>
      <c r="H33" s="12">
        <f>MAX(0,MIN(1,((Input!H33-Input!H$204)/(Input!H$205-Input!H$204))))</f>
        <v>7.0289999059500008E-2</v>
      </c>
      <c r="I33" s="12">
        <f>MAX(0,MIN(1,((Input!I33-Input!I$204)/(Input!I$205-Input!I$204))))</f>
        <v>7.0999999049999998E-2</v>
      </c>
      <c r="J33" s="12">
        <f>MAX(0,MIN(1,((Input!J33-Input!J$204)/(Input!J$205-Input!J$204))))</f>
        <v>7.0999999049999998E-2</v>
      </c>
      <c r="K33" s="12">
        <f>MAX(0,MIN(1,((Input!K33-Input!K$204)/(Input!K$205-Input!K$204))))</f>
        <v>7.9349998237499997E-2</v>
      </c>
      <c r="L33" s="12">
        <f>MAX(0,MIN(1,((Input!L33-Input!L$204)/(Input!L$205-Input!L$204))))</f>
        <v>8.7699997424999995E-2</v>
      </c>
      <c r="M33" s="12">
        <f>MAX(0,MIN(1,((Input!M33-Input!M$204)/(Input!M$205-Input!M$204))))</f>
        <v>9.6049996612499994E-2</v>
      </c>
      <c r="N33" s="12">
        <f>MAX(0,MIN(1,((Input!N33-Input!N$204)/(Input!N$205-Input!N$204))))</f>
        <v>0.10439999580000001</v>
      </c>
      <c r="O33" s="12">
        <f>MAX(0,MIN(1,((Input!O33-Input!O$204)/(Input!O$205-Input!O$204))))</f>
        <v>0.103355995842</v>
      </c>
      <c r="P33" s="12">
        <f>MAX(0,MIN(1,((Input!P33-Input!P$204)/(Input!P$205-Input!P$204))))</f>
        <v>0.10231199588400001</v>
      </c>
      <c r="Q33" s="12">
        <f>MAX(0,MIN(1,((Input!Q33-Input!Q$204)/(Input!Q$205-Input!Q$204))))</f>
        <v>0.10126799592600001</v>
      </c>
      <c r="R33" s="12">
        <f>MAX(0,MIN(1,((Input!R33-Input!R$204)/(Input!R$205-Input!R$204))))</f>
        <v>0.100223995968</v>
      </c>
      <c r="S33" s="12">
        <f>MAX(0,MIN(1,((Input!S33-Input!S$204)/(Input!S$205-Input!S$204))))</f>
        <v>9.9179996009999993E-2</v>
      </c>
      <c r="T33" s="12">
        <f>MAX(0,MIN(1,((Input!T33-Input!T$204)/(Input!T$205-Input!T$204))))</f>
        <v>9.8135996052000005E-2</v>
      </c>
      <c r="U33" s="12">
        <f>MAX(0,MIN(1,((Input!U33-Input!U$204)/(Input!U$205-Input!U$204))))</f>
        <v>0</v>
      </c>
      <c r="V33" s="26">
        <f>COUNT(Raw!E33:U33)</f>
        <v>3</v>
      </c>
      <c r="W33" s="27">
        <f t="shared" si="0"/>
        <v>17</v>
      </c>
      <c r="AA33">
        <v>0.15370475290714239</v>
      </c>
      <c r="AB33">
        <v>2011</v>
      </c>
      <c r="AC33">
        <v>17</v>
      </c>
    </row>
    <row r="34" spans="1:29" ht="13">
      <c r="A34" s="12"/>
      <c r="B34" s="12"/>
      <c r="C34" s="1" t="s">
        <v>272</v>
      </c>
      <c r="D34" s="1" t="s">
        <v>273</v>
      </c>
      <c r="E34" s="12">
        <f>MAX(0,MIN(1,((Input!E34-Input!E$204)/(Input!E$205-Input!E$204))))</f>
        <v>7.4999999999999997E-2</v>
      </c>
      <c r="F34" s="12">
        <f>MAX(0,MIN(1,((Input!F34-Input!F$204)/(Input!F$205-Input!F$204))))</f>
        <v>7.4999999999999997E-2</v>
      </c>
      <c r="G34" s="12">
        <f>MAX(0,MIN(1,((Input!G34-Input!G$204)/(Input!G$205-Input!G$204))))</f>
        <v>7.4999999999999997E-2</v>
      </c>
      <c r="H34" s="12">
        <f>MAX(0,MIN(1,((Input!H34-Input!H$204)/(Input!H$205-Input!H$204))))</f>
        <v>7.3271428517142856E-2</v>
      </c>
      <c r="I34" s="12">
        <f>MAX(0,MIN(1,((Input!I34-Input!I$204)/(Input!I$205-Input!I$204))))</f>
        <v>7.1542857034285715E-2</v>
      </c>
      <c r="J34" s="12">
        <f>MAX(0,MIN(1,((Input!J34-Input!J$204)/(Input!J$205-Input!J$204))))</f>
        <v>6.9814285551428573E-2</v>
      </c>
      <c r="K34" s="12">
        <f>MAX(0,MIN(1,((Input!K34-Input!K$204)/(Input!K$205-Input!K$204))))</f>
        <v>6.8085714068571418E-2</v>
      </c>
      <c r="L34" s="12">
        <f>MAX(0,MIN(1,((Input!L34-Input!L$204)/(Input!L$205-Input!L$204))))</f>
        <v>6.635714258571429E-2</v>
      </c>
      <c r="M34" s="12">
        <f>MAX(0,MIN(1,((Input!M34-Input!M$204)/(Input!M$205-Input!M$204))))</f>
        <v>6.4628571102857135E-2</v>
      </c>
      <c r="N34" s="12">
        <f>MAX(0,MIN(1,((Input!N34-Input!N$204)/(Input!N$205-Input!N$204))))</f>
        <v>6.2899999619999994E-2</v>
      </c>
      <c r="O34" s="12">
        <f>MAX(0,MIN(1,((Input!O34-Input!O$204)/(Input!O$205-Input!O$204))))</f>
        <v>6.2270999623799998E-2</v>
      </c>
      <c r="P34" s="12">
        <f>MAX(0,MIN(1,((Input!P34-Input!P$204)/(Input!P$205-Input!P$204))))</f>
        <v>6.1641999627599996E-2</v>
      </c>
      <c r="Q34" s="12">
        <f>MAX(0,MIN(1,((Input!Q34-Input!Q$204)/(Input!Q$205-Input!Q$204))))</f>
        <v>6.1012999631399986E-2</v>
      </c>
      <c r="R34" s="12">
        <f>MAX(0,MIN(1,((Input!R34-Input!R$204)/(Input!R$205-Input!R$204))))</f>
        <v>6.0383999635199991E-2</v>
      </c>
      <c r="S34" s="12">
        <f>MAX(0,MIN(1,((Input!S34-Input!S$204)/(Input!S$205-Input!S$204))))</f>
        <v>5.9754999638999988E-2</v>
      </c>
      <c r="T34" s="12">
        <f>MAX(0,MIN(1,((Input!T34-Input!T$204)/(Input!T$205-Input!T$204))))</f>
        <v>5.9125999642799992E-2</v>
      </c>
      <c r="U34" s="12">
        <f>MAX(0,MIN(1,((Input!U34-Input!U$204)/(Input!U$205-Input!U$204))))</f>
        <v>0</v>
      </c>
      <c r="V34" s="26">
        <f>COUNT(Raw!E34:U34)</f>
        <v>4</v>
      </c>
      <c r="W34" s="27">
        <f t="shared" si="0"/>
        <v>17</v>
      </c>
      <c r="AA34">
        <v>5.3098999312199455E-2</v>
      </c>
      <c r="AB34">
        <v>2011</v>
      </c>
      <c r="AC34">
        <v>17</v>
      </c>
    </row>
    <row r="35" spans="1:29" ht="13">
      <c r="A35" s="12"/>
      <c r="B35" s="12"/>
      <c r="C35" s="1" t="s">
        <v>327</v>
      </c>
      <c r="D35" s="1" t="s">
        <v>244</v>
      </c>
      <c r="E35" s="12">
        <f>MAX(0,MIN(1,((Input!E35-Input!E$204)/(Input!E$205-Input!E$204))))</f>
        <v>0.125</v>
      </c>
      <c r="F35" s="12">
        <f>MAX(0,MIN(1,((Input!F35-Input!F$204)/(Input!F$205-Input!F$204))))</f>
        <v>0.125</v>
      </c>
      <c r="G35" s="12">
        <f>MAX(0,MIN(1,((Input!G35-Input!G$204)/(Input!G$205-Input!G$204))))</f>
        <v>0.125</v>
      </c>
      <c r="H35" s="12">
        <f>MAX(0,MIN(1,((Input!H35-Input!H$204)/(Input!H$205-Input!H$204))))</f>
        <v>0.125</v>
      </c>
      <c r="I35" s="12">
        <f>MAX(0,MIN(1,((Input!I35-Input!I$204)/(Input!I$205-Input!I$204))))</f>
        <v>0.125</v>
      </c>
      <c r="J35" s="12">
        <f>MAX(0,MIN(1,((Input!J35-Input!J$204)/(Input!J$205-Input!J$204))))</f>
        <v>8.1000003809999999E-2</v>
      </c>
      <c r="K35" s="12">
        <f>MAX(0,MIN(1,((Input!K35-Input!K$204)/(Input!K$205-Input!K$204))))</f>
        <v>8.1675002572499988E-2</v>
      </c>
      <c r="L35" s="12">
        <f>MAX(0,MIN(1,((Input!L35-Input!L$204)/(Input!L$205-Input!L$204))))</f>
        <v>8.2350001334999992E-2</v>
      </c>
      <c r="M35" s="12">
        <f>MAX(0,MIN(1,((Input!M35-Input!M$204)/(Input!M$205-Input!M$204))))</f>
        <v>8.3025000097499996E-2</v>
      </c>
      <c r="N35" s="12">
        <f>MAX(0,MIN(1,((Input!N35-Input!N$204)/(Input!N$205-Input!N$204))))</f>
        <v>8.3699998859999999E-2</v>
      </c>
      <c r="O35" s="12">
        <f>MAX(0,MIN(1,((Input!O35-Input!O$204)/(Input!O$205-Input!O$204))))</f>
        <v>8.2862998871400001E-2</v>
      </c>
      <c r="P35" s="12">
        <f>MAX(0,MIN(1,((Input!P35-Input!P$204)/(Input!P$205-Input!P$204))))</f>
        <v>8.2025998882800003E-2</v>
      </c>
      <c r="Q35" s="12">
        <f>MAX(0,MIN(1,((Input!Q35-Input!Q$204)/(Input!Q$205-Input!Q$204))))</f>
        <v>8.1188998894200004E-2</v>
      </c>
      <c r="R35" s="12">
        <f>MAX(0,MIN(1,((Input!R35-Input!R$204)/(Input!R$205-Input!R$204))))</f>
        <v>8.0351998905599992E-2</v>
      </c>
      <c r="S35" s="12">
        <f>MAX(0,MIN(1,((Input!S35-Input!S$204)/(Input!S$205-Input!S$204))))</f>
        <v>7.9514998917000007E-2</v>
      </c>
      <c r="T35" s="12">
        <f>MAX(0,MIN(1,((Input!T35-Input!T$204)/(Input!T$205-Input!T$204))))</f>
        <v>7.8677998928399995E-2</v>
      </c>
      <c r="U35" s="12">
        <f>MAX(0,MIN(1,((Input!U35-Input!U$204)/(Input!U$205-Input!U$204))))</f>
        <v>0</v>
      </c>
      <c r="V35" s="26">
        <f>COUNT(Raw!E35:U35)</f>
        <v>7</v>
      </c>
      <c r="W35" s="27">
        <f t="shared" si="0"/>
        <v>17</v>
      </c>
      <c r="AA35">
        <v>4.2778723700423599E-2</v>
      </c>
      <c r="AB35">
        <v>2011</v>
      </c>
      <c r="AC35">
        <v>17</v>
      </c>
    </row>
    <row r="36" spans="1:29" ht="13">
      <c r="A36" s="12"/>
      <c r="B36" s="12"/>
      <c r="C36" s="1" t="s">
        <v>138</v>
      </c>
      <c r="D36" s="1" t="s">
        <v>193</v>
      </c>
      <c r="E36" s="12">
        <f>MAX(0,MIN(1,((Input!E36-Input!E$204)/(Input!E$205-Input!E$204))))</f>
        <v>0.35299999239999996</v>
      </c>
      <c r="F36" s="12">
        <f>MAX(0,MIN(1,((Input!F36-Input!F$204)/(Input!F$205-Input!F$204))))</f>
        <v>0.35807776983333334</v>
      </c>
      <c r="G36" s="12">
        <f>MAX(0,MIN(1,((Input!G36-Input!G$204)/(Input!G$205-Input!G$204))))</f>
        <v>0.3631555472666666</v>
      </c>
      <c r="H36" s="12">
        <f>MAX(0,MIN(1,((Input!H36-Input!H$204)/(Input!H$205-Input!H$204))))</f>
        <v>0.36823332469999998</v>
      </c>
      <c r="I36" s="12">
        <f>MAX(0,MIN(1,((Input!I36-Input!I$204)/(Input!I$205-Input!I$204))))</f>
        <v>0.37331110213333329</v>
      </c>
      <c r="J36" s="12">
        <f>MAX(0,MIN(1,((Input!J36-Input!J$204)/(Input!J$205-Input!J$204))))</f>
        <v>0.37838887956666667</v>
      </c>
      <c r="K36" s="12">
        <f>MAX(0,MIN(1,((Input!K36-Input!K$204)/(Input!K$205-Input!K$204))))</f>
        <v>0.38346665700000004</v>
      </c>
      <c r="L36" s="12">
        <f>MAX(0,MIN(1,((Input!L36-Input!L$204)/(Input!L$205-Input!L$204))))</f>
        <v>0.38854443443333331</v>
      </c>
      <c r="M36" s="12">
        <f>MAX(0,MIN(1,((Input!M36-Input!M$204)/(Input!M$205-Input!M$204))))</f>
        <v>0.39362221186666668</v>
      </c>
      <c r="N36" s="12">
        <f>MAX(0,MIN(1,((Input!N36-Input!N$204)/(Input!N$205-Input!N$204))))</f>
        <v>0.3986999893</v>
      </c>
      <c r="O36" s="12">
        <f>MAX(0,MIN(1,((Input!O36-Input!O$204)/(Input!O$205-Input!O$204))))</f>
        <v>0.394712989407</v>
      </c>
      <c r="P36" s="12">
        <f>MAX(0,MIN(1,((Input!P36-Input!P$204)/(Input!P$205-Input!P$204))))</f>
        <v>0.39072598951400006</v>
      </c>
      <c r="Q36" s="12">
        <f>MAX(0,MIN(1,((Input!Q36-Input!Q$204)/(Input!Q$205-Input!Q$204))))</f>
        <v>0.38673898962099995</v>
      </c>
      <c r="R36" s="12">
        <f>MAX(0,MIN(1,((Input!R36-Input!R$204)/(Input!R$205-Input!R$204))))</f>
        <v>0.38275198972800001</v>
      </c>
      <c r="S36" s="12">
        <f>MAX(0,MIN(1,((Input!S36-Input!S$204)/(Input!S$205-Input!S$204))))</f>
        <v>0.37876498983500001</v>
      </c>
      <c r="T36" s="12">
        <f>MAX(0,MIN(1,((Input!T36-Input!T$204)/(Input!T$205-Input!T$204))))</f>
        <v>0.37477798994200001</v>
      </c>
      <c r="U36" s="12">
        <f>MAX(0,MIN(1,((Input!U36-Input!U$204)/(Input!U$205-Input!U$204))))</f>
        <v>0</v>
      </c>
      <c r="V36" s="26">
        <f>COUNT(Raw!E36:U36)</f>
        <v>2</v>
      </c>
      <c r="W36" s="27">
        <f t="shared" si="0"/>
        <v>17</v>
      </c>
      <c r="AA36">
        <v>0.43424443133333396</v>
      </c>
      <c r="AB36">
        <v>2011</v>
      </c>
      <c r="AC36">
        <v>17</v>
      </c>
    </row>
    <row r="37" spans="1:29" ht="13">
      <c r="A37" s="12"/>
      <c r="B37" s="12"/>
      <c r="C37" s="1" t="s">
        <v>380</v>
      </c>
      <c r="D37" s="1" t="s">
        <v>182</v>
      </c>
      <c r="E37" s="12">
        <f>MAX(0,MIN(1,((Input!E37-Input!E$204)/(Input!E$205-Input!E$204))))</f>
        <v>0.78</v>
      </c>
      <c r="F37" s="12">
        <f>MAX(0,MIN(1,((Input!F37-Input!F$204)/(Input!F$205-Input!F$204))))</f>
        <v>0.78</v>
      </c>
      <c r="G37" s="12">
        <f>MAX(0,MIN(1,((Input!G37-Input!G$204)/(Input!G$205-Input!G$204))))</f>
        <v>0.78</v>
      </c>
      <c r="H37" s="12">
        <f>MAX(0,MIN(1,((Input!H37-Input!H$204)/(Input!H$205-Input!H$204))))</f>
        <v>0.78</v>
      </c>
      <c r="I37" s="12">
        <f>MAX(0,MIN(1,((Input!I37-Input!I$204)/(Input!I$205-Input!I$204))))</f>
        <v>0.78</v>
      </c>
      <c r="J37" s="12">
        <f>MAX(0,MIN(1,((Input!J37-Input!J$204)/(Input!J$205-Input!J$204))))</f>
        <v>0.6904000092</v>
      </c>
      <c r="K37" s="12">
        <f>MAX(0,MIN(1,((Input!K37-Input!K$204)/(Input!K$205-Input!K$204))))</f>
        <v>0.6904000092</v>
      </c>
      <c r="L37" s="12">
        <f>MAX(0,MIN(1,((Input!L37-Input!L$204)/(Input!L$205-Input!L$204))))</f>
        <v>0.6834960091079999</v>
      </c>
      <c r="M37" s="12">
        <f>MAX(0,MIN(1,((Input!M37-Input!M$204)/(Input!M$205-Input!M$204))))</f>
        <v>0.67659200901600003</v>
      </c>
      <c r="N37" s="12">
        <f>MAX(0,MIN(1,((Input!N37-Input!N$204)/(Input!N$205-Input!N$204))))</f>
        <v>0.66968800892399993</v>
      </c>
      <c r="O37" s="12">
        <f>MAX(0,MIN(1,((Input!O37-Input!O$204)/(Input!O$205-Input!O$204))))</f>
        <v>0.66278400883199995</v>
      </c>
      <c r="P37" s="12">
        <f>MAX(0,MIN(1,((Input!P37-Input!P$204)/(Input!P$205-Input!P$204))))</f>
        <v>0.65588000874000008</v>
      </c>
      <c r="Q37" s="12">
        <f>MAX(0,MIN(1,((Input!Q37-Input!Q$204)/(Input!Q$205-Input!Q$204))))</f>
        <v>0.64897600864799998</v>
      </c>
      <c r="R37" s="12">
        <f>MAX(0,MIN(1,((Input!R37-Input!R$204)/(Input!R$205-Input!R$204))))</f>
        <v>0.64207200855599988</v>
      </c>
      <c r="S37" s="12">
        <f>MAX(0,MIN(1,((Input!S37-Input!S$204)/(Input!S$205-Input!S$204))))</f>
        <v>0.6351680084639999</v>
      </c>
      <c r="T37" s="12">
        <f>MAX(0,MIN(1,((Input!T37-Input!T$204)/(Input!T$205-Input!T$204))))</f>
        <v>0.62826400837200003</v>
      </c>
      <c r="U37" s="12">
        <f>MAX(0,MIN(1,((Input!U37-Input!U$204)/(Input!U$205-Input!U$204))))</f>
        <v>0</v>
      </c>
      <c r="V37" s="26">
        <f>COUNT(Raw!E37:U37)</f>
        <v>7</v>
      </c>
      <c r="W37" s="27">
        <f t="shared" si="0"/>
        <v>17</v>
      </c>
      <c r="AA37">
        <v>0.54640002398571597</v>
      </c>
      <c r="AB37">
        <v>2011</v>
      </c>
      <c r="AC37">
        <v>17</v>
      </c>
    </row>
    <row r="38" spans="1:29" ht="13">
      <c r="A38" s="12"/>
      <c r="B38" s="12"/>
      <c r="C38" s="1" t="s">
        <v>127</v>
      </c>
      <c r="D38" s="1" t="s">
        <v>23</v>
      </c>
      <c r="E38" s="12">
        <f>MAX(0,MIN(1,((Input!E38-Input!E$204)/(Input!E$205-Input!E$204))))</f>
        <v>2.0999999049999999E-2</v>
      </c>
      <c r="F38" s="12">
        <f>MAX(0,MIN(1,((Input!F38-Input!F$204)/(Input!F$205-Input!F$204))))</f>
        <v>2.0999999049999999E-2</v>
      </c>
      <c r="G38" s="12">
        <f>MAX(0,MIN(1,((Input!G38-Input!G$204)/(Input!G$205-Input!G$204))))</f>
        <v>2.4000000950000003E-2</v>
      </c>
      <c r="H38" s="12">
        <f>MAX(0,MIN(1,((Input!H38-Input!H$204)/(Input!H$205-Input!H$204))))</f>
        <v>2.7000000480000001E-2</v>
      </c>
      <c r="I38" s="12">
        <f>MAX(0,MIN(1,((Input!I38-Input!I$204)/(Input!I$205-Input!I$204))))</f>
        <v>2.6730000475200005E-2</v>
      </c>
      <c r="J38" s="12">
        <f>MAX(0,MIN(1,((Input!J38-Input!J$204)/(Input!J$205-Input!J$204))))</f>
        <v>2.6460000470400001E-2</v>
      </c>
      <c r="K38" s="12">
        <f>MAX(0,MIN(1,((Input!K38-Input!K$204)/(Input!K$205-Input!K$204))))</f>
        <v>2.6190000465600001E-2</v>
      </c>
      <c r="L38" s="12">
        <f>MAX(0,MIN(1,((Input!L38-Input!L$204)/(Input!L$205-Input!L$204))))</f>
        <v>2.5920000460800004E-2</v>
      </c>
      <c r="M38" s="12">
        <f>MAX(0,MIN(1,((Input!M38-Input!M$204)/(Input!M$205-Input!M$204))))</f>
        <v>2.5650000456000001E-2</v>
      </c>
      <c r="N38" s="12">
        <f>MAX(0,MIN(1,((Input!N38-Input!N$204)/(Input!N$205-Input!N$204))))</f>
        <v>2.5380000451200004E-2</v>
      </c>
      <c r="O38" s="12">
        <f>MAX(0,MIN(1,((Input!O38-Input!O$204)/(Input!O$205-Input!O$204))))</f>
        <v>2.5110000446400004E-2</v>
      </c>
      <c r="P38" s="12">
        <f>MAX(0,MIN(1,((Input!P38-Input!P$204)/(Input!P$205-Input!P$204))))</f>
        <v>2.4840000441600001E-2</v>
      </c>
      <c r="Q38" s="12">
        <f>MAX(0,MIN(1,((Input!Q38-Input!Q$204)/(Input!Q$205-Input!Q$204))))</f>
        <v>2.4570000436800004E-2</v>
      </c>
      <c r="R38" s="12">
        <f>MAX(0,MIN(1,((Input!R38-Input!R$204)/(Input!R$205-Input!R$204))))</f>
        <v>2.4300000432E-2</v>
      </c>
      <c r="S38" s="12">
        <f>MAX(0,MIN(1,((Input!S38-Input!S$204)/(Input!S$205-Input!S$204))))</f>
        <v>2.4030000427200004E-2</v>
      </c>
      <c r="T38" s="12">
        <f>MAX(0,MIN(1,((Input!T38-Input!T$204)/(Input!T$205-Input!T$204))))</f>
        <v>2.3760000422400004E-2</v>
      </c>
      <c r="U38" s="12">
        <f>MAX(0,MIN(1,((Input!U38-Input!U$204)/(Input!U$205-Input!U$204))))</f>
        <v>0</v>
      </c>
      <c r="V38" s="26">
        <f>COUNT(Raw!E38:U38)</f>
        <v>4</v>
      </c>
      <c r="W38" s="27">
        <f t="shared" ref="W38:W69" si="1">COUNT(E38:U38)</f>
        <v>17</v>
      </c>
      <c r="AA38">
        <v>5.3700008857999817E-2</v>
      </c>
      <c r="AB38">
        <v>2011</v>
      </c>
      <c r="AC38">
        <v>17</v>
      </c>
    </row>
    <row r="39" spans="1:29" ht="13">
      <c r="A39" s="12"/>
      <c r="B39" s="12"/>
      <c r="C39" s="1" t="s">
        <v>82</v>
      </c>
      <c r="D39" s="1" t="s">
        <v>88</v>
      </c>
      <c r="E39" s="12">
        <f>MAX(0,MIN(1,((Input!E39-Input!E$204)/(Input!E$205-Input!E$204))))</f>
        <v>8.0000001199999997E-3</v>
      </c>
      <c r="F39" s="12">
        <f>MAX(0,MIN(1,((Input!F39-Input!F$204)/(Input!F$205-Input!F$204))))</f>
        <v>8.0000001199999997E-3</v>
      </c>
      <c r="G39" s="12">
        <f>MAX(0,MIN(1,((Input!G39-Input!G$204)/(Input!G$205-Input!G$204))))</f>
        <v>8.0000001199999997E-3</v>
      </c>
      <c r="H39" s="12">
        <f>MAX(0,MIN(1,((Input!H39-Input!H$204)/(Input!H$205-Input!H$204))))</f>
        <v>8.0000001199999997E-3</v>
      </c>
      <c r="I39" s="12">
        <f>MAX(0,MIN(1,((Input!I39-Input!I$204)/(Input!I$205-Input!I$204))))</f>
        <v>8.0000001199999997E-3</v>
      </c>
      <c r="J39" s="12">
        <f>MAX(0,MIN(1,((Input!J39-Input!J$204)/(Input!J$205-Input!J$204))))</f>
        <v>8.0000001199999997E-3</v>
      </c>
      <c r="K39" s="12">
        <f>MAX(0,MIN(1,((Input!K39-Input!K$204)/(Input!K$205-Input!K$204))))</f>
        <v>7.920000118800001E-3</v>
      </c>
      <c r="L39" s="12">
        <f>MAX(0,MIN(1,((Input!L39-Input!L$204)/(Input!L$205-Input!L$204))))</f>
        <v>7.8400001176000007E-3</v>
      </c>
      <c r="M39" s="12">
        <f>MAX(0,MIN(1,((Input!M39-Input!M$204)/(Input!M$205-Input!M$204))))</f>
        <v>7.7600001164000012E-3</v>
      </c>
      <c r="N39" s="12">
        <f>MAX(0,MIN(1,((Input!N39-Input!N$204)/(Input!N$205-Input!N$204))))</f>
        <v>7.6800001152000008E-3</v>
      </c>
      <c r="O39" s="12">
        <f>MAX(0,MIN(1,((Input!O39-Input!O$204)/(Input!O$205-Input!O$204))))</f>
        <v>7.6000001140000004E-3</v>
      </c>
      <c r="P39" s="12">
        <f>MAX(0,MIN(1,((Input!P39-Input!P$204)/(Input!P$205-Input!P$204))))</f>
        <v>7.5200001128000009E-3</v>
      </c>
      <c r="Q39" s="12">
        <f>MAX(0,MIN(1,((Input!Q39-Input!Q$204)/(Input!Q$205-Input!Q$204))))</f>
        <v>7.4400001116000005E-3</v>
      </c>
      <c r="R39" s="12">
        <f>MAX(0,MIN(1,((Input!R39-Input!R$204)/(Input!R$205-Input!R$204))))</f>
        <v>7.360000110400001E-3</v>
      </c>
      <c r="S39" s="12">
        <f>MAX(0,MIN(1,((Input!S39-Input!S$204)/(Input!S$205-Input!S$204))))</f>
        <v>7.2800001092000015E-3</v>
      </c>
      <c r="T39" s="12">
        <f>MAX(0,MIN(1,((Input!T39-Input!T$204)/(Input!T$205-Input!T$204))))</f>
        <v>7.2000001080000011E-3</v>
      </c>
      <c r="U39" s="12">
        <f>MAX(0,MIN(1,((Input!U39-Input!U$204)/(Input!U$205-Input!U$204))))</f>
        <v>0</v>
      </c>
      <c r="V39" s="26">
        <f>COUNT(Raw!E39:U39)</f>
        <v>6</v>
      </c>
      <c r="W39" s="27">
        <f t="shared" si="1"/>
        <v>17</v>
      </c>
      <c r="AA39">
        <v>8.0000001199999997E-3</v>
      </c>
      <c r="AB39">
        <v>2011</v>
      </c>
      <c r="AC39">
        <v>17</v>
      </c>
    </row>
    <row r="40" spans="1:29" ht="13">
      <c r="A40" s="12"/>
      <c r="B40" s="12"/>
      <c r="C40" s="1" t="s">
        <v>260</v>
      </c>
      <c r="D40" s="1" t="s">
        <v>281</v>
      </c>
      <c r="E40" s="12">
        <f>MAX(0,MIN(1,((Input!E40-Input!E$204)/(Input!E$205-Input!E$204))))</f>
        <v>0.15899999619999999</v>
      </c>
      <c r="F40" s="12">
        <f>MAX(0,MIN(1,((Input!F40-Input!F$204)/(Input!F$205-Input!F$204))))</f>
        <v>0.16700000760000003</v>
      </c>
      <c r="G40" s="12">
        <f>MAX(0,MIN(1,((Input!G40-Input!G$204)/(Input!G$205-Input!G$204))))</f>
        <v>0.1720000076</v>
      </c>
      <c r="H40" s="12">
        <f>MAX(0,MIN(1,((Input!H40-Input!H$204)/(Input!H$205-Input!H$204))))</f>
        <v>0.18299999239999998</v>
      </c>
      <c r="I40" s="12">
        <f>MAX(0,MIN(1,((Input!I40-Input!I$204)/(Input!I$205-Input!I$204))))</f>
        <v>0.18899999619999999</v>
      </c>
      <c r="J40" s="12">
        <f>MAX(0,MIN(1,((Input!J40-Input!J$204)/(Input!J$205-Input!J$204))))</f>
        <v>0.18399999619999999</v>
      </c>
      <c r="K40" s="12">
        <f>MAX(0,MIN(1,((Input!K40-Input!K$204)/(Input!K$205-Input!K$204))))</f>
        <v>0.20200000760000003</v>
      </c>
      <c r="L40" s="12">
        <f>MAX(0,MIN(1,((Input!L40-Input!L$204)/(Input!L$205-Input!L$204))))</f>
        <v>0.19998000752400003</v>
      </c>
      <c r="M40" s="12">
        <f>MAX(0,MIN(1,((Input!M40-Input!M$204)/(Input!M$205-Input!M$204))))</f>
        <v>0.19796000744800002</v>
      </c>
      <c r="N40" s="12">
        <f>MAX(0,MIN(1,((Input!N40-Input!N$204)/(Input!N$205-Input!N$204))))</f>
        <v>0.19594000737200001</v>
      </c>
      <c r="O40" s="12">
        <f>MAX(0,MIN(1,((Input!O40-Input!O$204)/(Input!O$205-Input!O$204))))</f>
        <v>0.19392000729600004</v>
      </c>
      <c r="P40" s="12">
        <f>MAX(0,MIN(1,((Input!P40-Input!P$204)/(Input!P$205-Input!P$204))))</f>
        <v>0.19190000722</v>
      </c>
      <c r="Q40" s="12">
        <f>MAX(0,MIN(1,((Input!Q40-Input!Q$204)/(Input!Q$205-Input!Q$204))))</f>
        <v>0.18988000714400002</v>
      </c>
      <c r="R40" s="12">
        <f>MAX(0,MIN(1,((Input!R40-Input!R$204)/(Input!R$205-Input!R$204))))</f>
        <v>0.18786000706800002</v>
      </c>
      <c r="S40" s="12">
        <f>MAX(0,MIN(1,((Input!S40-Input!S$204)/(Input!S$205-Input!S$204))))</f>
        <v>0.18584000699200001</v>
      </c>
      <c r="T40" s="12">
        <f>MAX(0,MIN(1,((Input!T40-Input!T$204)/(Input!T$205-Input!T$204))))</f>
        <v>0.18382000691600001</v>
      </c>
      <c r="U40" s="12">
        <f>MAX(0,MIN(1,((Input!U40-Input!U$204)/(Input!U$205-Input!U$204))))</f>
        <v>0</v>
      </c>
      <c r="V40" s="26">
        <f>COUNT(Raw!E40:U40)</f>
        <v>7</v>
      </c>
      <c r="W40" s="27">
        <f t="shared" si="1"/>
        <v>17</v>
      </c>
      <c r="AA40">
        <v>0.26300000054285649</v>
      </c>
      <c r="AB40">
        <v>2011</v>
      </c>
      <c r="AC40">
        <v>17</v>
      </c>
    </row>
    <row r="41" spans="1:29" ht="13">
      <c r="A41" s="12"/>
      <c r="B41" s="12"/>
      <c r="C41" s="1" t="s">
        <v>261</v>
      </c>
      <c r="D41" s="1" t="s">
        <v>265</v>
      </c>
      <c r="E41" s="12">
        <f>MAX(0,MIN(1,((Input!E41-Input!E$204)/(Input!E$205-Input!E$204))))</f>
        <v>0.36719999316000002</v>
      </c>
      <c r="F41" s="12">
        <f>MAX(0,MIN(1,((Input!F41-Input!F$204)/(Input!F$205-Input!F$204))))</f>
        <v>0.371279993084</v>
      </c>
      <c r="G41" s="12">
        <f>MAX(0,MIN(1,((Input!G41-Input!G$204)/(Input!G$205-Input!G$204))))</f>
        <v>0.37535999300799999</v>
      </c>
      <c r="H41" s="12">
        <f>MAX(0,MIN(1,((Input!H41-Input!H$204)/(Input!H$205-Input!H$204))))</f>
        <v>0.37943999293200004</v>
      </c>
      <c r="I41" s="12">
        <f>MAX(0,MIN(1,((Input!I41-Input!I$204)/(Input!I$205-Input!I$204))))</f>
        <v>0.38351999285600002</v>
      </c>
      <c r="J41" s="12">
        <f>MAX(0,MIN(1,((Input!J41-Input!J$204)/(Input!J$205-Input!J$204))))</f>
        <v>0.38759999277999996</v>
      </c>
      <c r="K41" s="12">
        <f>MAX(0,MIN(1,((Input!K41-Input!K$204)/(Input!K$205-Input!K$204))))</f>
        <v>0.39167999270399995</v>
      </c>
      <c r="L41" s="12">
        <f>MAX(0,MIN(1,((Input!L41-Input!L$204)/(Input!L$205-Input!L$204))))</f>
        <v>0.39575999262799999</v>
      </c>
      <c r="M41" s="12">
        <f>MAX(0,MIN(1,((Input!M41-Input!M$204)/(Input!M$205-Input!M$204))))</f>
        <v>0.39983999255199998</v>
      </c>
      <c r="N41" s="12">
        <f>MAX(0,MIN(1,((Input!N41-Input!N$204)/(Input!N$205-Input!N$204))))</f>
        <v>0.40391999247599997</v>
      </c>
      <c r="O41" s="12">
        <f>MAX(0,MIN(1,((Input!O41-Input!O$204)/(Input!O$205-Input!O$204))))</f>
        <v>0.40799999239999996</v>
      </c>
      <c r="P41" s="12">
        <f>MAX(0,MIN(1,((Input!P41-Input!P$204)/(Input!P$205-Input!P$204))))</f>
        <v>0.44099998470000001</v>
      </c>
      <c r="Q41" s="12">
        <f>MAX(0,MIN(1,((Input!Q41-Input!Q$204)/(Input!Q$205-Input!Q$204))))</f>
        <v>0.496</v>
      </c>
      <c r="R41" s="12">
        <f>MAX(0,MIN(1,((Input!R41-Input!R$204)/(Input!R$205-Input!R$204))))</f>
        <v>0.53500000000000003</v>
      </c>
      <c r="S41" s="12">
        <f>MAX(0,MIN(1,((Input!S41-Input!S$204)/(Input!S$205-Input!S$204))))</f>
        <v>0.52965000000000007</v>
      </c>
      <c r="T41" s="12">
        <f>MAX(0,MIN(1,((Input!T41-Input!T$204)/(Input!T$205-Input!T$204))))</f>
        <v>0.52429999999999999</v>
      </c>
      <c r="U41" s="12">
        <f>MAX(0,MIN(1,((Input!U41-Input!U$204)/(Input!U$205-Input!U$204))))</f>
        <v>0</v>
      </c>
      <c r="V41" s="26">
        <f>COUNT(Raw!E41:U41)</f>
        <v>4</v>
      </c>
      <c r="W41" s="27">
        <f t="shared" si="1"/>
        <v>17</v>
      </c>
      <c r="AA41">
        <v>0.66620001142000551</v>
      </c>
      <c r="AB41">
        <v>2011</v>
      </c>
      <c r="AC41">
        <v>17</v>
      </c>
    </row>
    <row r="42" spans="1:29" ht="13">
      <c r="A42" s="12"/>
      <c r="B42" s="12"/>
      <c r="C42" s="1" t="s">
        <v>297</v>
      </c>
      <c r="D42" s="1" t="s">
        <v>315</v>
      </c>
      <c r="E42" s="12">
        <f>MAX(0,MIN(1,((Input!E42-Input!E$204)/(Input!E$205-Input!E$204))))</f>
        <v>9.1999998089999993E-2</v>
      </c>
      <c r="F42" s="12">
        <f>MAX(0,MIN(1,((Input!F42-Input!F$204)/(Input!F$205-Input!F$204))))</f>
        <v>0.11899999619999999</v>
      </c>
      <c r="G42" s="12">
        <f>MAX(0,MIN(1,((Input!G42-Input!G$204)/(Input!G$205-Input!G$204))))</f>
        <v>0.12</v>
      </c>
      <c r="H42" s="12">
        <f>MAX(0,MIN(1,((Input!H42-Input!H$204)/(Input!H$205-Input!H$204))))</f>
        <v>0.14300000190000001</v>
      </c>
      <c r="I42" s="12">
        <f>MAX(0,MIN(1,((Input!I42-Input!I$204)/(Input!I$205-Input!I$204))))</f>
        <v>0.14399999619999998</v>
      </c>
      <c r="J42" s="12">
        <f>MAX(0,MIN(1,((Input!J42-Input!J$204)/(Input!J$205-Input!J$204))))</f>
        <v>0.142559996238</v>
      </c>
      <c r="K42" s="12">
        <f>MAX(0,MIN(1,((Input!K42-Input!K$204)/(Input!K$205-Input!K$204))))</f>
        <v>0.141119996276</v>
      </c>
      <c r="L42" s="12">
        <f>MAX(0,MIN(1,((Input!L42-Input!L$204)/(Input!L$205-Input!L$204))))</f>
        <v>0.13967999631399999</v>
      </c>
      <c r="M42" s="12">
        <f>MAX(0,MIN(1,((Input!M42-Input!M$204)/(Input!M$205-Input!M$204))))</f>
        <v>0.13823999635199999</v>
      </c>
      <c r="N42" s="12">
        <f>MAX(0,MIN(1,((Input!N42-Input!N$204)/(Input!N$205-Input!N$204))))</f>
        <v>0.13679999639000001</v>
      </c>
      <c r="O42" s="12">
        <f>MAX(0,MIN(1,((Input!O42-Input!O$204)/(Input!O$205-Input!O$204))))</f>
        <v>0.13535999642800001</v>
      </c>
      <c r="P42" s="12">
        <f>MAX(0,MIN(1,((Input!P42-Input!P$204)/(Input!P$205-Input!P$204))))</f>
        <v>0.13391999646599997</v>
      </c>
      <c r="Q42" s="12">
        <f>MAX(0,MIN(1,((Input!Q42-Input!Q$204)/(Input!Q$205-Input!Q$204))))</f>
        <v>0.132479996504</v>
      </c>
      <c r="R42" s="12">
        <f>MAX(0,MIN(1,((Input!R42-Input!R$204)/(Input!R$205-Input!R$204))))</f>
        <v>0.13103999654199999</v>
      </c>
      <c r="S42" s="12">
        <f>MAX(0,MIN(1,((Input!S42-Input!S$204)/(Input!S$205-Input!S$204))))</f>
        <v>0.12959999657999999</v>
      </c>
      <c r="T42" s="12">
        <f>MAX(0,MIN(1,((Input!T42-Input!T$204)/(Input!T$205-Input!T$204))))</f>
        <v>0.12815999661799998</v>
      </c>
      <c r="U42" s="12">
        <f>MAX(0,MIN(1,((Input!U42-Input!U$204)/(Input!U$205-Input!U$204))))</f>
        <v>0</v>
      </c>
      <c r="V42" s="26">
        <f>COUNT(Raw!E42:U42)</f>
        <v>5</v>
      </c>
      <c r="W42" s="27">
        <f t="shared" si="1"/>
        <v>17</v>
      </c>
      <c r="AA42">
        <v>0.30280000116599692</v>
      </c>
      <c r="AB42">
        <v>2011</v>
      </c>
      <c r="AC42">
        <v>17</v>
      </c>
    </row>
    <row r="43" spans="1:29" ht="13">
      <c r="A43" s="12"/>
      <c r="B43" s="12"/>
      <c r="C43" s="1" t="s">
        <v>296</v>
      </c>
      <c r="D43" s="1" t="s">
        <v>95</v>
      </c>
      <c r="E43" s="12">
        <f>MAX(0,MIN(1,((Input!E43-Input!E$204)/(Input!E$205-Input!E$204))))</f>
        <v>0.76500000000000001</v>
      </c>
      <c r="F43" s="12">
        <f>MAX(0,MIN(1,((Input!F43-Input!F$204)/(Input!F$205-Input!F$204))))</f>
        <v>0.76500000000000001</v>
      </c>
      <c r="G43" s="12">
        <f>MAX(0,MIN(1,((Input!G43-Input!G$204)/(Input!G$205-Input!G$204))))</f>
        <v>0.76500000000000001</v>
      </c>
      <c r="H43" s="12">
        <f>MAX(0,MIN(1,((Input!H43-Input!H$204)/(Input!H$205-Input!H$204))))</f>
        <v>0.76500000000000001</v>
      </c>
      <c r="I43" s="12">
        <f>MAX(0,MIN(1,((Input!I43-Input!I$204)/(Input!I$205-Input!I$204))))</f>
        <v>0.76500000000000001</v>
      </c>
      <c r="J43" s="12">
        <f>MAX(0,MIN(1,((Input!J43-Input!J$204)/(Input!J$205-Input!J$204))))</f>
        <v>0.76500000000000001</v>
      </c>
      <c r="K43" s="12">
        <f>MAX(0,MIN(1,((Input!K43-Input!K$204)/(Input!K$205-Input!K$204))))</f>
        <v>0.76500000000000001</v>
      </c>
      <c r="L43" s="12">
        <f>MAX(0,MIN(1,((Input!L43-Input!L$204)/(Input!L$205-Input!L$204))))</f>
        <v>0.75734999999999997</v>
      </c>
      <c r="M43" s="12">
        <f>MAX(0,MIN(1,((Input!M43-Input!M$204)/(Input!M$205-Input!M$204))))</f>
        <v>0.74970000000000003</v>
      </c>
      <c r="N43" s="12">
        <f>MAX(0,MIN(1,((Input!N43-Input!N$204)/(Input!N$205-Input!N$204))))</f>
        <v>0.74204999999999999</v>
      </c>
      <c r="O43" s="12">
        <f>MAX(0,MIN(1,((Input!O43-Input!O$204)/(Input!O$205-Input!O$204))))</f>
        <v>0.73439999999999994</v>
      </c>
      <c r="P43" s="12">
        <f>MAX(0,MIN(1,((Input!P43-Input!P$204)/(Input!P$205-Input!P$204))))</f>
        <v>0.72675000000000012</v>
      </c>
      <c r="Q43" s="12">
        <f>MAX(0,MIN(1,((Input!Q43-Input!Q$204)/(Input!Q$205-Input!Q$204))))</f>
        <v>0.71910000000000007</v>
      </c>
      <c r="R43" s="12">
        <f>MAX(0,MIN(1,((Input!R43-Input!R$204)/(Input!R$205-Input!R$204))))</f>
        <v>0.71145000000000014</v>
      </c>
      <c r="S43" s="12">
        <f>MAX(0,MIN(1,((Input!S43-Input!S$204)/(Input!S$205-Input!S$204))))</f>
        <v>0.70380000000000009</v>
      </c>
      <c r="T43" s="12">
        <f>MAX(0,MIN(1,((Input!T43-Input!T$204)/(Input!T$205-Input!T$204))))</f>
        <v>0.69615000000000005</v>
      </c>
      <c r="U43" s="12">
        <f>MAX(0,MIN(1,((Input!U43-Input!U$204)/(Input!U$205-Input!U$204))))</f>
        <v>0</v>
      </c>
      <c r="V43" s="26">
        <f>COUNT(Raw!E43:U43)</f>
        <v>5</v>
      </c>
      <c r="W43" s="27">
        <f t="shared" si="1"/>
        <v>17</v>
      </c>
      <c r="AA43">
        <v>0.76500000000000001</v>
      </c>
      <c r="AB43">
        <v>2011</v>
      </c>
      <c r="AC43">
        <v>17</v>
      </c>
    </row>
    <row r="44" spans="1:29" ht="13">
      <c r="A44" s="12"/>
      <c r="B44" s="12"/>
      <c r="C44" s="1" t="s">
        <v>285</v>
      </c>
      <c r="D44" s="1" t="s">
        <v>68</v>
      </c>
      <c r="E44" s="12">
        <f>MAX(0,MIN(1,((Input!E44-Input!E$204)/(Input!E$205-Input!E$204))))</f>
        <v>9.6999998089999998E-2</v>
      </c>
      <c r="F44" s="12">
        <f>MAX(0,MIN(1,((Input!F44-Input!F$204)/(Input!F$205-Input!F$204))))</f>
        <v>9.6999998089999998E-2</v>
      </c>
      <c r="G44" s="12">
        <f>MAX(0,MIN(1,((Input!G44-Input!G$204)/(Input!G$205-Input!G$204))))</f>
        <v>9.6999998089999998E-2</v>
      </c>
      <c r="H44" s="12">
        <f>MAX(0,MIN(1,((Input!H44-Input!H$204)/(Input!H$205-Input!H$204))))</f>
        <v>9.6999998089999998E-2</v>
      </c>
      <c r="I44" s="12">
        <f>MAX(0,MIN(1,((Input!I44-Input!I$204)/(Input!I$205-Input!I$204))))</f>
        <v>9.6999998089999998E-2</v>
      </c>
      <c r="J44" s="12">
        <f>MAX(0,MIN(1,((Input!J44-Input!J$204)/(Input!J$205-Input!J$204))))</f>
        <v>9.6999998089999998E-2</v>
      </c>
      <c r="K44" s="12">
        <f>MAX(0,MIN(1,((Input!K44-Input!K$204)/(Input!K$205-Input!K$204))))</f>
        <v>8.5249998567499999E-2</v>
      </c>
      <c r="L44" s="12">
        <f>MAX(0,MIN(1,((Input!L44-Input!L$204)/(Input!L$205-Input!L$204))))</f>
        <v>7.3499999045E-2</v>
      </c>
      <c r="M44" s="12">
        <f>MAX(0,MIN(1,((Input!M44-Input!M$204)/(Input!M$205-Input!M$204))))</f>
        <v>6.1749999522499995E-2</v>
      </c>
      <c r="N44" s="12">
        <f>MAX(0,MIN(1,((Input!N44-Input!N$204)/(Input!N$205-Input!N$204))))</f>
        <v>0.05</v>
      </c>
      <c r="O44" s="12">
        <f>MAX(0,MIN(1,((Input!O44-Input!O$204)/(Input!O$205-Input!O$204))))</f>
        <v>6.0647058825000003E-2</v>
      </c>
      <c r="P44" s="12">
        <f>MAX(0,MIN(1,((Input!P44-Input!P$204)/(Input!P$205-Input!P$204))))</f>
        <v>7.1294117650000002E-2</v>
      </c>
      <c r="Q44" s="12">
        <f>MAX(0,MIN(1,((Input!Q44-Input!Q$204)/(Input!Q$205-Input!Q$204))))</f>
        <v>7.0581176473499999E-2</v>
      </c>
      <c r="R44" s="12">
        <f>MAX(0,MIN(1,((Input!R44-Input!R$204)/(Input!R$205-Input!R$204))))</f>
        <v>6.9868235297000009E-2</v>
      </c>
      <c r="S44" s="12">
        <f>MAX(0,MIN(1,((Input!S44-Input!S$204)/(Input!S$205-Input!S$204))))</f>
        <v>6.9155294120499991E-2</v>
      </c>
      <c r="T44" s="12">
        <f>MAX(0,MIN(1,((Input!T44-Input!T$204)/(Input!T$205-Input!T$204))))</f>
        <v>6.8442352944000001E-2</v>
      </c>
      <c r="U44" s="12">
        <f>MAX(0,MIN(1,((Input!U44-Input!U$204)/(Input!U$205-Input!U$204))))</f>
        <v>0</v>
      </c>
      <c r="V44" s="26">
        <f>COUNT(Raw!E44:U44)</f>
        <v>8</v>
      </c>
      <c r="W44" s="27">
        <f t="shared" si="1"/>
        <v>17</v>
      </c>
      <c r="AA44">
        <v>4.4525590271875901E-2</v>
      </c>
      <c r="AB44">
        <v>2011</v>
      </c>
      <c r="AC44">
        <v>17</v>
      </c>
    </row>
    <row r="45" spans="1:29" ht="13">
      <c r="A45" s="12"/>
      <c r="B45" s="12"/>
      <c r="C45" s="1" t="s">
        <v>286</v>
      </c>
      <c r="D45" s="1" t="s">
        <v>24</v>
      </c>
      <c r="E45" s="12">
        <f>MAX(0,MIN(1,((Input!E45-Input!E$204)/(Input!E$205-Input!E$204))))</f>
        <v>1.65620004732E-2</v>
      </c>
      <c r="F45" s="12">
        <f>MAX(0,MIN(1,((Input!F45-Input!F$204)/(Input!F$205-Input!F$204))))</f>
        <v>1.6744000478399999E-2</v>
      </c>
      <c r="G45" s="12">
        <f>MAX(0,MIN(1,((Input!G45-Input!G$204)/(Input!G$205-Input!G$204))))</f>
        <v>1.69260004836E-2</v>
      </c>
      <c r="H45" s="12">
        <f>MAX(0,MIN(1,((Input!H45-Input!H$204)/(Input!H$205-Input!H$204))))</f>
        <v>1.7108000488799999E-2</v>
      </c>
      <c r="I45" s="12">
        <f>MAX(0,MIN(1,((Input!I45-Input!I$204)/(Input!I$205-Input!I$204))))</f>
        <v>1.7290000494E-2</v>
      </c>
      <c r="J45" s="12">
        <f>MAX(0,MIN(1,((Input!J45-Input!J$204)/(Input!J$205-Input!J$204))))</f>
        <v>1.7472000499199999E-2</v>
      </c>
      <c r="K45" s="12">
        <f>MAX(0,MIN(1,((Input!K45-Input!K$204)/(Input!K$205-Input!K$204))))</f>
        <v>1.7654000504399997E-2</v>
      </c>
      <c r="L45" s="12">
        <f>MAX(0,MIN(1,((Input!L45-Input!L$204)/(Input!L$205-Input!L$204))))</f>
        <v>1.7836000509599999E-2</v>
      </c>
      <c r="M45" s="12">
        <f>MAX(0,MIN(1,((Input!M45-Input!M$204)/(Input!M$205-Input!M$204))))</f>
        <v>1.8018000514800001E-2</v>
      </c>
      <c r="N45" s="12">
        <f>MAX(0,MIN(1,((Input!N45-Input!N$204)/(Input!N$205-Input!N$204))))</f>
        <v>1.8200000519999999E-2</v>
      </c>
      <c r="O45" s="12">
        <f>MAX(0,MIN(1,((Input!O45-Input!O$204)/(Input!O$205-Input!O$204))))</f>
        <v>1.8018000514800001E-2</v>
      </c>
      <c r="P45" s="12">
        <f>MAX(0,MIN(1,((Input!P45-Input!P$204)/(Input!P$205-Input!P$204))))</f>
        <v>1.7836000509599999E-2</v>
      </c>
      <c r="Q45" s="12">
        <f>MAX(0,MIN(1,((Input!Q45-Input!Q$204)/(Input!Q$205-Input!Q$204))))</f>
        <v>1.7654000504399997E-2</v>
      </c>
      <c r="R45" s="12">
        <f>MAX(0,MIN(1,((Input!R45-Input!R$204)/(Input!R$205-Input!R$204))))</f>
        <v>1.7472000499199999E-2</v>
      </c>
      <c r="S45" s="12">
        <f>MAX(0,MIN(1,((Input!S45-Input!S$204)/(Input!S$205-Input!S$204))))</f>
        <v>1.7290000494E-2</v>
      </c>
      <c r="T45" s="12">
        <f>MAX(0,MIN(1,((Input!T45-Input!T$204)/(Input!T$205-Input!T$204))))</f>
        <v>1.7108000488799999E-2</v>
      </c>
      <c r="U45" s="12">
        <f>MAX(0,MIN(1,((Input!U45-Input!U$204)/(Input!U$205-Input!U$204))))</f>
        <v>0</v>
      </c>
      <c r="V45" s="26">
        <f>COUNT(Raw!E45:U45)</f>
        <v>1</v>
      </c>
      <c r="W45" s="27">
        <f t="shared" si="1"/>
        <v>17</v>
      </c>
      <c r="AA45">
        <v>1.4378000410800097E-2</v>
      </c>
      <c r="AB45">
        <v>2011</v>
      </c>
      <c r="AC45">
        <v>17</v>
      </c>
    </row>
    <row r="46" spans="1:29" ht="13">
      <c r="A46" s="12"/>
      <c r="B46" s="12"/>
      <c r="C46" s="1" t="s">
        <v>399</v>
      </c>
      <c r="D46" s="1" t="s">
        <v>128</v>
      </c>
      <c r="E46" s="12">
        <f>MAX(0,MIN(1,((Input!E46-Input!E$204)/(Input!E$205-Input!E$204))))</f>
        <v>0.16700000760000003</v>
      </c>
      <c r="F46" s="12">
        <f>MAX(0,MIN(1,((Input!F46-Input!F$204)/(Input!F$205-Input!F$204))))</f>
        <v>0.17</v>
      </c>
      <c r="G46" s="12">
        <f>MAX(0,MIN(1,((Input!G46-Input!G$204)/(Input!G$205-Input!G$204))))</f>
        <v>0.17</v>
      </c>
      <c r="H46" s="12">
        <f>MAX(0,MIN(1,((Input!H46-Input!H$204)/(Input!H$205-Input!H$204))))</f>
        <v>0.21</v>
      </c>
      <c r="I46" s="12">
        <f>MAX(0,MIN(1,((Input!I46-Input!I$204)/(Input!I$205-Input!I$204))))</f>
        <v>0.22</v>
      </c>
      <c r="J46" s="12">
        <f>MAX(0,MIN(1,((Input!J46-Input!J$204)/(Input!J$205-Input!J$204))))</f>
        <v>0.22</v>
      </c>
      <c r="K46" s="12">
        <f>MAX(0,MIN(1,((Input!K46-Input!K$204)/(Input!K$205-Input!K$204))))</f>
        <v>0.22</v>
      </c>
      <c r="L46" s="12">
        <f>MAX(0,MIN(1,((Input!L46-Input!L$204)/(Input!L$205-Input!L$204))))</f>
        <v>0.22</v>
      </c>
      <c r="M46" s="12">
        <f>MAX(0,MIN(1,((Input!M46-Input!M$204)/(Input!M$205-Input!M$204))))</f>
        <v>0.24600000380000001</v>
      </c>
      <c r="N46" s="12">
        <f>MAX(0,MIN(1,((Input!N46-Input!N$204)/(Input!N$205-Input!N$204))))</f>
        <v>0.24399999619999999</v>
      </c>
      <c r="O46" s="12">
        <f>MAX(0,MIN(1,((Input!O46-Input!O$204)/(Input!O$205-Input!O$204))))</f>
        <v>0.24800000189999999</v>
      </c>
      <c r="P46" s="12">
        <f>MAX(0,MIN(1,((Input!P46-Input!P$204)/(Input!P$205-Input!P$204))))</f>
        <v>0.25200000760000002</v>
      </c>
      <c r="Q46" s="12">
        <f>MAX(0,MIN(1,((Input!Q46-Input!Q$204)/(Input!Q$205-Input!Q$204))))</f>
        <v>0.25533366070000002</v>
      </c>
      <c r="R46" s="12">
        <f>MAX(0,MIN(1,((Input!R46-Input!R$204)/(Input!R$205-Input!R$204))))</f>
        <v>0.25280000000000002</v>
      </c>
      <c r="S46" s="12">
        <f>MAX(0,MIN(1,((Input!S46-Input!S$204)/(Input!S$205-Input!S$204))))</f>
        <v>0.25027199999999999</v>
      </c>
      <c r="T46" s="12">
        <f>MAX(0,MIN(1,((Input!T46-Input!T$204)/(Input!T$205-Input!T$204))))</f>
        <v>0.24774399999999999</v>
      </c>
      <c r="U46" s="12">
        <f>MAX(0,MIN(1,((Input!U46-Input!U$204)/(Input!U$205-Input!U$204))))</f>
        <v>0</v>
      </c>
      <c r="V46" s="26">
        <f>COUNT(Raw!E46:U46)</f>
        <v>13</v>
      </c>
      <c r="W46" s="27">
        <f t="shared" si="1"/>
        <v>17</v>
      </c>
      <c r="AA46">
        <v>0.28859913067017035</v>
      </c>
      <c r="AB46">
        <v>2011</v>
      </c>
      <c r="AC46">
        <v>17</v>
      </c>
    </row>
    <row r="47" spans="1:29" ht="13">
      <c r="A47" s="12"/>
      <c r="B47" s="12"/>
      <c r="C47" s="1" t="s">
        <v>267</v>
      </c>
      <c r="D47" s="1" t="s">
        <v>18</v>
      </c>
      <c r="E47" s="12">
        <f>MAX(0,MIN(1,((Input!E47-Input!E$204)/(Input!E$205-Input!E$204))))</f>
        <v>9.6000003809999998E-2</v>
      </c>
      <c r="F47" s="12">
        <f>MAX(0,MIN(1,((Input!F47-Input!F$204)/(Input!F$205-Input!F$204))))</f>
        <v>9.6999998089999998E-2</v>
      </c>
      <c r="G47" s="12">
        <f>MAX(0,MIN(1,((Input!G47-Input!G$204)/(Input!G$205-Input!G$204))))</f>
        <v>9.6999998089999998E-2</v>
      </c>
      <c r="H47" s="12">
        <f>MAX(0,MIN(1,((Input!H47-Input!H$204)/(Input!H$205-Input!H$204))))</f>
        <v>9.6999998089999998E-2</v>
      </c>
      <c r="I47" s="12">
        <f>MAX(0,MIN(1,((Input!I47-Input!I$204)/(Input!I$205-Input!I$204))))</f>
        <v>9.6999998089999998E-2</v>
      </c>
      <c r="J47" s="12">
        <f>MAX(0,MIN(1,((Input!J47-Input!J$204)/(Input!J$205-Input!J$204))))</f>
        <v>9.6999998089999998E-2</v>
      </c>
      <c r="K47" s="12">
        <f>MAX(0,MIN(1,((Input!K47-Input!K$204)/(Input!K$205-Input!K$204))))</f>
        <v>9.3049998282500004E-2</v>
      </c>
      <c r="L47" s="12">
        <f>MAX(0,MIN(1,((Input!L47-Input!L$204)/(Input!L$205-Input!L$204))))</f>
        <v>8.9099998474999997E-2</v>
      </c>
      <c r="M47" s="12">
        <f>MAX(0,MIN(1,((Input!M47-Input!M$204)/(Input!M$205-Input!M$204))))</f>
        <v>8.514999866749999E-2</v>
      </c>
      <c r="N47" s="12">
        <f>MAX(0,MIN(1,((Input!N47-Input!N$204)/(Input!N$205-Input!N$204))))</f>
        <v>8.1199998860000011E-2</v>
      </c>
      <c r="O47" s="12">
        <f>MAX(0,MIN(1,((Input!O47-Input!O$204)/(Input!O$205-Input!O$204))))</f>
        <v>8.0565516256666678E-2</v>
      </c>
      <c r="P47" s="12">
        <f>MAX(0,MIN(1,((Input!P47-Input!P$204)/(Input!P$205-Input!P$204))))</f>
        <v>7.9931033653333344E-2</v>
      </c>
      <c r="Q47" s="12">
        <f>MAX(0,MIN(1,((Input!Q47-Input!Q$204)/(Input!Q$205-Input!Q$204))))</f>
        <v>7.9296551049999997E-2</v>
      </c>
      <c r="R47" s="12">
        <f>MAX(0,MIN(1,((Input!R47-Input!R$204)/(Input!R$205-Input!R$204))))</f>
        <v>7.8503585539500001E-2</v>
      </c>
      <c r="S47" s="12">
        <f>MAX(0,MIN(1,((Input!S47-Input!S$204)/(Input!S$205-Input!S$204))))</f>
        <v>7.7710620029000005E-2</v>
      </c>
      <c r="T47" s="12">
        <f>MAX(0,MIN(1,((Input!T47-Input!T$204)/(Input!T$205-Input!T$204))))</f>
        <v>7.6917654518500009E-2</v>
      </c>
      <c r="U47" s="12">
        <f>MAX(0,MIN(1,((Input!U47-Input!U$204)/(Input!U$205-Input!U$204))))</f>
        <v>0</v>
      </c>
      <c r="V47" s="26">
        <f>COUNT(Raw!E47:U47)</f>
        <v>8</v>
      </c>
      <c r="W47" s="27">
        <f t="shared" si="1"/>
        <v>17</v>
      </c>
      <c r="AA47">
        <v>7.325636833173689E-2</v>
      </c>
      <c r="AB47">
        <v>2011</v>
      </c>
      <c r="AC47">
        <v>17</v>
      </c>
    </row>
    <row r="48" spans="1:29" ht="13">
      <c r="A48" s="12"/>
      <c r="B48" s="12"/>
      <c r="C48" s="1" t="s">
        <v>291</v>
      </c>
      <c r="D48" s="1" t="s">
        <v>46</v>
      </c>
      <c r="E48" s="12">
        <f>MAX(0,MIN(1,((Input!E48-Input!E$204)/(Input!E$205-Input!E$204))))</f>
        <v>0.80685000000000007</v>
      </c>
      <c r="F48" s="12">
        <f>MAX(0,MIN(1,((Input!F48-Input!F$204)/(Input!F$205-Input!F$204))))</f>
        <v>0.81499999999999995</v>
      </c>
      <c r="G48" s="12">
        <f>MAX(0,MIN(1,((Input!G48-Input!G$204)/(Input!G$205-Input!G$204))))</f>
        <v>0.81499999999999995</v>
      </c>
      <c r="H48" s="12">
        <f>MAX(0,MIN(1,((Input!H48-Input!H$204)/(Input!H$205-Input!H$204))))</f>
        <v>0.84400001530000002</v>
      </c>
      <c r="I48" s="12">
        <f>MAX(0,MIN(1,((Input!I48-Input!I$204)/(Input!I$205-Input!I$204))))</f>
        <v>0.84599998470000004</v>
      </c>
      <c r="J48" s="12">
        <f>MAX(0,MIN(1,((Input!J48-Input!J$204)/(Input!J$205-Input!J$204))))</f>
        <v>0.85400000000000009</v>
      </c>
      <c r="K48" s="12">
        <f>MAX(0,MIN(1,((Input!K48-Input!K$204)/(Input!K$205-Input!K$204))))</f>
        <v>0.84927745360000007</v>
      </c>
      <c r="L48" s="12">
        <f>MAX(0,MIN(1,((Input!L48-Input!L$204)/(Input!L$205-Input!L$204))))</f>
        <v>0.8562836828</v>
      </c>
      <c r="M48" s="12">
        <f>MAX(0,MIN(1,((Input!M48-Input!M$204)/(Input!M$205-Input!M$204))))</f>
        <v>0.86328991200000005</v>
      </c>
      <c r="N48" s="12">
        <f>MAX(0,MIN(1,((Input!N48-Input!N$204)/(Input!N$205-Input!N$204))))</f>
        <v>0.87029614119999987</v>
      </c>
      <c r="O48" s="12">
        <f>MAX(0,MIN(1,((Input!O48-Input!O$204)/(Input!O$205-Input!O$204))))</f>
        <v>0.87730237039999992</v>
      </c>
      <c r="P48" s="12">
        <f>MAX(0,MIN(1,((Input!P48-Input!P$204)/(Input!P$205-Input!P$204))))</f>
        <v>0.88430859959999997</v>
      </c>
      <c r="Q48" s="12">
        <f>MAX(0,MIN(1,((Input!Q48-Input!Q$204)/(Input!Q$205-Input!Q$204))))</f>
        <v>0.8913148287999999</v>
      </c>
      <c r="R48" s="12">
        <f>MAX(0,MIN(1,((Input!R48-Input!R$204)/(Input!R$205-Input!R$204))))</f>
        <v>0.86879999999999991</v>
      </c>
      <c r="S48" s="12">
        <f>MAX(0,MIN(1,((Input!S48-Input!S$204)/(Input!S$205-Input!S$204))))</f>
        <v>0.86011199999999999</v>
      </c>
      <c r="T48" s="12">
        <f>MAX(0,MIN(1,((Input!T48-Input!T$204)/(Input!T$205-Input!T$204))))</f>
        <v>0.85142399999999996</v>
      </c>
      <c r="U48" s="12">
        <f>MAX(0,MIN(1,((Input!U48-Input!U$204)/(Input!U$205-Input!U$204))))</f>
        <v>0</v>
      </c>
      <c r="V48" s="26">
        <f>COUNT(Raw!E48:U48)</f>
        <v>8</v>
      </c>
      <c r="W48" s="27">
        <f t="shared" si="1"/>
        <v>17</v>
      </c>
      <c r="AA48">
        <v>0.90026421119982158</v>
      </c>
      <c r="AB48">
        <v>2011</v>
      </c>
      <c r="AC48">
        <v>17</v>
      </c>
    </row>
    <row r="49" spans="1:29" ht="13">
      <c r="A49" s="12"/>
      <c r="B49" s="12"/>
      <c r="C49" s="1" t="s">
        <v>25</v>
      </c>
      <c r="D49" s="1" t="s">
        <v>126</v>
      </c>
      <c r="E49" s="12">
        <f>MAX(0,MIN(1,((Input!E49-Input!E$204)/(Input!E$205-Input!E$204))))</f>
        <v>0.55799999239999998</v>
      </c>
      <c r="F49" s="12">
        <f>MAX(0,MIN(1,((Input!F49-Input!F$204)/(Input!F$205-Input!F$204))))</f>
        <v>0.55900001529999999</v>
      </c>
      <c r="G49" s="12">
        <f>MAX(0,MIN(1,((Input!G49-Input!G$204)/(Input!G$205-Input!G$204))))</f>
        <v>0.49</v>
      </c>
      <c r="H49" s="12">
        <f>MAX(0,MIN(1,((Input!H49-Input!H$204)/(Input!H$205-Input!H$204))))</f>
        <v>0.49</v>
      </c>
      <c r="I49" s="12">
        <f>MAX(0,MIN(1,((Input!I49-Input!I$204)/(Input!I$205-Input!I$204))))</f>
        <v>0.49</v>
      </c>
      <c r="J49" s="12">
        <f>MAX(0,MIN(1,((Input!J49-Input!J$204)/(Input!J$205-Input!J$204))))</f>
        <v>0.49</v>
      </c>
      <c r="K49" s="12">
        <f>MAX(0,MIN(1,((Input!K49-Input!K$204)/(Input!K$205-Input!K$204))))</f>
        <v>0.49</v>
      </c>
      <c r="L49" s="12">
        <f>MAX(0,MIN(1,((Input!L49-Input!L$204)/(Input!L$205-Input!L$204))))</f>
        <v>0.48509999999999998</v>
      </c>
      <c r="M49" s="12">
        <f>MAX(0,MIN(1,((Input!M49-Input!M$204)/(Input!M$205-Input!M$204))))</f>
        <v>0.48020000000000002</v>
      </c>
      <c r="N49" s="12">
        <f>MAX(0,MIN(1,((Input!N49-Input!N$204)/(Input!N$205-Input!N$204))))</f>
        <v>0.4753</v>
      </c>
      <c r="O49" s="12">
        <f>MAX(0,MIN(1,((Input!O49-Input!O$204)/(Input!O$205-Input!O$204))))</f>
        <v>0.47039999999999998</v>
      </c>
      <c r="P49" s="12">
        <f>MAX(0,MIN(1,((Input!P49-Input!P$204)/(Input!P$205-Input!P$204))))</f>
        <v>0.46550000000000002</v>
      </c>
      <c r="Q49" s="12">
        <f>MAX(0,MIN(1,((Input!Q49-Input!Q$204)/(Input!Q$205-Input!Q$204))))</f>
        <v>0.46060000000000001</v>
      </c>
      <c r="R49" s="12">
        <f>MAX(0,MIN(1,((Input!R49-Input!R$204)/(Input!R$205-Input!R$204))))</f>
        <v>0.45569999999999999</v>
      </c>
      <c r="S49" s="12">
        <f>MAX(0,MIN(1,((Input!S49-Input!S$204)/(Input!S$205-Input!S$204))))</f>
        <v>0.45080000000000003</v>
      </c>
      <c r="T49" s="12">
        <f>MAX(0,MIN(1,((Input!T49-Input!T$204)/(Input!T$205-Input!T$204))))</f>
        <v>0.44590000000000002</v>
      </c>
      <c r="U49" s="12">
        <f>MAX(0,MIN(1,((Input!U49-Input!U$204)/(Input!U$205-Input!U$204))))</f>
        <v>0</v>
      </c>
      <c r="V49" s="26">
        <f>COUNT(Raw!E49:U49)</f>
        <v>7</v>
      </c>
      <c r="W49" s="27">
        <f t="shared" si="1"/>
        <v>17</v>
      </c>
      <c r="AA49">
        <v>0.35078571176428797</v>
      </c>
      <c r="AB49">
        <v>2011</v>
      </c>
      <c r="AC49">
        <v>17</v>
      </c>
    </row>
    <row r="50" spans="1:29" ht="13">
      <c r="A50" s="12"/>
      <c r="B50" s="12"/>
      <c r="C50" s="1" t="s">
        <v>62</v>
      </c>
      <c r="D50" s="1" t="s">
        <v>39</v>
      </c>
      <c r="E50" s="12">
        <f>MAX(0,MIN(1,((Input!E50-Input!E$204)/(Input!E$205-Input!E$204))))</f>
        <v>0.56999999999999995</v>
      </c>
      <c r="F50" s="12">
        <f>MAX(0,MIN(1,((Input!F50-Input!F$204)/(Input!F$205-Input!F$204))))</f>
        <v>0.57200000760000003</v>
      </c>
      <c r="G50" s="12">
        <f>MAX(0,MIN(1,((Input!G50-Input!G$204)/(Input!G$205-Input!G$204))))</f>
        <v>0.57299999239999999</v>
      </c>
      <c r="H50" s="12">
        <f>MAX(0,MIN(1,((Input!H50-Input!H$204)/(Input!H$205-Input!H$204))))</f>
        <v>0.59200000760000004</v>
      </c>
      <c r="I50" s="12">
        <f>MAX(0,MIN(1,((Input!I50-Input!I$204)/(Input!I$205-Input!I$204))))</f>
        <v>0.59599998470000004</v>
      </c>
      <c r="J50" s="12">
        <f>MAX(0,MIN(1,((Input!J50-Input!J$204)/(Input!J$205-Input!J$204))))</f>
        <v>0.60599998470000005</v>
      </c>
      <c r="K50" s="12">
        <f>MAX(0,MIN(1,((Input!K50-Input!K$204)/(Input!K$205-Input!K$204))))</f>
        <v>0.61200000760000006</v>
      </c>
      <c r="L50" s="12">
        <f>MAX(0,MIN(1,((Input!L50-Input!L$204)/(Input!L$205-Input!L$204))))</f>
        <v>0.62200000760000007</v>
      </c>
      <c r="M50" s="12">
        <f>MAX(0,MIN(1,((Input!M50-Input!M$204)/(Input!M$205-Input!M$204))))</f>
        <v>0.62950000760000002</v>
      </c>
      <c r="N50" s="12">
        <f>MAX(0,MIN(1,((Input!N50-Input!N$204)/(Input!N$205-Input!N$204))))</f>
        <v>0.63</v>
      </c>
      <c r="O50" s="12">
        <f>MAX(0,MIN(1,((Input!O50-Input!O$204)/(Input!O$205-Input!O$204))))</f>
        <v>0.6458999634</v>
      </c>
      <c r="P50" s="12">
        <f>MAX(0,MIN(1,((Input!P50-Input!P$204)/(Input!P$205-Input!P$204))))</f>
        <v>0.65050003050000005</v>
      </c>
      <c r="Q50" s="12">
        <f>MAX(0,MIN(1,((Input!Q50-Input!Q$204)/(Input!Q$205-Input!Q$204))))</f>
        <v>0.64037236649999996</v>
      </c>
      <c r="R50" s="12">
        <f>MAX(0,MIN(1,((Input!R50-Input!R$204)/(Input!R$205-Input!R$204))))</f>
        <v>0.64610000000000001</v>
      </c>
      <c r="S50" s="12">
        <f>MAX(0,MIN(1,((Input!S50-Input!S$204)/(Input!S$205-Input!S$204))))</f>
        <v>0.63963899999999996</v>
      </c>
      <c r="T50" s="12">
        <f>MAX(0,MIN(1,((Input!T50-Input!T$204)/(Input!T$205-Input!T$204))))</f>
        <v>0.63317800000000002</v>
      </c>
      <c r="U50" s="12">
        <f>MAX(0,MIN(1,((Input!U50-Input!U$204)/(Input!U$205-Input!U$204))))</f>
        <v>0</v>
      </c>
      <c r="V50" s="26">
        <f>COUNT(Raw!E50:U50)</f>
        <v>14</v>
      </c>
      <c r="W50" s="27">
        <f t="shared" si="1"/>
        <v>17</v>
      </c>
      <c r="AA50">
        <v>0.67727080199824063</v>
      </c>
      <c r="AB50">
        <v>2011</v>
      </c>
      <c r="AC50">
        <v>17</v>
      </c>
    </row>
    <row r="51" spans="1:29" ht="13">
      <c r="A51" s="12"/>
      <c r="B51" s="12"/>
      <c r="C51" s="1" t="s">
        <v>54</v>
      </c>
      <c r="D51" s="1" t="s">
        <v>303</v>
      </c>
      <c r="E51" s="12">
        <f>MAX(0,MIN(1,((Input!E51-Input!E$204)/(Input!E$205-Input!E$204))))</f>
        <v>1</v>
      </c>
      <c r="F51" s="12">
        <f>MAX(0,MIN(1,((Input!F51-Input!F$204)/(Input!F$205-Input!F$204))))</f>
        <v>1</v>
      </c>
      <c r="G51" s="12">
        <f>MAX(0,MIN(1,((Input!G51-Input!G$204)/(Input!G$205-Input!G$204))))</f>
        <v>1</v>
      </c>
      <c r="H51" s="12">
        <f>MAX(0,MIN(1,((Input!H51-Input!H$204)/(Input!H$205-Input!H$204))))</f>
        <v>1</v>
      </c>
      <c r="I51" s="12">
        <f>MAX(0,MIN(1,((Input!I51-Input!I$204)/(Input!I$205-Input!I$204))))</f>
        <v>1</v>
      </c>
      <c r="J51" s="12">
        <f>MAX(0,MIN(1,((Input!J51-Input!J$204)/(Input!J$205-Input!J$204))))</f>
        <v>1</v>
      </c>
      <c r="K51" s="12">
        <f>MAX(0,MIN(1,((Input!K51-Input!K$204)/(Input!K$205-Input!K$204))))</f>
        <v>1</v>
      </c>
      <c r="L51" s="12">
        <f>MAX(0,MIN(1,((Input!L51-Input!L$204)/(Input!L$205-Input!L$204))))</f>
        <v>1</v>
      </c>
      <c r="M51" s="12">
        <f>MAX(0,MIN(1,((Input!M51-Input!M$204)/(Input!M$205-Input!M$204))))</f>
        <v>1</v>
      </c>
      <c r="N51" s="12">
        <f>MAX(0,MIN(1,((Input!N51-Input!N$204)/(Input!N$205-Input!N$204))))</f>
        <v>1</v>
      </c>
      <c r="O51" s="12">
        <f>MAX(0,MIN(1,((Input!O51-Input!O$204)/(Input!O$205-Input!O$204))))</f>
        <v>0.99</v>
      </c>
      <c r="P51" s="12">
        <f>MAX(0,MIN(1,((Input!P51-Input!P$204)/(Input!P$205-Input!P$204))))</f>
        <v>0.98</v>
      </c>
      <c r="Q51" s="12">
        <f>MAX(0,MIN(1,((Input!Q51-Input!Q$204)/(Input!Q$205-Input!Q$204))))</f>
        <v>0.97</v>
      </c>
      <c r="R51" s="12">
        <f>MAX(0,MIN(1,((Input!R51-Input!R$204)/(Input!R$205-Input!R$204))))</f>
        <v>0.96</v>
      </c>
      <c r="S51" s="12">
        <f>MAX(0,MIN(1,((Input!S51-Input!S$204)/(Input!S$205-Input!S$204))))</f>
        <v>0.95</v>
      </c>
      <c r="T51" s="12">
        <f>MAX(0,MIN(1,((Input!T51-Input!T$204)/(Input!T$205-Input!T$204))))</f>
        <v>0.94</v>
      </c>
      <c r="U51" s="12">
        <f>MAX(0,MIN(1,((Input!U51-Input!U$204)/(Input!U$205-Input!U$204))))</f>
        <v>0</v>
      </c>
      <c r="V51" s="26">
        <f>COUNT(Raw!E51:U51)</f>
        <v>9</v>
      </c>
      <c r="W51" s="27">
        <f t="shared" si="1"/>
        <v>17</v>
      </c>
      <c r="AA51">
        <v>1</v>
      </c>
      <c r="AB51">
        <v>2011</v>
      </c>
      <c r="AC51">
        <v>17</v>
      </c>
    </row>
    <row r="52" spans="1:29" ht="13">
      <c r="A52" s="12"/>
      <c r="B52" s="12"/>
      <c r="C52" s="1" t="s">
        <v>347</v>
      </c>
      <c r="D52" s="1" t="s">
        <v>234</v>
      </c>
      <c r="E52" s="12">
        <f>MAX(0,MIN(1,((Input!E52-Input!E$204)/(Input!E$205-Input!E$204))))</f>
        <v>1</v>
      </c>
      <c r="F52" s="12">
        <f>MAX(0,MIN(1,((Input!F52-Input!F$204)/(Input!F$205-Input!F$204))))</f>
        <v>1</v>
      </c>
      <c r="G52" s="12">
        <f>MAX(0,MIN(1,((Input!G52-Input!G$204)/(Input!G$205-Input!G$204))))</f>
        <v>1</v>
      </c>
      <c r="H52" s="12">
        <f>MAX(0,MIN(1,((Input!H52-Input!H$204)/(Input!H$205-Input!H$204))))</f>
        <v>1</v>
      </c>
      <c r="I52" s="12">
        <f>MAX(0,MIN(1,((Input!I52-Input!I$204)/(Input!I$205-Input!I$204))))</f>
        <v>1</v>
      </c>
      <c r="J52" s="12">
        <f>MAX(0,MIN(1,((Input!J52-Input!J$204)/(Input!J$205-Input!J$204))))</f>
        <v>1</v>
      </c>
      <c r="K52" s="12">
        <f>MAX(0,MIN(1,((Input!K52-Input!K$204)/(Input!K$205-Input!K$204))))</f>
        <v>1</v>
      </c>
      <c r="L52" s="12">
        <f>MAX(0,MIN(1,((Input!L52-Input!L$204)/(Input!L$205-Input!L$204))))</f>
        <v>1</v>
      </c>
      <c r="M52" s="12">
        <f>MAX(0,MIN(1,((Input!M52-Input!M$204)/(Input!M$205-Input!M$204))))</f>
        <v>1</v>
      </c>
      <c r="N52" s="12">
        <f>MAX(0,MIN(1,((Input!N52-Input!N$204)/(Input!N$205-Input!N$204))))</f>
        <v>1</v>
      </c>
      <c r="O52" s="12">
        <f>MAX(0,MIN(1,((Input!O52-Input!O$204)/(Input!O$205-Input!O$204))))</f>
        <v>1</v>
      </c>
      <c r="P52" s="12">
        <f>MAX(0,MIN(1,((Input!P52-Input!P$204)/(Input!P$205-Input!P$204))))</f>
        <v>1</v>
      </c>
      <c r="Q52" s="12">
        <f>MAX(0,MIN(1,((Input!Q52-Input!Q$204)/(Input!Q$205-Input!Q$204))))</f>
        <v>1</v>
      </c>
      <c r="R52" s="12">
        <f>MAX(0,MIN(1,((Input!R52-Input!R$204)/(Input!R$205-Input!R$204))))</f>
        <v>1</v>
      </c>
      <c r="S52" s="12">
        <f>MAX(0,MIN(1,((Input!S52-Input!S$204)/(Input!S$205-Input!S$204))))</f>
        <v>0.99</v>
      </c>
      <c r="T52" s="12">
        <f>MAX(0,MIN(1,((Input!T52-Input!T$204)/(Input!T$205-Input!T$204))))</f>
        <v>0.98</v>
      </c>
      <c r="U52" s="12">
        <f>MAX(0,MIN(1,((Input!U52-Input!U$204)/(Input!U$205-Input!U$204))))</f>
        <v>0</v>
      </c>
      <c r="V52" s="26">
        <f>COUNT(Raw!E52:U52)</f>
        <v>14</v>
      </c>
      <c r="W52" s="27">
        <f t="shared" si="1"/>
        <v>17</v>
      </c>
      <c r="AA52">
        <v>1</v>
      </c>
      <c r="AB52">
        <v>2011</v>
      </c>
      <c r="AC52">
        <v>17</v>
      </c>
    </row>
    <row r="53" spans="1:29" ht="13">
      <c r="A53" s="12"/>
      <c r="B53" s="12"/>
      <c r="C53" s="1" t="s">
        <v>176</v>
      </c>
      <c r="D53" s="1" t="s">
        <v>184</v>
      </c>
      <c r="E53" s="12">
        <f>MAX(0,MIN(1,((Input!E53-Input!E$204)/(Input!E$205-Input!E$204))))</f>
        <v>0.42749999999999999</v>
      </c>
      <c r="F53" s="12">
        <f>MAX(0,MIN(1,((Input!F53-Input!F$204)/(Input!F$205-Input!F$204))))</f>
        <v>0.43200000000000005</v>
      </c>
      <c r="G53" s="12">
        <f>MAX(0,MIN(1,((Input!G53-Input!G$204)/(Input!G$205-Input!G$204))))</f>
        <v>0.4365</v>
      </c>
      <c r="H53" s="12">
        <f>MAX(0,MIN(1,((Input!H53-Input!H$204)/(Input!H$205-Input!H$204))))</f>
        <v>0.441</v>
      </c>
      <c r="I53" s="12">
        <f>MAX(0,MIN(1,((Input!I53-Input!I$204)/(Input!I$205-Input!I$204))))</f>
        <v>0.44549999999999995</v>
      </c>
      <c r="J53" s="12">
        <f>MAX(0,MIN(1,((Input!J53-Input!J$204)/(Input!J$205-Input!J$204))))</f>
        <v>0.45</v>
      </c>
      <c r="K53" s="12">
        <f>MAX(0,MIN(1,((Input!K53-Input!K$204)/(Input!K$205-Input!K$204))))</f>
        <v>0.45</v>
      </c>
      <c r="L53" s="12">
        <f>MAX(0,MIN(1,((Input!L53-Input!L$204)/(Input!L$205-Input!L$204))))</f>
        <v>0.44549999999999995</v>
      </c>
      <c r="M53" s="12">
        <f>MAX(0,MIN(1,((Input!M53-Input!M$204)/(Input!M$205-Input!M$204))))</f>
        <v>0.441</v>
      </c>
      <c r="N53" s="12">
        <f>MAX(0,MIN(1,((Input!N53-Input!N$204)/(Input!N$205-Input!N$204))))</f>
        <v>0.4365</v>
      </c>
      <c r="O53" s="12">
        <f>MAX(0,MIN(1,((Input!O53-Input!O$204)/(Input!O$205-Input!O$204))))</f>
        <v>0.43200000000000005</v>
      </c>
      <c r="P53" s="12">
        <f>MAX(0,MIN(1,((Input!P53-Input!P$204)/(Input!P$205-Input!P$204))))</f>
        <v>0.42749999999999999</v>
      </c>
      <c r="Q53" s="12">
        <f>MAX(0,MIN(1,((Input!Q53-Input!Q$204)/(Input!Q$205-Input!Q$204))))</f>
        <v>0.42300000000000004</v>
      </c>
      <c r="R53" s="12">
        <f>MAX(0,MIN(1,((Input!R53-Input!R$204)/(Input!R$205-Input!R$204))))</f>
        <v>0.41850000000000004</v>
      </c>
      <c r="S53" s="12">
        <f>MAX(0,MIN(1,((Input!S53-Input!S$204)/(Input!S$205-Input!S$204))))</f>
        <v>0.41400000000000003</v>
      </c>
      <c r="T53" s="12">
        <f>MAX(0,MIN(1,((Input!T53-Input!T$204)/(Input!T$205-Input!T$204))))</f>
        <v>0.40950000000000003</v>
      </c>
      <c r="U53" s="12">
        <f>MAX(0,MIN(1,((Input!U53-Input!U$204)/(Input!U$205-Input!U$204))))</f>
        <v>0</v>
      </c>
      <c r="V53" s="26">
        <f>COUNT(Raw!E53:U53)</f>
        <v>2</v>
      </c>
      <c r="W53" s="27">
        <f t="shared" si="1"/>
        <v>17</v>
      </c>
      <c r="AA53">
        <v>0.45</v>
      </c>
      <c r="AB53">
        <v>2011</v>
      </c>
      <c r="AC53">
        <v>17</v>
      </c>
    </row>
    <row r="54" spans="1:29" ht="13">
      <c r="A54" s="12"/>
      <c r="B54" s="12"/>
      <c r="C54" s="1" t="s">
        <v>203</v>
      </c>
      <c r="D54" s="1" t="s">
        <v>262</v>
      </c>
      <c r="E54" s="12">
        <f>MAX(0,MIN(1,((Input!E54-Input!E$204)/(Input!E$205-Input!E$204))))</f>
        <v>0.50299999239999993</v>
      </c>
      <c r="F54" s="12">
        <f>MAX(0,MIN(1,((Input!F54-Input!F$204)/(Input!F$205-Input!F$204))))</f>
        <v>0.50400001529999994</v>
      </c>
      <c r="G54" s="12">
        <f>MAX(0,MIN(1,((Input!G54-Input!G$204)/(Input!G$205-Input!G$204))))</f>
        <v>0.50400001529999994</v>
      </c>
      <c r="H54" s="12">
        <f>MAX(0,MIN(1,((Input!H54-Input!H$204)/(Input!H$205-Input!H$204))))</f>
        <v>0.50400001529999994</v>
      </c>
      <c r="I54" s="12">
        <f>MAX(0,MIN(1,((Input!I54-Input!I$204)/(Input!I$205-Input!I$204))))</f>
        <v>0.50400001529999994</v>
      </c>
      <c r="J54" s="12">
        <f>MAX(0,MIN(1,((Input!J54-Input!J$204)/(Input!J$205-Input!J$204))))</f>
        <v>0.50400001529999994</v>
      </c>
      <c r="K54" s="12">
        <f>MAX(0,MIN(1,((Input!K54-Input!K$204)/(Input!K$205-Input!K$204))))</f>
        <v>0.50400001529999994</v>
      </c>
      <c r="L54" s="12">
        <f>MAX(0,MIN(1,((Input!L54-Input!L$204)/(Input!L$205-Input!L$204))))</f>
        <v>0.49896001514699995</v>
      </c>
      <c r="M54" s="12">
        <f>MAX(0,MIN(1,((Input!M54-Input!M$204)/(Input!M$205-Input!M$204))))</f>
        <v>0.49392001499399996</v>
      </c>
      <c r="N54" s="12">
        <f>MAX(0,MIN(1,((Input!N54-Input!N$204)/(Input!N$205-Input!N$204))))</f>
        <v>0.48888001484099997</v>
      </c>
      <c r="O54" s="12">
        <f>MAX(0,MIN(1,((Input!O54-Input!O$204)/(Input!O$205-Input!O$204))))</f>
        <v>0.48384001468799992</v>
      </c>
      <c r="P54" s="12">
        <f>MAX(0,MIN(1,((Input!P54-Input!P$204)/(Input!P$205-Input!P$204))))</f>
        <v>0.47880001453499998</v>
      </c>
      <c r="Q54" s="12">
        <f>MAX(0,MIN(1,((Input!Q54-Input!Q$204)/(Input!Q$205-Input!Q$204))))</f>
        <v>0.47376001438199999</v>
      </c>
      <c r="R54" s="12">
        <f>MAX(0,MIN(1,((Input!R54-Input!R$204)/(Input!R$205-Input!R$204))))</f>
        <v>0.468720014229</v>
      </c>
      <c r="S54" s="12">
        <f>MAX(0,MIN(1,((Input!S54-Input!S$204)/(Input!S$205-Input!S$204))))</f>
        <v>0.46368001407599996</v>
      </c>
      <c r="T54" s="12">
        <f>MAX(0,MIN(1,((Input!T54-Input!T$204)/(Input!T$205-Input!T$204))))</f>
        <v>0.45864001392299997</v>
      </c>
      <c r="U54" s="12">
        <f>MAX(0,MIN(1,((Input!U54-Input!U$204)/(Input!U$205-Input!U$204))))</f>
        <v>0</v>
      </c>
      <c r="V54" s="26">
        <f>COUNT(Raw!E54:U54)</f>
        <v>7</v>
      </c>
      <c r="W54" s="27">
        <f t="shared" si="1"/>
        <v>17</v>
      </c>
      <c r="AA54">
        <v>0.50525004392499995</v>
      </c>
      <c r="AB54">
        <v>2011</v>
      </c>
      <c r="AC54">
        <v>17</v>
      </c>
    </row>
    <row r="55" spans="1:29" ht="13">
      <c r="A55" s="12"/>
      <c r="B55" s="12"/>
      <c r="C55" s="1" t="s">
        <v>365</v>
      </c>
      <c r="D55" s="1" t="s">
        <v>67</v>
      </c>
      <c r="E55" s="12">
        <f>MAX(0,MIN(1,((Input!E55-Input!E$204)/(Input!E$205-Input!E$204))))</f>
        <v>0.49299999239999998</v>
      </c>
      <c r="F55" s="12">
        <f>MAX(0,MIN(1,((Input!F55-Input!F$204)/(Input!F$205-Input!F$204))))</f>
        <v>0.49400001529999998</v>
      </c>
      <c r="G55" s="12">
        <f>MAX(0,MIN(1,((Input!G55-Input!G$204)/(Input!G$205-Input!G$204))))</f>
        <v>0.49400001529999998</v>
      </c>
      <c r="H55" s="12">
        <f>MAX(0,MIN(1,((Input!H55-Input!H$204)/(Input!H$205-Input!H$204))))</f>
        <v>0.49400001529999998</v>
      </c>
      <c r="I55" s="12">
        <f>MAX(0,MIN(1,((Input!I55-Input!I$204)/(Input!I$205-Input!I$204))))</f>
        <v>0.49400001529999998</v>
      </c>
      <c r="J55" s="12">
        <f>MAX(0,MIN(1,((Input!J55-Input!J$204)/(Input!J$205-Input!J$204))))</f>
        <v>0.49400001529999998</v>
      </c>
      <c r="K55" s="12">
        <f>MAX(0,MIN(1,((Input!K55-Input!K$204)/(Input!K$205-Input!K$204))))</f>
        <v>0.49400001529999998</v>
      </c>
      <c r="L55" s="12">
        <f>MAX(0,MIN(1,((Input!L55-Input!L$204)/(Input!L$205-Input!L$204))))</f>
        <v>0.48906001514699993</v>
      </c>
      <c r="M55" s="12">
        <f>MAX(0,MIN(1,((Input!M55-Input!M$204)/(Input!M$205-Input!M$204))))</f>
        <v>0.48412001499399998</v>
      </c>
      <c r="N55" s="12">
        <f>MAX(0,MIN(1,((Input!N55-Input!N$204)/(Input!N$205-Input!N$204))))</f>
        <v>0.47918001484099998</v>
      </c>
      <c r="O55" s="12">
        <f>MAX(0,MIN(1,((Input!O55-Input!O$204)/(Input!O$205-Input!O$204))))</f>
        <v>0.47424001468799998</v>
      </c>
      <c r="P55" s="12">
        <f>MAX(0,MIN(1,((Input!P55-Input!P$204)/(Input!P$205-Input!P$204))))</f>
        <v>0.46930001453499998</v>
      </c>
      <c r="Q55" s="12">
        <f>MAX(0,MIN(1,((Input!Q55-Input!Q$204)/(Input!Q$205-Input!Q$204))))</f>
        <v>0.46436001438200003</v>
      </c>
      <c r="R55" s="12">
        <f>MAX(0,MIN(1,((Input!R55-Input!R$204)/(Input!R$205-Input!R$204))))</f>
        <v>0.45942001422899997</v>
      </c>
      <c r="S55" s="12">
        <f>MAX(0,MIN(1,((Input!S55-Input!S$204)/(Input!S$205-Input!S$204))))</f>
        <v>0.45448001407600003</v>
      </c>
      <c r="T55" s="12">
        <f>MAX(0,MIN(1,((Input!T55-Input!T$204)/(Input!T$205-Input!T$204))))</f>
        <v>0.44954001392300003</v>
      </c>
      <c r="U55" s="12">
        <f>MAX(0,MIN(1,((Input!U55-Input!U$204)/(Input!U$205-Input!U$204))))</f>
        <v>0</v>
      </c>
      <c r="V55" s="26">
        <f>COUNT(Raw!E55:U55)</f>
        <v>5</v>
      </c>
      <c r="W55" s="27">
        <f t="shared" si="1"/>
        <v>17</v>
      </c>
      <c r="AA55">
        <v>0.49532840392835825</v>
      </c>
      <c r="AB55">
        <v>2011</v>
      </c>
      <c r="AC55">
        <v>17</v>
      </c>
    </row>
    <row r="56" spans="1:29" ht="13">
      <c r="A56" s="12"/>
      <c r="B56" s="12"/>
      <c r="C56" s="1" t="s">
        <v>152</v>
      </c>
      <c r="D56" s="1" t="s">
        <v>75</v>
      </c>
      <c r="E56" s="12">
        <f>MAX(0,MIN(1,((Input!E56-Input!E$204)/(Input!E$205-Input!E$204))))</f>
        <v>0.12699999809999998</v>
      </c>
      <c r="F56" s="12">
        <f>MAX(0,MIN(1,((Input!F56-Input!F$204)/(Input!F$205-Input!F$204))))</f>
        <v>0.1330000019</v>
      </c>
      <c r="G56" s="12">
        <f>MAX(0,MIN(1,((Input!G56-Input!G$204)/(Input!G$205-Input!G$204))))</f>
        <v>0.18899999619999999</v>
      </c>
      <c r="H56" s="12">
        <f>MAX(0,MIN(1,((Input!H56-Input!H$204)/(Input!H$205-Input!H$204))))</f>
        <v>0.18899999619999999</v>
      </c>
      <c r="I56" s="12">
        <f>MAX(0,MIN(1,((Input!I56-Input!I$204)/(Input!I$205-Input!I$204))))</f>
        <v>0.18899999619999999</v>
      </c>
      <c r="J56" s="12">
        <f>MAX(0,MIN(1,((Input!J56-Input!J$204)/(Input!J$205-Input!J$204))))</f>
        <v>0.18899999619999999</v>
      </c>
      <c r="K56" s="12">
        <f>MAX(0,MIN(1,((Input!K56-Input!K$204)/(Input!K$205-Input!K$204))))</f>
        <v>0.16870000839999999</v>
      </c>
      <c r="L56" s="12">
        <f>MAX(0,MIN(1,((Input!L56-Input!L$204)/(Input!L$205-Input!L$204))))</f>
        <v>0.16870000839999999</v>
      </c>
      <c r="M56" s="12">
        <f>MAX(0,MIN(1,((Input!M56-Input!M$204)/(Input!M$205-Input!M$204))))</f>
        <v>0.14939999579999999</v>
      </c>
      <c r="N56" s="12">
        <f>MAX(0,MIN(1,((Input!N56-Input!N$204)/(Input!N$205-Input!N$204))))</f>
        <v>0.1497000027</v>
      </c>
      <c r="O56" s="12">
        <f>MAX(0,MIN(1,((Input!O56-Input!O$204)/(Input!O$205-Input!O$204))))</f>
        <v>0.14892831805000001</v>
      </c>
      <c r="P56" s="12">
        <f>MAX(0,MIN(1,((Input!P56-Input!P$204)/(Input!P$205-Input!P$204))))</f>
        <v>0.14815663340000002</v>
      </c>
      <c r="Q56" s="12">
        <f>MAX(0,MIN(1,((Input!Q56-Input!Q$204)/(Input!Q$205-Input!Q$204))))</f>
        <v>0.14815662930000001</v>
      </c>
      <c r="R56" s="12">
        <f>MAX(0,MIN(1,((Input!R56-Input!R$204)/(Input!R$205-Input!R$204))))</f>
        <v>0.14667506300700001</v>
      </c>
      <c r="S56" s="12">
        <f>MAX(0,MIN(1,((Input!S56-Input!S$204)/(Input!S$205-Input!S$204))))</f>
        <v>0.145193496714</v>
      </c>
      <c r="T56" s="12">
        <f>MAX(0,MIN(1,((Input!T56-Input!T$204)/(Input!T$205-Input!T$204))))</f>
        <v>0.143711930421</v>
      </c>
      <c r="U56" s="12">
        <f>MAX(0,MIN(1,((Input!U56-Input!U$204)/(Input!U$205-Input!U$204))))</f>
        <v>0</v>
      </c>
      <c r="V56" s="26">
        <f>COUNT(Raw!E56:U56)</f>
        <v>12</v>
      </c>
      <c r="W56" s="27">
        <f t="shared" si="1"/>
        <v>17</v>
      </c>
      <c r="AA56">
        <v>0.15480343269028338</v>
      </c>
      <c r="AB56">
        <v>2011</v>
      </c>
      <c r="AC56">
        <v>17</v>
      </c>
    </row>
    <row r="57" spans="1:29" ht="13">
      <c r="A57" s="12"/>
      <c r="B57" s="12"/>
      <c r="C57" s="1" t="s">
        <v>105</v>
      </c>
      <c r="D57" s="1" t="s">
        <v>216</v>
      </c>
      <c r="E57" s="12">
        <f>MAX(0,MIN(1,((Input!E57-Input!E$204)/(Input!E$205-Input!E$204))))</f>
        <v>0.78</v>
      </c>
      <c r="F57" s="12">
        <f>MAX(0,MIN(1,((Input!F57-Input!F$204)/(Input!F$205-Input!F$204))))</f>
        <v>0.78099998469999998</v>
      </c>
      <c r="G57" s="12">
        <f>MAX(0,MIN(1,((Input!G57-Input!G$204)/(Input!G$205-Input!G$204))))</f>
        <v>0.78099998469999998</v>
      </c>
      <c r="H57" s="12">
        <f>MAX(0,MIN(1,((Input!H57-Input!H$204)/(Input!H$205-Input!H$204))))</f>
        <v>0.78099998469999998</v>
      </c>
      <c r="I57" s="12">
        <f>MAX(0,MIN(1,((Input!I57-Input!I$204)/(Input!I$205-Input!I$204))))</f>
        <v>0.78099998469999998</v>
      </c>
      <c r="J57" s="12">
        <f>MAX(0,MIN(1,((Input!J57-Input!J$204)/(Input!J$205-Input!J$204))))</f>
        <v>0.78099998469999998</v>
      </c>
      <c r="K57" s="12">
        <f>MAX(0,MIN(1,((Input!K57-Input!K$204)/(Input!K$205-Input!K$204))))</f>
        <v>0.78824998852500006</v>
      </c>
      <c r="L57" s="12">
        <f>MAX(0,MIN(1,((Input!L57-Input!L$204)/(Input!L$205-Input!L$204))))</f>
        <v>0.79549999235000002</v>
      </c>
      <c r="M57" s="12">
        <f>MAX(0,MIN(1,((Input!M57-Input!M$204)/(Input!M$205-Input!M$204))))</f>
        <v>0.80274999617499998</v>
      </c>
      <c r="N57" s="12">
        <f>MAX(0,MIN(1,((Input!N57-Input!N$204)/(Input!N$205-Input!N$204))))</f>
        <v>0.81</v>
      </c>
      <c r="O57" s="12">
        <f>MAX(0,MIN(1,((Input!O57-Input!O$204)/(Input!O$205-Input!O$204))))</f>
        <v>0.82472499999999993</v>
      </c>
      <c r="P57" s="12">
        <f>MAX(0,MIN(1,((Input!P57-Input!P$204)/(Input!P$205-Input!P$204))))</f>
        <v>0.83944999999999992</v>
      </c>
      <c r="Q57" s="12">
        <f>MAX(0,MIN(1,((Input!Q57-Input!Q$204)/(Input!Q$205-Input!Q$204))))</f>
        <v>0.85417500000000002</v>
      </c>
      <c r="R57" s="12">
        <f>MAX(0,MIN(1,((Input!R57-Input!R$204)/(Input!R$205-Input!R$204))))</f>
        <v>0.86890000000000001</v>
      </c>
      <c r="S57" s="12">
        <f>MAX(0,MIN(1,((Input!S57-Input!S$204)/(Input!S$205-Input!S$204))))</f>
        <v>0.86021099999999995</v>
      </c>
      <c r="T57" s="12">
        <f>MAX(0,MIN(1,((Input!T57-Input!T$204)/(Input!T$205-Input!T$204))))</f>
        <v>0.85152199999999989</v>
      </c>
      <c r="U57" s="12">
        <f>MAX(0,MIN(1,((Input!U57-Input!U$204)/(Input!U$205-Input!U$204))))</f>
        <v>0</v>
      </c>
      <c r="V57" s="26">
        <f>COUNT(Raw!E57:U57)</f>
        <v>8</v>
      </c>
      <c r="W57" s="27">
        <f t="shared" si="1"/>
        <v>17</v>
      </c>
      <c r="AA57">
        <v>0.8692104585163406</v>
      </c>
      <c r="AB57">
        <v>2011</v>
      </c>
      <c r="AC57">
        <v>17</v>
      </c>
    </row>
    <row r="58" spans="1:29" ht="13">
      <c r="A58" s="12"/>
      <c r="B58" s="12"/>
      <c r="C58" s="1" t="s">
        <v>355</v>
      </c>
      <c r="D58" s="1" t="s">
        <v>20</v>
      </c>
      <c r="E58" s="12">
        <f>MAX(0,MIN(1,((Input!E58-Input!E$204)/(Input!E$205-Input!E$204))))</f>
        <v>0.2</v>
      </c>
      <c r="F58" s="12">
        <f>MAX(0,MIN(1,((Input!F58-Input!F$204)/(Input!F$205-Input!F$204))))</f>
        <v>0.1989999962</v>
      </c>
      <c r="G58" s="12">
        <f>MAX(0,MIN(1,((Input!G58-Input!G$204)/(Input!G$205-Input!G$204))))</f>
        <v>0.19799999239999999</v>
      </c>
      <c r="H58" s="12">
        <f>MAX(0,MIN(1,((Input!H58-Input!H$204)/(Input!H$205-Input!H$204))))</f>
        <v>0.19799999239999999</v>
      </c>
      <c r="I58" s="12">
        <f>MAX(0,MIN(1,((Input!I58-Input!I$204)/(Input!I$205-Input!I$204))))</f>
        <v>0.19799999239999999</v>
      </c>
      <c r="J58" s="12">
        <f>MAX(0,MIN(1,((Input!J58-Input!J$204)/(Input!J$205-Input!J$204))))</f>
        <v>0.19799999239999999</v>
      </c>
      <c r="K58" s="12">
        <f>MAX(0,MIN(1,((Input!K58-Input!K$204)/(Input!K$205-Input!K$204))))</f>
        <v>0.19799999239999999</v>
      </c>
      <c r="L58" s="12">
        <f>MAX(0,MIN(1,((Input!L58-Input!L$204)/(Input!L$205-Input!L$204))))</f>
        <v>0.19601999247599999</v>
      </c>
      <c r="M58" s="12">
        <f>MAX(0,MIN(1,((Input!M58-Input!M$204)/(Input!M$205-Input!M$204))))</f>
        <v>0.194039992552</v>
      </c>
      <c r="N58" s="12">
        <f>MAX(0,MIN(1,((Input!N58-Input!N$204)/(Input!N$205-Input!N$204))))</f>
        <v>0.192059992628</v>
      </c>
      <c r="O58" s="12">
        <f>MAX(0,MIN(1,((Input!O58-Input!O$204)/(Input!O$205-Input!O$204))))</f>
        <v>0.190079992704</v>
      </c>
      <c r="P58" s="12">
        <f>MAX(0,MIN(1,((Input!P58-Input!P$204)/(Input!P$205-Input!P$204))))</f>
        <v>0.18809999278</v>
      </c>
      <c r="Q58" s="12">
        <f>MAX(0,MIN(1,((Input!Q58-Input!Q$204)/(Input!Q$205-Input!Q$204))))</f>
        <v>0.186119992856</v>
      </c>
      <c r="R58" s="12">
        <f>MAX(0,MIN(1,((Input!R58-Input!R$204)/(Input!R$205-Input!R$204))))</f>
        <v>0.18413999293200001</v>
      </c>
      <c r="S58" s="12">
        <f>MAX(0,MIN(1,((Input!S58-Input!S$204)/(Input!S$205-Input!S$204))))</f>
        <v>0.18215999300800001</v>
      </c>
      <c r="T58" s="12">
        <f>MAX(0,MIN(1,((Input!T58-Input!T$204)/(Input!T$205-Input!T$204))))</f>
        <v>0.18017999308400001</v>
      </c>
      <c r="U58" s="12">
        <f>MAX(0,MIN(1,((Input!U58-Input!U$204)/(Input!U$205-Input!U$204))))</f>
        <v>0</v>
      </c>
      <c r="V58" s="26">
        <f>COUNT(Raw!E58:U58)</f>
        <v>7</v>
      </c>
      <c r="W58" s="27">
        <f t="shared" si="1"/>
        <v>17</v>
      </c>
      <c r="AA58">
        <v>0.19471426562857139</v>
      </c>
      <c r="AB58">
        <v>2011</v>
      </c>
      <c r="AC58">
        <v>17</v>
      </c>
    </row>
    <row r="59" spans="1:29" ht="13">
      <c r="A59" s="12"/>
      <c r="B59" s="12"/>
      <c r="C59" s="1" t="s">
        <v>306</v>
      </c>
      <c r="D59" s="1" t="s">
        <v>44</v>
      </c>
      <c r="E59" s="12" t="e">
        <f>MAX(0,MIN(1,((Input!E59-Input!E$204)/(Input!E$205-Input!E$204))))</f>
        <v>#N/A</v>
      </c>
      <c r="F59" s="12" t="e">
        <f>MAX(0,MIN(1,((Input!F59-Input!F$204)/(Input!F$205-Input!F$204))))</f>
        <v>#N/A</v>
      </c>
      <c r="G59" s="12" t="e">
        <f>MAX(0,MIN(1,((Input!G59-Input!G$204)/(Input!G$205-Input!G$204))))</f>
        <v>#N/A</v>
      </c>
      <c r="H59" s="12" t="e">
        <f>MAX(0,MIN(1,((Input!H59-Input!H$204)/(Input!H$205-Input!H$204))))</f>
        <v>#N/A</v>
      </c>
      <c r="I59" s="12" t="e">
        <f>MAX(0,MIN(1,((Input!I59-Input!I$204)/(Input!I$205-Input!I$204))))</f>
        <v>#N/A</v>
      </c>
      <c r="J59" s="12" t="e">
        <f>MAX(0,MIN(1,((Input!J59-Input!J$204)/(Input!J$205-Input!J$204))))</f>
        <v>#N/A</v>
      </c>
      <c r="K59" s="12" t="e">
        <f>MAX(0,MIN(1,((Input!K59-Input!K$204)/(Input!K$205-Input!K$204))))</f>
        <v>#N/A</v>
      </c>
      <c r="L59" s="12" t="e">
        <f>MAX(0,MIN(1,((Input!L59-Input!L$204)/(Input!L$205-Input!L$204))))</f>
        <v>#N/A</v>
      </c>
      <c r="M59" s="12" t="e">
        <f>MAX(0,MIN(1,((Input!M59-Input!M$204)/(Input!M$205-Input!M$204))))</f>
        <v>#N/A</v>
      </c>
      <c r="N59" s="12" t="e">
        <f>MAX(0,MIN(1,((Input!N59-Input!N$204)/(Input!N$205-Input!N$204))))</f>
        <v>#N/A</v>
      </c>
      <c r="O59" s="12" t="e">
        <f>MAX(0,MIN(1,((Input!O59-Input!O$204)/(Input!O$205-Input!O$204))))</f>
        <v>#N/A</v>
      </c>
      <c r="P59" s="12" t="e">
        <f>MAX(0,MIN(1,((Input!P59-Input!P$204)/(Input!P$205-Input!P$204))))</f>
        <v>#N/A</v>
      </c>
      <c r="Q59" s="12" t="e">
        <f>MAX(0,MIN(1,((Input!Q59-Input!Q$204)/(Input!Q$205-Input!Q$204))))</f>
        <v>#N/A</v>
      </c>
      <c r="R59" s="12" t="e">
        <f>MAX(0,MIN(1,((Input!R59-Input!R$204)/(Input!R$205-Input!R$204))))</f>
        <v>#N/A</v>
      </c>
      <c r="S59" s="12" t="e">
        <f>MAX(0,MIN(1,((Input!S59-Input!S$204)/(Input!S$205-Input!S$204))))</f>
        <v>#N/A</v>
      </c>
      <c r="T59" s="12" t="e">
        <f>MAX(0,MIN(1,((Input!T59-Input!T$204)/(Input!T$205-Input!T$204))))</f>
        <v>#N/A</v>
      </c>
      <c r="U59" s="12">
        <f>MAX(0,MIN(1,((Input!U59-Input!U$204)/(Input!U$205-Input!U$204))))</f>
        <v>0</v>
      </c>
      <c r="V59" s="26">
        <f>COUNT(Raw!E59:U59)</f>
        <v>0</v>
      </c>
      <c r="W59" s="27">
        <f t="shared" si="1"/>
        <v>1</v>
      </c>
      <c r="AA59" t="e">
        <v>#N/A</v>
      </c>
      <c r="AC59">
        <v>0</v>
      </c>
    </row>
    <row r="60" spans="1:29" ht="13">
      <c r="A60" s="12"/>
      <c r="B60" s="12"/>
      <c r="C60" s="1" t="s">
        <v>387</v>
      </c>
      <c r="D60" s="1" t="s">
        <v>136</v>
      </c>
      <c r="E60" s="12">
        <f>MAX(0,MIN(1,((Input!E60-Input!E$204)/(Input!E$205-Input!E$204))))</f>
        <v>0.21399999619999999</v>
      </c>
      <c r="F60" s="12">
        <f>MAX(0,MIN(1,((Input!F60-Input!F$204)/(Input!F$205-Input!F$204))))</f>
        <v>0.21799999239999998</v>
      </c>
      <c r="G60" s="12">
        <f>MAX(0,MIN(1,((Input!G60-Input!G$204)/(Input!G$205-Input!G$204))))</f>
        <v>0.21799999239999998</v>
      </c>
      <c r="H60" s="12">
        <f>MAX(0,MIN(1,((Input!H60-Input!H$204)/(Input!H$205-Input!H$204))))</f>
        <v>0.21799999239999998</v>
      </c>
      <c r="I60" s="12">
        <f>MAX(0,MIN(1,((Input!I60-Input!I$204)/(Input!I$205-Input!I$204))))</f>
        <v>0.21799999239999998</v>
      </c>
      <c r="J60" s="12">
        <f>MAX(0,MIN(1,((Input!J60-Input!J$204)/(Input!J$205-Input!J$204))))</f>
        <v>0.21799999239999998</v>
      </c>
      <c r="K60" s="12">
        <f>MAX(0,MIN(1,((Input!K60-Input!K$204)/(Input!K$205-Input!K$204))))</f>
        <v>0.21799999239999998</v>
      </c>
      <c r="L60" s="12">
        <f>MAX(0,MIN(1,((Input!L60-Input!L$204)/(Input!L$205-Input!L$204))))</f>
        <v>0.21581999247599998</v>
      </c>
      <c r="M60" s="12">
        <f>MAX(0,MIN(1,((Input!M60-Input!M$204)/(Input!M$205-Input!M$204))))</f>
        <v>0.213639992552</v>
      </c>
      <c r="N60" s="12">
        <f>MAX(0,MIN(1,((Input!N60-Input!N$204)/(Input!N$205-Input!N$204))))</f>
        <v>0.211459992628</v>
      </c>
      <c r="O60" s="12">
        <f>MAX(0,MIN(1,((Input!O60-Input!O$204)/(Input!O$205-Input!O$204))))</f>
        <v>0.209279992704</v>
      </c>
      <c r="P60" s="12">
        <f>MAX(0,MIN(1,((Input!P60-Input!P$204)/(Input!P$205-Input!P$204))))</f>
        <v>0.20709999277999999</v>
      </c>
      <c r="Q60" s="12">
        <f>MAX(0,MIN(1,((Input!Q60-Input!Q$204)/(Input!Q$205-Input!Q$204))))</f>
        <v>0.20491999285599999</v>
      </c>
      <c r="R60" s="12">
        <f>MAX(0,MIN(1,((Input!R60-Input!R$204)/(Input!R$205-Input!R$204))))</f>
        <v>0.20273999293199998</v>
      </c>
      <c r="S60" s="12">
        <f>MAX(0,MIN(1,((Input!S60-Input!S$204)/(Input!S$205-Input!S$204))))</f>
        <v>0.20055999300800001</v>
      </c>
      <c r="T60" s="12">
        <f>MAX(0,MIN(1,((Input!T60-Input!T$204)/(Input!T$205-Input!T$204))))</f>
        <v>0.19837999308400001</v>
      </c>
      <c r="U60" s="12">
        <f>MAX(0,MIN(1,((Input!U60-Input!U$204)/(Input!U$205-Input!U$204))))</f>
        <v>0</v>
      </c>
      <c r="V60" s="26">
        <f>COUNT(Raw!E60:U60)</f>
        <v>7</v>
      </c>
      <c r="W60" s="27">
        <f t="shared" si="1"/>
        <v>17</v>
      </c>
      <c r="AA60">
        <v>0.22299998764999998</v>
      </c>
      <c r="AB60">
        <v>2011</v>
      </c>
      <c r="AC60">
        <v>17</v>
      </c>
    </row>
    <row r="61" spans="1:29" ht="13">
      <c r="A61" s="12"/>
      <c r="B61" s="12"/>
      <c r="C61" s="1" t="s">
        <v>368</v>
      </c>
      <c r="D61" s="1" t="s">
        <v>247</v>
      </c>
      <c r="E61" s="12">
        <f>MAX(0,MIN(1,((Input!E61-Input!E$204)/(Input!E$205-Input!E$204))))</f>
        <v>0.54</v>
      </c>
      <c r="F61" s="12">
        <f>MAX(0,MIN(1,((Input!F61-Input!F$204)/(Input!F$205-Input!F$204))))</f>
        <v>0.53200000759999999</v>
      </c>
      <c r="G61" s="12">
        <f>MAX(0,MIN(1,((Input!G61-Input!G$204)/(Input!G$205-Input!G$204))))</f>
        <v>0.50799999239999993</v>
      </c>
      <c r="H61" s="12">
        <f>MAX(0,MIN(1,((Input!H61-Input!H$204)/(Input!H$205-Input!H$204))))</f>
        <v>0.22100000380000001</v>
      </c>
      <c r="I61" s="12">
        <f>MAX(0,MIN(1,((Input!I61-Input!I$204)/(Input!I$205-Input!I$204))))</f>
        <v>0.21299999239999998</v>
      </c>
      <c r="J61" s="12">
        <f>MAX(0,MIN(1,((Input!J61-Input!J$204)/(Input!J$205-Input!J$204))))</f>
        <v>0.20100000380000002</v>
      </c>
      <c r="K61" s="12">
        <f>MAX(0,MIN(1,((Input!K61-Input!K$204)/(Input!K$205-Input!K$204))))</f>
        <v>0.19700000760000003</v>
      </c>
      <c r="L61" s="12">
        <f>MAX(0,MIN(1,((Input!L61-Input!L$204)/(Input!L$205-Input!L$204))))</f>
        <v>0.24799999239999998</v>
      </c>
      <c r="M61" s="12">
        <f>MAX(0,MIN(1,((Input!M61-Input!M$204)/(Input!M$205-Input!M$204))))</f>
        <v>0.2339999962</v>
      </c>
      <c r="N61" s="12">
        <f>MAX(0,MIN(1,((Input!N61-Input!N$204)/(Input!N$205-Input!N$204))))</f>
        <v>0.22139999390000001</v>
      </c>
      <c r="O61" s="12">
        <f>MAX(0,MIN(1,((Input!O61-Input!O$204)/(Input!O$205-Input!O$204))))</f>
        <v>0.22670000080000002</v>
      </c>
      <c r="P61" s="12">
        <f>MAX(0,MIN(1,((Input!P61-Input!P$204)/(Input!P$205-Input!P$204))))</f>
        <v>0.25636224745000002</v>
      </c>
      <c r="Q61" s="12">
        <f>MAX(0,MIN(1,((Input!Q61-Input!Q$204)/(Input!Q$205-Input!Q$204))))</f>
        <v>0.28602449409999997</v>
      </c>
      <c r="R61" s="12">
        <f>MAX(0,MIN(1,((Input!R61-Input!R$204)/(Input!R$205-Input!R$204))))</f>
        <v>0.28774511489999999</v>
      </c>
      <c r="S61" s="12">
        <f>MAX(0,MIN(1,((Input!S61-Input!S$204)/(Input!S$205-Input!S$204))))</f>
        <v>0.28486766375099998</v>
      </c>
      <c r="T61" s="12">
        <f>MAX(0,MIN(1,((Input!T61-Input!T$204)/(Input!T$205-Input!T$204))))</f>
        <v>0.28199021260199997</v>
      </c>
      <c r="U61" s="12">
        <f>MAX(0,MIN(1,((Input!U61-Input!U$204)/(Input!U$205-Input!U$204))))</f>
        <v>0</v>
      </c>
      <c r="V61" s="26">
        <f>COUNT(Raw!E61:U61)</f>
        <v>13</v>
      </c>
      <c r="W61" s="27">
        <f t="shared" si="1"/>
        <v>17</v>
      </c>
      <c r="AA61">
        <v>0.11898211486514355</v>
      </c>
      <c r="AB61">
        <v>2011</v>
      </c>
      <c r="AC61">
        <v>17</v>
      </c>
    </row>
    <row r="62" spans="1:29" ht="13">
      <c r="A62" s="12"/>
      <c r="B62" s="12"/>
      <c r="C62" s="1" t="s">
        <v>359</v>
      </c>
      <c r="D62" s="1" t="s">
        <v>383</v>
      </c>
      <c r="E62" s="12">
        <f>MAX(0,MIN(1,((Input!E62-Input!E$204)/(Input!E$205-Input!E$204))))</f>
        <v>0.155</v>
      </c>
      <c r="F62" s="12">
        <f>MAX(0,MIN(1,((Input!F62-Input!F$204)/(Input!F$205-Input!F$204))))</f>
        <v>0.15300000190000002</v>
      </c>
      <c r="G62" s="12">
        <f>MAX(0,MIN(1,((Input!G62-Input!G$204)/(Input!G$205-Input!G$204))))</f>
        <v>0.15300000190000002</v>
      </c>
      <c r="H62" s="12">
        <f>MAX(0,MIN(1,((Input!H62-Input!H$204)/(Input!H$205-Input!H$204))))</f>
        <v>0.14000000000000001</v>
      </c>
      <c r="I62" s="12">
        <f>MAX(0,MIN(1,((Input!I62-Input!I$204)/(Input!I$205-Input!I$204))))</f>
        <v>0.1330000019</v>
      </c>
      <c r="J62" s="12">
        <f>MAX(0,MIN(1,((Input!J62-Input!J$204)/(Input!J$205-Input!J$204))))</f>
        <v>0.12</v>
      </c>
      <c r="K62" s="12">
        <f>MAX(0,MIN(1,((Input!K62-Input!K$204)/(Input!K$205-Input!K$204))))</f>
        <v>0.12</v>
      </c>
      <c r="L62" s="12">
        <f>MAX(0,MIN(1,((Input!L62-Input!L$204)/(Input!L$205-Input!L$204))))</f>
        <v>0.12</v>
      </c>
      <c r="M62" s="12">
        <f>MAX(0,MIN(1,((Input!M62-Input!M$204)/(Input!M$205-Input!M$204))))</f>
        <v>0.12899999619999999</v>
      </c>
      <c r="N62" s="12">
        <f>MAX(0,MIN(1,((Input!N62-Input!N$204)/(Input!N$205-Input!N$204))))</f>
        <v>0.19139999390000001</v>
      </c>
      <c r="O62" s="12">
        <f>MAX(0,MIN(1,((Input!O62-Input!O$204)/(Input!O$205-Input!O$204))))</f>
        <v>0.1104791126</v>
      </c>
      <c r="P62" s="12">
        <f>MAX(0,MIN(1,((Input!P62-Input!P$204)/(Input!P$205-Input!P$204))))</f>
        <v>0.1163154756</v>
      </c>
      <c r="Q62" s="12">
        <f>MAX(0,MIN(1,((Input!Q62-Input!Q$204)/(Input!Q$205-Input!Q$204))))</f>
        <v>0.13674789779999999</v>
      </c>
      <c r="R62" s="12">
        <f>MAX(0,MIN(1,((Input!R62-Input!R$204)/(Input!R$205-Input!R$204))))</f>
        <v>0.135380418822</v>
      </c>
      <c r="S62" s="12">
        <f>MAX(0,MIN(1,((Input!S62-Input!S$204)/(Input!S$205-Input!S$204))))</f>
        <v>0.13401293984399998</v>
      </c>
      <c r="T62" s="12">
        <f>MAX(0,MIN(1,((Input!T62-Input!T$204)/(Input!T$205-Input!T$204))))</f>
        <v>0.13264546086599999</v>
      </c>
      <c r="U62" s="12">
        <f>MAX(0,MIN(1,((Input!U62-Input!U$204)/(Input!U$205-Input!U$204))))</f>
        <v>0</v>
      </c>
      <c r="V62" s="26">
        <f>COUNT(Raw!E62:U62)</f>
        <v>13</v>
      </c>
      <c r="W62" s="27">
        <f t="shared" si="1"/>
        <v>17</v>
      </c>
      <c r="AA62">
        <v>0.11935717818241699</v>
      </c>
      <c r="AB62">
        <v>2011</v>
      </c>
      <c r="AC62">
        <v>17</v>
      </c>
    </row>
    <row r="63" spans="1:29" ht="13">
      <c r="A63" s="12"/>
      <c r="B63" s="12"/>
      <c r="C63" s="1" t="s">
        <v>305</v>
      </c>
      <c r="D63" s="1" t="s">
        <v>288</v>
      </c>
      <c r="E63" s="12">
        <f>MAX(0,MIN(1,((Input!E63-Input!E$204)/(Input!E$205-Input!E$204))))</f>
        <v>0.4909999847</v>
      </c>
      <c r="F63" s="12">
        <f>MAX(0,MIN(1,((Input!F63-Input!F$204)/(Input!F$205-Input!F$204))))</f>
        <v>0.49200000760000001</v>
      </c>
      <c r="G63" s="12">
        <f>MAX(0,MIN(1,((Input!G63-Input!G$204)/(Input!G$205-Input!G$204))))</f>
        <v>0.49200000760000001</v>
      </c>
      <c r="H63" s="12">
        <f>MAX(0,MIN(1,((Input!H63-Input!H$204)/(Input!H$205-Input!H$204))))</f>
        <v>0.49200000760000001</v>
      </c>
      <c r="I63" s="12">
        <f>MAX(0,MIN(1,((Input!I63-Input!I$204)/(Input!I$205-Input!I$204))))</f>
        <v>0.49200000760000001</v>
      </c>
      <c r="J63" s="12">
        <f>MAX(0,MIN(1,((Input!J63-Input!J$204)/(Input!J$205-Input!J$204))))</f>
        <v>0.49200000760000001</v>
      </c>
      <c r="K63" s="12">
        <f>MAX(0,MIN(1,((Input!K63-Input!K$204)/(Input!K$205-Input!K$204))))</f>
        <v>0.49200000760000001</v>
      </c>
      <c r="L63" s="12">
        <f>MAX(0,MIN(1,((Input!L63-Input!L$204)/(Input!L$205-Input!L$204))))</f>
        <v>0.48708000752400005</v>
      </c>
      <c r="M63" s="12">
        <f>MAX(0,MIN(1,((Input!M63-Input!M$204)/(Input!M$205-Input!M$204))))</f>
        <v>0.48216000744799997</v>
      </c>
      <c r="N63" s="12">
        <f>MAX(0,MIN(1,((Input!N63-Input!N$204)/(Input!N$205-Input!N$204))))</f>
        <v>0.47724000737200001</v>
      </c>
      <c r="O63" s="12">
        <f>MAX(0,MIN(1,((Input!O63-Input!O$204)/(Input!O$205-Input!O$204))))</f>
        <v>0.47232000729600004</v>
      </c>
      <c r="P63" s="12">
        <f>MAX(0,MIN(1,((Input!P63-Input!P$204)/(Input!P$205-Input!P$204))))</f>
        <v>0.46740000722000002</v>
      </c>
      <c r="Q63" s="12">
        <f>MAX(0,MIN(1,((Input!Q63-Input!Q$204)/(Input!Q$205-Input!Q$204))))</f>
        <v>0.46248000714400006</v>
      </c>
      <c r="R63" s="12">
        <f>MAX(0,MIN(1,((Input!R63-Input!R$204)/(Input!R$205-Input!R$204))))</f>
        <v>0.45756000706800004</v>
      </c>
      <c r="S63" s="12">
        <f>MAX(0,MIN(1,((Input!S63-Input!S$204)/(Input!S$205-Input!S$204))))</f>
        <v>0.45264000699200002</v>
      </c>
      <c r="T63" s="12">
        <f>MAX(0,MIN(1,((Input!T63-Input!T$204)/(Input!T$205-Input!T$204))))</f>
        <v>0.44772000691600006</v>
      </c>
      <c r="U63" s="12">
        <f>MAX(0,MIN(1,((Input!U63-Input!U$204)/(Input!U$205-Input!U$204))))</f>
        <v>0</v>
      </c>
      <c r="V63" s="26">
        <f>COUNT(Raw!E63:U63)</f>
        <v>7</v>
      </c>
      <c r="W63" s="27">
        <f t="shared" si="1"/>
        <v>17</v>
      </c>
      <c r="AA63">
        <v>0.49325003622500008</v>
      </c>
      <c r="AB63">
        <v>2011</v>
      </c>
      <c r="AC63">
        <v>17</v>
      </c>
    </row>
    <row r="64" spans="1:29" ht="13">
      <c r="A64" s="12"/>
      <c r="B64" s="12"/>
      <c r="C64" s="1" t="s">
        <v>81</v>
      </c>
      <c r="D64" s="1" t="s">
        <v>388</v>
      </c>
      <c r="E64" s="12">
        <f>MAX(0,MIN(1,((Input!E64-Input!E$204)/(Input!E$205-Input!E$204))))</f>
        <v>0.63</v>
      </c>
      <c r="F64" s="12">
        <f>MAX(0,MIN(1,((Input!F64-Input!F$204)/(Input!F$205-Input!F$204))))</f>
        <v>0.64</v>
      </c>
      <c r="G64" s="12">
        <f>MAX(0,MIN(1,((Input!G64-Input!G$204)/(Input!G$205-Input!G$204))))</f>
        <v>0.64</v>
      </c>
      <c r="H64" s="12">
        <f>MAX(0,MIN(1,((Input!H64-Input!H$204)/(Input!H$205-Input!H$204))))</f>
        <v>0.64</v>
      </c>
      <c r="I64" s="12">
        <f>MAX(0,MIN(1,((Input!I64-Input!I$204)/(Input!I$205-Input!I$204))))</f>
        <v>0.64500000000000002</v>
      </c>
      <c r="J64" s="12">
        <f>MAX(0,MIN(1,((Input!J64-Input!J$204)/(Input!J$205-Input!J$204))))</f>
        <v>0.62</v>
      </c>
      <c r="K64" s="12">
        <f>MAX(0,MIN(1,((Input!K64-Input!K$204)/(Input!K$205-Input!K$204))))</f>
        <v>0.64</v>
      </c>
      <c r="L64" s="12">
        <f>MAX(0,MIN(1,((Input!L64-Input!L$204)/(Input!L$205-Input!L$204))))</f>
        <v>0.64</v>
      </c>
      <c r="M64" s="12">
        <f>MAX(0,MIN(1,((Input!M64-Input!M$204)/(Input!M$205-Input!M$204))))</f>
        <v>0.64599998469999997</v>
      </c>
      <c r="N64" s="12">
        <f>MAX(0,MIN(1,((Input!N64-Input!N$204)/(Input!N$205-Input!N$204))))</f>
        <v>0.64699996949999994</v>
      </c>
      <c r="O64" s="12">
        <f>MAX(0,MIN(1,((Input!O64-Input!O$204)/(Input!O$205-Input!O$204))))</f>
        <v>0.65040000919999996</v>
      </c>
      <c r="P64" s="12">
        <f>MAX(0,MIN(1,((Input!P64-Input!P$204)/(Input!P$205-Input!P$204))))</f>
        <v>0.65275332210000003</v>
      </c>
      <c r="Q64" s="12">
        <f>MAX(0,MIN(1,((Input!Q64-Input!Q$204)/(Input!Q$205-Input!Q$204))))</f>
        <v>0.65362724839999997</v>
      </c>
      <c r="R64" s="12">
        <f>MAX(0,MIN(1,((Input!R64-Input!R$204)/(Input!R$205-Input!R$204))))</f>
        <v>0.65469999999999995</v>
      </c>
      <c r="S64" s="12">
        <f>MAX(0,MIN(1,((Input!S64-Input!S$204)/(Input!S$205-Input!S$204))))</f>
        <v>0.64815300000000009</v>
      </c>
      <c r="T64" s="12">
        <f>MAX(0,MIN(1,((Input!T64-Input!T$204)/(Input!T$205-Input!T$204))))</f>
        <v>0.64160600000000001</v>
      </c>
      <c r="U64" s="12">
        <f>MAX(0,MIN(1,((Input!U64-Input!U$204)/(Input!U$205-Input!U$204))))</f>
        <v>0</v>
      </c>
      <c r="V64" s="26">
        <f>COUNT(Raw!E64:U64)</f>
        <v>14</v>
      </c>
      <c r="W64" s="27">
        <f t="shared" si="1"/>
        <v>17</v>
      </c>
      <c r="AA64">
        <v>0.65840796170571425</v>
      </c>
      <c r="AB64">
        <v>2011</v>
      </c>
      <c r="AC64">
        <v>17</v>
      </c>
    </row>
    <row r="65" spans="1:29" ht="13">
      <c r="A65" s="12"/>
      <c r="B65" s="12"/>
      <c r="C65" s="1" t="s">
        <v>378</v>
      </c>
      <c r="D65" s="1" t="s">
        <v>179</v>
      </c>
      <c r="E65" s="12">
        <f>MAX(0,MIN(1,((Input!E65-Input!E$204)/(Input!E$205-Input!E$204))))</f>
        <v>0.99</v>
      </c>
      <c r="F65" s="12">
        <f>MAX(0,MIN(1,((Input!F65-Input!F$204)/(Input!F$205-Input!F$204))))</f>
        <v>1</v>
      </c>
      <c r="G65" s="12">
        <f>MAX(0,MIN(1,((Input!G65-Input!G$204)/(Input!G$205-Input!G$204))))</f>
        <v>1</v>
      </c>
      <c r="H65" s="12">
        <f>MAX(0,MIN(1,((Input!H65-Input!H$204)/(Input!H$205-Input!H$204))))</f>
        <v>1</v>
      </c>
      <c r="I65" s="12">
        <f>MAX(0,MIN(1,((Input!I65-Input!I$204)/(Input!I$205-Input!I$204))))</f>
        <v>1</v>
      </c>
      <c r="J65" s="12">
        <f>MAX(0,MIN(1,((Input!J65-Input!J$204)/(Input!J$205-Input!J$204))))</f>
        <v>1</v>
      </c>
      <c r="K65" s="12">
        <f>MAX(0,MIN(1,((Input!K65-Input!K$204)/(Input!K$205-Input!K$204))))</f>
        <v>1</v>
      </c>
      <c r="L65" s="12">
        <f>MAX(0,MIN(1,((Input!L65-Input!L$204)/(Input!L$205-Input!L$204))))</f>
        <v>1</v>
      </c>
      <c r="M65" s="12">
        <f>MAX(0,MIN(1,((Input!M65-Input!M$204)/(Input!M$205-Input!M$204))))</f>
        <v>1</v>
      </c>
      <c r="N65" s="12">
        <f>MAX(0,MIN(1,((Input!N65-Input!N$204)/(Input!N$205-Input!N$204))))</f>
        <v>1</v>
      </c>
      <c r="O65" s="12">
        <f>MAX(0,MIN(1,((Input!O65-Input!O$204)/(Input!O$205-Input!O$204))))</f>
        <v>1</v>
      </c>
      <c r="P65" s="12">
        <f>MAX(0,MIN(1,((Input!P65-Input!P$204)/(Input!P$205-Input!P$204))))</f>
        <v>1</v>
      </c>
      <c r="Q65" s="12">
        <f>MAX(0,MIN(1,((Input!Q65-Input!Q$204)/(Input!Q$205-Input!Q$204))))</f>
        <v>1</v>
      </c>
      <c r="R65" s="12">
        <f>MAX(0,MIN(1,((Input!R65-Input!R$204)/(Input!R$205-Input!R$204))))</f>
        <v>1</v>
      </c>
      <c r="S65" s="12">
        <f>MAX(0,MIN(1,((Input!S65-Input!S$204)/(Input!S$205-Input!S$204))))</f>
        <v>0.99</v>
      </c>
      <c r="T65" s="12">
        <f>MAX(0,MIN(1,((Input!T65-Input!T$204)/(Input!T$205-Input!T$204))))</f>
        <v>0.98</v>
      </c>
      <c r="U65" s="12">
        <f>MAX(0,MIN(1,((Input!U65-Input!U$204)/(Input!U$205-Input!U$204))))</f>
        <v>0</v>
      </c>
      <c r="V65" s="26">
        <f>COUNT(Raw!E65:U65)</f>
        <v>13</v>
      </c>
      <c r="W65" s="27">
        <f t="shared" si="1"/>
        <v>17</v>
      </c>
      <c r="AA65">
        <v>1</v>
      </c>
      <c r="AB65">
        <v>2011</v>
      </c>
      <c r="AC65">
        <v>17</v>
      </c>
    </row>
    <row r="66" spans="1:29" ht="13">
      <c r="A66" s="12"/>
      <c r="B66" s="12"/>
      <c r="C66" s="1" t="s">
        <v>148</v>
      </c>
      <c r="D66" s="1" t="s">
        <v>240</v>
      </c>
      <c r="E66" s="12">
        <f>MAX(0,MIN(1,((Input!E66-Input!E$204)/(Input!E$205-Input!E$204))))</f>
        <v>8.1999998089999998E-2</v>
      </c>
      <c r="F66" s="12">
        <f>MAX(0,MIN(1,((Input!F66-Input!F$204)/(Input!F$205-Input!F$204))))</f>
        <v>9.8999996190000009E-2</v>
      </c>
      <c r="G66" s="12">
        <f>MAX(0,MIN(1,((Input!G66-Input!G$204)/(Input!G$205-Input!G$204))))</f>
        <v>9.8999996190000009E-2</v>
      </c>
      <c r="H66" s="12">
        <f>MAX(0,MIN(1,((Input!H66-Input!H$204)/(Input!H$205-Input!H$204))))</f>
        <v>9.8999996190000009E-2</v>
      </c>
      <c r="I66" s="12">
        <f>MAX(0,MIN(1,((Input!I66-Input!I$204)/(Input!I$205-Input!I$204))))</f>
        <v>9.8999996190000009E-2</v>
      </c>
      <c r="J66" s="12">
        <f>MAX(0,MIN(1,((Input!J66-Input!J$204)/(Input!J$205-Input!J$204))))</f>
        <v>9.8999996190000009E-2</v>
      </c>
      <c r="K66" s="12">
        <f>MAX(0,MIN(1,((Input!K66-Input!K$204)/(Input!K$205-Input!K$204))))</f>
        <v>9.9774997242499996E-2</v>
      </c>
      <c r="L66" s="12">
        <f>MAX(0,MIN(1,((Input!L66-Input!L$204)/(Input!L$205-Input!L$204))))</f>
        <v>0.10054999829500001</v>
      </c>
      <c r="M66" s="12">
        <f>MAX(0,MIN(1,((Input!M66-Input!M$204)/(Input!M$205-Input!M$204))))</f>
        <v>0.10132499934750001</v>
      </c>
      <c r="N66" s="12">
        <f>MAX(0,MIN(1,((Input!N66-Input!N$204)/(Input!N$205-Input!N$204))))</f>
        <v>0.1021000004</v>
      </c>
      <c r="O66" s="12">
        <f>MAX(0,MIN(1,((Input!O66-Input!O$204)/(Input!O$205-Input!O$204))))</f>
        <v>0.101079000396</v>
      </c>
      <c r="P66" s="12">
        <f>MAX(0,MIN(1,((Input!P66-Input!P$204)/(Input!P$205-Input!P$204))))</f>
        <v>0.10005800039200001</v>
      </c>
      <c r="Q66" s="12">
        <f>MAX(0,MIN(1,((Input!Q66-Input!Q$204)/(Input!Q$205-Input!Q$204))))</f>
        <v>9.9037000388000007E-2</v>
      </c>
      <c r="R66" s="12">
        <f>MAX(0,MIN(1,((Input!R66-Input!R$204)/(Input!R$205-Input!R$204))))</f>
        <v>9.8016000384000004E-2</v>
      </c>
      <c r="S66" s="12">
        <f>MAX(0,MIN(1,((Input!S66-Input!S$204)/(Input!S$205-Input!S$204))))</f>
        <v>9.6995000380000002E-2</v>
      </c>
      <c r="T66" s="12">
        <f>MAX(0,MIN(1,((Input!T66-Input!T$204)/(Input!T$205-Input!T$204))))</f>
        <v>9.5974000375999999E-2</v>
      </c>
      <c r="U66" s="12">
        <f>MAX(0,MIN(1,((Input!U66-Input!U$204)/(Input!U$205-Input!U$204))))</f>
        <v>0</v>
      </c>
      <c r="V66" s="26">
        <f>COUNT(Raw!E66:U66)</f>
        <v>7</v>
      </c>
      <c r="W66" s="27">
        <f t="shared" si="1"/>
        <v>17</v>
      </c>
      <c r="AA66">
        <v>0.11469787336829824</v>
      </c>
      <c r="AB66">
        <v>2011</v>
      </c>
      <c r="AC66">
        <v>17</v>
      </c>
    </row>
    <row r="67" spans="1:29" ht="13">
      <c r="A67" s="12"/>
      <c r="B67" s="12"/>
      <c r="C67" s="1" t="s">
        <v>328</v>
      </c>
      <c r="D67" s="1" t="s">
        <v>57</v>
      </c>
      <c r="E67" s="12">
        <f>MAX(0,MIN(1,((Input!E67-Input!E$204)/(Input!E$205-Input!E$204))))</f>
        <v>0.17774399714799999</v>
      </c>
      <c r="F67" s="12">
        <f>MAX(0,MIN(1,((Input!F67-Input!F$204)/(Input!F$205-Input!F$204))))</f>
        <v>0.179675997117</v>
      </c>
      <c r="G67" s="12">
        <f>MAX(0,MIN(1,((Input!G67-Input!G$204)/(Input!G$205-Input!G$204))))</f>
        <v>0.18160799708599998</v>
      </c>
      <c r="H67" s="12">
        <f>MAX(0,MIN(1,((Input!H67-Input!H$204)/(Input!H$205-Input!H$204))))</f>
        <v>0.18353999705499999</v>
      </c>
      <c r="I67" s="12">
        <f>MAX(0,MIN(1,((Input!I67-Input!I$204)/(Input!I$205-Input!I$204))))</f>
        <v>0.185471997024</v>
      </c>
      <c r="J67" s="12">
        <f>MAX(0,MIN(1,((Input!J67-Input!J$204)/(Input!J$205-Input!J$204))))</f>
        <v>0.187403996993</v>
      </c>
      <c r="K67" s="12">
        <f>MAX(0,MIN(1,((Input!K67-Input!K$204)/(Input!K$205-Input!K$204))))</f>
        <v>0.18933599696199999</v>
      </c>
      <c r="L67" s="12">
        <f>MAX(0,MIN(1,((Input!L67-Input!L$204)/(Input!L$205-Input!L$204))))</f>
        <v>0.19126799693099999</v>
      </c>
      <c r="M67" s="12">
        <f>MAX(0,MIN(1,((Input!M67-Input!M$204)/(Input!M$205-Input!M$204))))</f>
        <v>0.1931999969</v>
      </c>
      <c r="N67" s="12">
        <f>MAX(0,MIN(1,((Input!N67-Input!N$204)/(Input!N$205-Input!N$204))))</f>
        <v>0.1931999969</v>
      </c>
      <c r="O67" s="12">
        <f>MAX(0,MIN(1,((Input!O67-Input!O$204)/(Input!O$205-Input!O$204))))</f>
        <v>0.19126799693099999</v>
      </c>
      <c r="P67" s="12">
        <f>MAX(0,MIN(1,((Input!P67-Input!P$204)/(Input!P$205-Input!P$204))))</f>
        <v>0.18933599696199999</v>
      </c>
      <c r="Q67" s="12">
        <f>MAX(0,MIN(1,((Input!Q67-Input!Q$204)/(Input!Q$205-Input!Q$204))))</f>
        <v>0.187403996993</v>
      </c>
      <c r="R67" s="12">
        <f>MAX(0,MIN(1,((Input!R67-Input!R$204)/(Input!R$205-Input!R$204))))</f>
        <v>0.185471997024</v>
      </c>
      <c r="S67" s="12">
        <f>MAX(0,MIN(1,((Input!S67-Input!S$204)/(Input!S$205-Input!S$204))))</f>
        <v>0.18353999705499999</v>
      </c>
      <c r="T67" s="12">
        <f>MAX(0,MIN(1,((Input!T67-Input!T$204)/(Input!T$205-Input!T$204))))</f>
        <v>0.18160799708599998</v>
      </c>
      <c r="U67" s="12">
        <f>MAX(0,MIN(1,((Input!U67-Input!U$204)/(Input!U$205-Input!U$204))))</f>
        <v>0</v>
      </c>
      <c r="V67" s="26">
        <f>COUNT(Raw!E67:U67)</f>
        <v>2</v>
      </c>
      <c r="W67" s="27">
        <f t="shared" si="1"/>
        <v>17</v>
      </c>
      <c r="AA67">
        <v>0.1931999969</v>
      </c>
      <c r="AB67">
        <v>2011</v>
      </c>
      <c r="AC67">
        <v>17</v>
      </c>
    </row>
    <row r="68" spans="1:29" ht="13">
      <c r="A68" s="12"/>
      <c r="B68" s="12"/>
      <c r="C68" s="1" t="s">
        <v>17</v>
      </c>
      <c r="D68" s="1" t="s">
        <v>120</v>
      </c>
      <c r="E68" s="12">
        <f>MAX(0,MIN(1,((Input!E68-Input!E$204)/(Input!E$205-Input!E$204))))</f>
        <v>0.93500000000000005</v>
      </c>
      <c r="F68" s="12">
        <f>MAX(0,MIN(1,((Input!F68-Input!F$204)/(Input!F$205-Input!F$204))))</f>
        <v>0.93500000000000005</v>
      </c>
      <c r="G68" s="12">
        <f>MAX(0,MIN(1,((Input!G68-Input!G$204)/(Input!G$205-Input!G$204))))</f>
        <v>0.93699996949999997</v>
      </c>
      <c r="H68" s="12">
        <f>MAX(0,MIN(1,((Input!H68-Input!H$204)/(Input!H$205-Input!H$204))))</f>
        <v>0.93400001529999999</v>
      </c>
      <c r="I68" s="12">
        <f>MAX(0,MIN(1,((Input!I68-Input!I$204)/(Input!I$205-Input!I$204))))</f>
        <v>0.9348344985999999</v>
      </c>
      <c r="J68" s="12">
        <f>MAX(0,MIN(1,((Input!J68-Input!J$204)/(Input!J$205-Input!J$204))))</f>
        <v>0.93566898189999992</v>
      </c>
      <c r="K68" s="12">
        <f>MAX(0,MIN(1,((Input!K68-Input!K$204)/(Input!K$205-Input!K$204))))</f>
        <v>0.93650346519999994</v>
      </c>
      <c r="L68" s="12">
        <f>MAX(0,MIN(1,((Input!L68-Input!L$204)/(Input!L$205-Input!L$204))))</f>
        <v>0.93733794849999996</v>
      </c>
      <c r="M68" s="12">
        <f>MAX(0,MIN(1,((Input!M68-Input!M$204)/(Input!M$205-Input!M$204))))</f>
        <v>0.93817243179999987</v>
      </c>
      <c r="N68" s="12">
        <f>MAX(0,MIN(1,((Input!N68-Input!N$204)/(Input!N$205-Input!N$204))))</f>
        <v>0.93900691510000001</v>
      </c>
      <c r="O68" s="12">
        <f>MAX(0,MIN(1,((Input!O68-Input!O$204)/(Input!O$205-Input!O$204))))</f>
        <v>0.93984139840000003</v>
      </c>
      <c r="P68" s="12">
        <f>MAX(0,MIN(1,((Input!P68-Input!P$204)/(Input!P$205-Input!P$204))))</f>
        <v>0.94067588169999994</v>
      </c>
      <c r="Q68" s="12">
        <f>MAX(0,MIN(1,((Input!Q68-Input!Q$204)/(Input!Q$205-Input!Q$204))))</f>
        <v>0.94067588169999994</v>
      </c>
      <c r="R68" s="12">
        <f>MAX(0,MIN(1,((Input!R68-Input!R$204)/(Input!R$205-Input!R$204))))</f>
        <v>0.9312691228829999</v>
      </c>
      <c r="S68" s="12">
        <f>MAX(0,MIN(1,((Input!S68-Input!S$204)/(Input!S$205-Input!S$204))))</f>
        <v>0.92186236406599986</v>
      </c>
      <c r="T68" s="12">
        <f>MAX(0,MIN(1,((Input!T68-Input!T$204)/(Input!T$205-Input!T$204))))</f>
        <v>0.91245560524899982</v>
      </c>
      <c r="U68" s="12">
        <f>MAX(0,MIN(1,((Input!U68-Input!U$204)/(Input!U$205-Input!U$204))))</f>
        <v>0</v>
      </c>
      <c r="V68" s="26">
        <f>COUNT(Raw!E68:U68)</f>
        <v>6</v>
      </c>
      <c r="W68" s="27">
        <f t="shared" si="1"/>
        <v>17</v>
      </c>
      <c r="AA68">
        <v>0.94283728603961581</v>
      </c>
      <c r="AB68">
        <v>2011</v>
      </c>
      <c r="AC68">
        <v>17</v>
      </c>
    </row>
    <row r="69" spans="1:29" ht="13">
      <c r="A69" s="12"/>
      <c r="B69" s="12"/>
      <c r="C69" s="1" t="s">
        <v>133</v>
      </c>
      <c r="D69" s="1" t="s">
        <v>122</v>
      </c>
      <c r="E69" s="12">
        <f>MAX(0,MIN(1,((Input!E69-Input!E$204)/(Input!E$205-Input!E$204))))</f>
        <v>0.99</v>
      </c>
      <c r="F69" s="12">
        <f>MAX(0,MIN(1,((Input!F69-Input!F$204)/(Input!F$205-Input!F$204))))</f>
        <v>0.99099998470000006</v>
      </c>
      <c r="G69" s="12">
        <f>MAX(0,MIN(1,((Input!G69-Input!G$204)/(Input!G$205-Input!G$204))))</f>
        <v>0.99228570117142867</v>
      </c>
      <c r="H69" s="12">
        <f>MAX(0,MIN(1,((Input!H69-Input!H$204)/(Input!H$205-Input!H$204))))</f>
        <v>0.99357141764285717</v>
      </c>
      <c r="I69" s="12">
        <f>MAX(0,MIN(1,((Input!I69-Input!I$204)/(Input!I$205-Input!I$204))))</f>
        <v>0.99485713411428578</v>
      </c>
      <c r="J69" s="12">
        <f>MAX(0,MIN(1,((Input!J69-Input!J$204)/(Input!J$205-Input!J$204))))</f>
        <v>0.99614285058571428</v>
      </c>
      <c r="K69" s="12">
        <f>MAX(0,MIN(1,((Input!K69-Input!K$204)/(Input!K$205-Input!K$204))))</f>
        <v>0.99742856705714289</v>
      </c>
      <c r="L69" s="12">
        <f>MAX(0,MIN(1,((Input!L69-Input!L$204)/(Input!L$205-Input!L$204))))</f>
        <v>0.99871428352857139</v>
      </c>
      <c r="M69" s="12">
        <f>MAX(0,MIN(1,((Input!M69-Input!M$204)/(Input!M$205-Input!M$204))))</f>
        <v>1</v>
      </c>
      <c r="N69" s="12">
        <f>MAX(0,MIN(1,((Input!N69-Input!N$204)/(Input!N$205-Input!N$204))))</f>
        <v>0.99</v>
      </c>
      <c r="O69" s="12">
        <f>MAX(0,MIN(1,((Input!O69-Input!O$204)/(Input!O$205-Input!O$204))))</f>
        <v>0.98</v>
      </c>
      <c r="P69" s="12">
        <f>MAX(0,MIN(1,((Input!P69-Input!P$204)/(Input!P$205-Input!P$204))))</f>
        <v>0.97</v>
      </c>
      <c r="Q69" s="12">
        <f>MAX(0,MIN(1,((Input!Q69-Input!Q$204)/(Input!Q$205-Input!Q$204))))</f>
        <v>0.96</v>
      </c>
      <c r="R69" s="12">
        <f>MAX(0,MIN(1,((Input!R69-Input!R$204)/(Input!R$205-Input!R$204))))</f>
        <v>0.95</v>
      </c>
      <c r="S69" s="12">
        <f>MAX(0,MIN(1,((Input!S69-Input!S$204)/(Input!S$205-Input!S$204))))</f>
        <v>0.94</v>
      </c>
      <c r="T69" s="12">
        <f>MAX(0,MIN(1,((Input!T69-Input!T$204)/(Input!T$205-Input!T$204))))</f>
        <v>0.93</v>
      </c>
      <c r="U69" s="12">
        <f>MAX(0,MIN(1,((Input!U69-Input!U$204)/(Input!U$205-Input!U$204))))</f>
        <v>0</v>
      </c>
      <c r="V69" s="26">
        <f>COUNT(Raw!E69:U69)</f>
        <v>3</v>
      </c>
      <c r="W69" s="27">
        <f t="shared" si="1"/>
        <v>17</v>
      </c>
      <c r="AA69">
        <v>1</v>
      </c>
      <c r="AB69">
        <v>2011</v>
      </c>
      <c r="AC69">
        <v>17</v>
      </c>
    </row>
    <row r="70" spans="1:29" ht="13">
      <c r="A70" s="12"/>
      <c r="B70" s="12"/>
      <c r="C70" s="1" t="s">
        <v>37</v>
      </c>
      <c r="D70" s="1" t="s">
        <v>238</v>
      </c>
      <c r="E70" s="12">
        <f>MAX(0,MIN(1,((Input!E70-Input!E$204)/(Input!E$205-Input!E$204))))</f>
        <v>0.24899999619999999</v>
      </c>
      <c r="F70" s="12">
        <f>MAX(0,MIN(1,((Input!F70-Input!F$204)/(Input!F$205-Input!F$204))))</f>
        <v>0.2410000038</v>
      </c>
      <c r="G70" s="12">
        <f>MAX(0,MIN(1,((Input!G70-Input!G$204)/(Input!G$205-Input!G$204))))</f>
        <v>0.25933333713333334</v>
      </c>
      <c r="H70" s="12">
        <f>MAX(0,MIN(1,((Input!H70-Input!H$204)/(Input!H$205-Input!H$204))))</f>
        <v>0.27766667046666671</v>
      </c>
      <c r="I70" s="12">
        <f>MAX(0,MIN(1,((Input!I70-Input!I$204)/(Input!I$205-Input!I$204))))</f>
        <v>0.29600000380000002</v>
      </c>
      <c r="J70" s="12">
        <f>MAX(0,MIN(1,((Input!J70-Input!J$204)/(Input!J$205-Input!J$204))))</f>
        <v>0.29600000380000002</v>
      </c>
      <c r="K70" s="12">
        <f>MAX(0,MIN(1,((Input!K70-Input!K$204)/(Input!K$205-Input!K$204))))</f>
        <v>0.18399999619999999</v>
      </c>
      <c r="L70" s="12">
        <f>MAX(0,MIN(1,((Input!L70-Input!L$204)/(Input!L$205-Input!L$204))))</f>
        <v>0.18159999849999997</v>
      </c>
      <c r="M70" s="12">
        <f>MAX(0,MIN(1,((Input!M70-Input!M$204)/(Input!M$205-Input!M$204))))</f>
        <v>0.17920000080000001</v>
      </c>
      <c r="N70" s="12">
        <f>MAX(0,MIN(1,((Input!N70-Input!N$204)/(Input!N$205-Input!N$204))))</f>
        <v>0.1642514658</v>
      </c>
      <c r="O70" s="12">
        <f>MAX(0,MIN(1,((Input!O70-Input!O$204)/(Input!O$205-Input!O$204))))</f>
        <v>0.14930293080000001</v>
      </c>
      <c r="P70" s="12">
        <f>MAX(0,MIN(1,((Input!P70-Input!P$204)/(Input!P$205-Input!P$204))))</f>
        <v>0.14780990149200002</v>
      </c>
      <c r="Q70" s="12">
        <f>MAX(0,MIN(1,((Input!Q70-Input!Q$204)/(Input!Q$205-Input!Q$204))))</f>
        <v>0.146316872184</v>
      </c>
      <c r="R70" s="12">
        <f>MAX(0,MIN(1,((Input!R70-Input!R$204)/(Input!R$205-Input!R$204))))</f>
        <v>0.144823842876</v>
      </c>
      <c r="S70" s="12">
        <f>MAX(0,MIN(1,((Input!S70-Input!S$204)/(Input!S$205-Input!S$204))))</f>
        <v>0.14333081356799998</v>
      </c>
      <c r="T70" s="12">
        <f>MAX(0,MIN(1,((Input!T70-Input!T$204)/(Input!T$205-Input!T$204))))</f>
        <v>0.14183778425999999</v>
      </c>
      <c r="U70" s="12">
        <f>MAX(0,MIN(1,((Input!U70-Input!U$204)/(Input!U$205-Input!U$204))))</f>
        <v>0</v>
      </c>
      <c r="V70" s="26">
        <f>COUNT(Raw!E70:U70)</f>
        <v>7</v>
      </c>
      <c r="W70" s="27">
        <f t="shared" ref="W70:W101" si="2">COUNT(E70:U70)</f>
        <v>17</v>
      </c>
      <c r="AA70">
        <v>0.1104817866505573</v>
      </c>
      <c r="AB70">
        <v>2011</v>
      </c>
      <c r="AC70">
        <v>17</v>
      </c>
    </row>
    <row r="71" spans="1:29" ht="13">
      <c r="A71" s="12"/>
      <c r="B71" s="12"/>
      <c r="C71" s="1" t="s">
        <v>375</v>
      </c>
      <c r="D71" s="1" t="s">
        <v>224</v>
      </c>
      <c r="E71" s="12">
        <f>MAX(0,MIN(1,((Input!E71-Input!E$204)/(Input!E$205-Input!E$204))))</f>
        <v>0.91699996949999996</v>
      </c>
      <c r="F71" s="12">
        <f>MAX(0,MIN(1,((Input!F71-Input!F$204)/(Input!F$205-Input!F$204))))</f>
        <v>0.91800003050000001</v>
      </c>
      <c r="G71" s="12">
        <f>MAX(0,MIN(1,((Input!G71-Input!G$204)/(Input!G$205-Input!G$204))))</f>
        <v>0.91800003050000001</v>
      </c>
      <c r="H71" s="12">
        <f>MAX(0,MIN(1,((Input!H71-Input!H$204)/(Input!H$205-Input!H$204))))</f>
        <v>0.91800003050000001</v>
      </c>
      <c r="I71" s="12">
        <f>MAX(0,MIN(1,((Input!I71-Input!I$204)/(Input!I$205-Input!I$204))))</f>
        <v>0.91800003050000001</v>
      </c>
      <c r="J71" s="12">
        <f>MAX(0,MIN(1,((Input!J71-Input!J$204)/(Input!J$205-Input!J$204))))</f>
        <v>0.91800003050000001</v>
      </c>
      <c r="K71" s="12">
        <f>MAX(0,MIN(1,((Input!K71-Input!K$204)/(Input!K$205-Input!K$204))))</f>
        <v>0.90882003019500002</v>
      </c>
      <c r="L71" s="12">
        <f>MAX(0,MIN(1,((Input!L71-Input!L$204)/(Input!L$205-Input!L$204))))</f>
        <v>0.89964002989000003</v>
      </c>
      <c r="M71" s="12">
        <f>MAX(0,MIN(1,((Input!M71-Input!M$204)/(Input!M$205-Input!M$204))))</f>
        <v>0.89046002958499992</v>
      </c>
      <c r="N71" s="12">
        <f>MAX(0,MIN(1,((Input!N71-Input!N$204)/(Input!N$205-Input!N$204))))</f>
        <v>0.88128002928000004</v>
      </c>
      <c r="O71" s="12">
        <f>MAX(0,MIN(1,((Input!O71-Input!O$204)/(Input!O$205-Input!O$204))))</f>
        <v>0.87210002897500005</v>
      </c>
      <c r="P71" s="12">
        <f>MAX(0,MIN(1,((Input!P71-Input!P$204)/(Input!P$205-Input!P$204))))</f>
        <v>0.86292002867000006</v>
      </c>
      <c r="Q71" s="12">
        <f>MAX(0,MIN(1,((Input!Q71-Input!Q$204)/(Input!Q$205-Input!Q$204))))</f>
        <v>0.85374002836500007</v>
      </c>
      <c r="R71" s="12">
        <f>MAX(0,MIN(1,((Input!R71-Input!R$204)/(Input!R$205-Input!R$204))))</f>
        <v>0.84456002805999997</v>
      </c>
      <c r="S71" s="12">
        <f>MAX(0,MIN(1,((Input!S71-Input!S$204)/(Input!S$205-Input!S$204))))</f>
        <v>0.83538002775500009</v>
      </c>
      <c r="T71" s="12">
        <f>MAX(0,MIN(1,((Input!T71-Input!T$204)/(Input!T$205-Input!T$204))))</f>
        <v>0.8262000274500001</v>
      </c>
      <c r="U71" s="12">
        <f>MAX(0,MIN(1,((Input!U71-Input!U$204)/(Input!U$205-Input!U$204))))</f>
        <v>0</v>
      </c>
      <c r="V71" s="26">
        <f>COUNT(Raw!E71:U71)</f>
        <v>6</v>
      </c>
      <c r="W71" s="27">
        <f t="shared" si="2"/>
        <v>17</v>
      </c>
      <c r="AA71">
        <v>0.91976204273809525</v>
      </c>
      <c r="AB71">
        <v>2011</v>
      </c>
      <c r="AC71">
        <v>17</v>
      </c>
    </row>
    <row r="72" spans="1:29" ht="13">
      <c r="A72" s="12"/>
      <c r="B72" s="12"/>
      <c r="C72" s="1" t="s">
        <v>377</v>
      </c>
      <c r="D72" s="1" t="s">
        <v>393</v>
      </c>
      <c r="E72" s="12">
        <f>MAX(0,MIN(1,((Input!E72-Input!E$204)/(Input!E$205-Input!E$204))))</f>
        <v>0.61200000760000006</v>
      </c>
      <c r="F72" s="12">
        <f>MAX(0,MIN(1,((Input!F72-Input!F$204)/(Input!F$205-Input!F$204))))</f>
        <v>0.61299999240000003</v>
      </c>
      <c r="G72" s="12">
        <f>MAX(0,MIN(1,((Input!G72-Input!G$204)/(Input!G$205-Input!G$204))))</f>
        <v>0.61299999240000003</v>
      </c>
      <c r="H72" s="12">
        <f>MAX(0,MIN(1,((Input!H72-Input!H$204)/(Input!H$205-Input!H$204))))</f>
        <v>0.61299999240000003</v>
      </c>
      <c r="I72" s="12">
        <f>MAX(0,MIN(1,((Input!I72-Input!I$204)/(Input!I$205-Input!I$204))))</f>
        <v>0.60959999080000005</v>
      </c>
      <c r="J72" s="12">
        <f>MAX(0,MIN(1,((Input!J72-Input!J$204)/(Input!J$205-Input!J$204))))</f>
        <v>0.60959999080000005</v>
      </c>
      <c r="K72" s="12">
        <f>MAX(0,MIN(1,((Input!K72-Input!K$204)/(Input!K$205-Input!K$204))))</f>
        <v>0.60959999080000005</v>
      </c>
      <c r="L72" s="12">
        <f>MAX(0,MIN(1,((Input!L72-Input!L$204)/(Input!L$205-Input!L$204))))</f>
        <v>0.60350399089200002</v>
      </c>
      <c r="M72" s="12">
        <f>MAX(0,MIN(1,((Input!M72-Input!M$204)/(Input!M$205-Input!M$204))))</f>
        <v>0.59740799098399999</v>
      </c>
      <c r="N72" s="12">
        <f>MAX(0,MIN(1,((Input!N72-Input!N$204)/(Input!N$205-Input!N$204))))</f>
        <v>0.59131199107600008</v>
      </c>
      <c r="O72" s="12">
        <f>MAX(0,MIN(1,((Input!O72-Input!O$204)/(Input!O$205-Input!O$204))))</f>
        <v>0.58521599116800005</v>
      </c>
      <c r="P72" s="12">
        <f>MAX(0,MIN(1,((Input!P72-Input!P$204)/(Input!P$205-Input!P$204))))</f>
        <v>0.57911999126000002</v>
      </c>
      <c r="Q72" s="12">
        <f>MAX(0,MIN(1,((Input!Q72-Input!Q$204)/(Input!Q$205-Input!Q$204))))</f>
        <v>0.57302399135200011</v>
      </c>
      <c r="R72" s="12">
        <f>MAX(0,MIN(1,((Input!R72-Input!R$204)/(Input!R$205-Input!R$204))))</f>
        <v>0.56692799144400008</v>
      </c>
      <c r="S72" s="12">
        <f>MAX(0,MIN(1,((Input!S72-Input!S$204)/(Input!S$205-Input!S$204))))</f>
        <v>0.56083199153600005</v>
      </c>
      <c r="T72" s="12">
        <f>MAX(0,MIN(1,((Input!T72-Input!T$204)/(Input!T$205-Input!T$204))))</f>
        <v>0.55473599162800002</v>
      </c>
      <c r="U72" s="12">
        <f>MAX(0,MIN(1,((Input!U72-Input!U$204)/(Input!U$205-Input!U$204))))</f>
        <v>0</v>
      </c>
      <c r="V72" s="26">
        <f>COUNT(Raw!E72:U72)</f>
        <v>7</v>
      </c>
      <c r="W72" s="27">
        <f t="shared" si="2"/>
        <v>17</v>
      </c>
      <c r="AA72">
        <v>0.60332139682857144</v>
      </c>
      <c r="AB72">
        <v>2011</v>
      </c>
      <c r="AC72">
        <v>17</v>
      </c>
    </row>
    <row r="73" spans="1:29" ht="13">
      <c r="A73" s="12"/>
      <c r="B73" s="12"/>
      <c r="C73" s="1" t="s">
        <v>213</v>
      </c>
      <c r="D73" s="1" t="s">
        <v>211</v>
      </c>
      <c r="E73" s="12">
        <f>MAX(0,MIN(1,((Input!E73-Input!E$204)/(Input!E$205-Input!E$204))))</f>
        <v>0.26</v>
      </c>
      <c r="F73" s="12">
        <f>MAX(0,MIN(1,((Input!F73-Input!F$204)/(Input!F$205-Input!F$204))))</f>
        <v>0.25799999239999999</v>
      </c>
      <c r="G73" s="12">
        <f>MAX(0,MIN(1,((Input!G73-Input!G$204)/(Input!G$205-Input!G$204))))</f>
        <v>0.26399999619999998</v>
      </c>
      <c r="H73" s="12">
        <f>MAX(0,MIN(1,((Input!H73-Input!H$204)/(Input!H$205-Input!H$204))))</f>
        <v>0.31</v>
      </c>
      <c r="I73" s="12">
        <f>MAX(0,MIN(1,((Input!I73-Input!I$204)/(Input!I$205-Input!I$204))))</f>
        <v>0.34499999999999997</v>
      </c>
      <c r="J73" s="12">
        <f>MAX(0,MIN(1,((Input!J73-Input!J$204)/(Input!J$205-Input!J$204))))</f>
        <v>0.34499999999999997</v>
      </c>
      <c r="K73" s="12">
        <f>MAX(0,MIN(1,((Input!K73-Input!K$204)/(Input!K$205-Input!K$204))))</f>
        <v>0.34499999999999997</v>
      </c>
      <c r="L73" s="12">
        <f>MAX(0,MIN(1,((Input!L73-Input!L$204)/(Input!L$205-Input!L$204))))</f>
        <v>0.34155000000000002</v>
      </c>
      <c r="M73" s="12">
        <f>MAX(0,MIN(1,((Input!M73-Input!M$204)/(Input!M$205-Input!M$204))))</f>
        <v>0.33810000000000001</v>
      </c>
      <c r="N73" s="12">
        <f>MAX(0,MIN(1,((Input!N73-Input!N$204)/(Input!N$205-Input!N$204))))</f>
        <v>0.33465000000000006</v>
      </c>
      <c r="O73" s="12">
        <f>MAX(0,MIN(1,((Input!O73-Input!O$204)/(Input!O$205-Input!O$204))))</f>
        <v>0.33119999999999999</v>
      </c>
      <c r="P73" s="12">
        <f>MAX(0,MIN(1,((Input!P73-Input!P$204)/(Input!P$205-Input!P$204))))</f>
        <v>0.32774999999999999</v>
      </c>
      <c r="Q73" s="12">
        <f>MAX(0,MIN(1,((Input!Q73-Input!Q$204)/(Input!Q$205-Input!Q$204))))</f>
        <v>0.32429999999999998</v>
      </c>
      <c r="R73" s="12">
        <f>MAX(0,MIN(1,((Input!R73-Input!R$204)/(Input!R$205-Input!R$204))))</f>
        <v>0.32085000000000002</v>
      </c>
      <c r="S73" s="12">
        <f>MAX(0,MIN(1,((Input!S73-Input!S$204)/(Input!S$205-Input!S$204))))</f>
        <v>0.31739999999999996</v>
      </c>
      <c r="T73" s="12">
        <f>MAX(0,MIN(1,((Input!T73-Input!T$204)/(Input!T$205-Input!T$204))))</f>
        <v>0.31395000000000001</v>
      </c>
      <c r="U73" s="12">
        <f>MAX(0,MIN(1,((Input!U73-Input!U$204)/(Input!U$205-Input!U$204))))</f>
        <v>0</v>
      </c>
      <c r="V73" s="26">
        <f>COUNT(Raw!E73:U73)</f>
        <v>7</v>
      </c>
      <c r="W73" s="27">
        <f t="shared" si="2"/>
        <v>17</v>
      </c>
      <c r="AA73">
        <v>0.54064286433571396</v>
      </c>
      <c r="AB73">
        <v>2011</v>
      </c>
      <c r="AC73">
        <v>17</v>
      </c>
    </row>
    <row r="74" spans="1:29" ht="13">
      <c r="A74" s="12"/>
      <c r="B74" s="12"/>
      <c r="C74" s="1" t="s">
        <v>40</v>
      </c>
      <c r="D74" s="1" t="s">
        <v>232</v>
      </c>
      <c r="E74" s="12">
        <f>MAX(0,MIN(1,((Input!E74-Input!E$204)/(Input!E$205-Input!E$204))))</f>
        <v>0.1639999962</v>
      </c>
      <c r="F74" s="12">
        <f>MAX(0,MIN(1,((Input!F74-Input!F$204)/(Input!F$205-Input!F$204))))</f>
        <v>0.16500000000000001</v>
      </c>
      <c r="G74" s="12">
        <f>MAX(0,MIN(1,((Input!G74-Input!G$204)/(Input!G$205-Input!G$204))))</f>
        <v>0.16500000000000001</v>
      </c>
      <c r="H74" s="12">
        <f>MAX(0,MIN(1,((Input!H74-Input!H$204)/(Input!H$205-Input!H$204))))</f>
        <v>0.16500000000000001</v>
      </c>
      <c r="I74" s="12">
        <f>MAX(0,MIN(1,((Input!I74-Input!I$204)/(Input!I$205-Input!I$204))))</f>
        <v>0.16500000000000001</v>
      </c>
      <c r="J74" s="12">
        <f>MAX(0,MIN(1,((Input!J74-Input!J$204)/(Input!J$205-Input!J$204))))</f>
        <v>0.16500000000000001</v>
      </c>
      <c r="K74" s="12">
        <f>MAX(0,MIN(1,((Input!K74-Input!K$204)/(Input!K$205-Input!K$204))))</f>
        <v>0.14263333320666668</v>
      </c>
      <c r="L74" s="12">
        <f>MAX(0,MIN(1,((Input!L74-Input!L$204)/(Input!L$205-Input!L$204))))</f>
        <v>0.12026666641333333</v>
      </c>
      <c r="M74" s="12">
        <f>MAX(0,MIN(1,((Input!M74-Input!M$204)/(Input!M$205-Input!M$204))))</f>
        <v>9.7899999619999997E-2</v>
      </c>
      <c r="N74" s="12">
        <f>MAX(0,MIN(1,((Input!N74-Input!N$204)/(Input!N$205-Input!N$204))))</f>
        <v>9.6920999623799992E-2</v>
      </c>
      <c r="O74" s="12">
        <f>MAX(0,MIN(1,((Input!O74-Input!O$204)/(Input!O$205-Input!O$204))))</f>
        <v>9.59419996276E-2</v>
      </c>
      <c r="P74" s="12">
        <f>MAX(0,MIN(1,((Input!P74-Input!P$204)/(Input!P$205-Input!P$204))))</f>
        <v>9.496299963139998E-2</v>
      </c>
      <c r="Q74" s="12">
        <f>MAX(0,MIN(1,((Input!Q74-Input!Q$204)/(Input!Q$205-Input!Q$204))))</f>
        <v>9.3983999635199988E-2</v>
      </c>
      <c r="R74" s="12">
        <f>MAX(0,MIN(1,((Input!R74-Input!R$204)/(Input!R$205-Input!R$204))))</f>
        <v>9.3004999638999983E-2</v>
      </c>
      <c r="S74" s="12">
        <f>MAX(0,MIN(1,((Input!S74-Input!S$204)/(Input!S$205-Input!S$204))))</f>
        <v>9.2025999642799991E-2</v>
      </c>
      <c r="T74" s="12">
        <f>MAX(0,MIN(1,((Input!T74-Input!T$204)/(Input!T$205-Input!T$204))))</f>
        <v>9.1046999646599985E-2</v>
      </c>
      <c r="U74" s="12">
        <f>MAX(0,MIN(1,((Input!U74-Input!U$204)/(Input!U$205-Input!U$204))))</f>
        <v>0</v>
      </c>
      <c r="V74" s="26">
        <f>COUNT(Raw!E74:U74)</f>
        <v>7</v>
      </c>
      <c r="W74" s="27">
        <f t="shared" si="2"/>
        <v>17</v>
      </c>
      <c r="AA74">
        <v>6.3624015691643762E-2</v>
      </c>
      <c r="AB74">
        <v>2011</v>
      </c>
      <c r="AC74">
        <v>17</v>
      </c>
    </row>
    <row r="75" spans="1:29" ht="13">
      <c r="A75" s="12"/>
      <c r="B75" s="12"/>
      <c r="C75" s="1" t="s">
        <v>310</v>
      </c>
      <c r="D75" s="1" t="s">
        <v>397</v>
      </c>
      <c r="E75" s="12">
        <f>MAX(0,MIN(1,((Input!E75-Input!E$204)/(Input!E$205-Input!E$204))))</f>
        <v>0.10199999809999999</v>
      </c>
      <c r="F75" s="12">
        <f>MAX(0,MIN(1,((Input!F75-Input!F$204)/(Input!F$205-Input!F$204))))</f>
        <v>0.1030000019</v>
      </c>
      <c r="G75" s="12">
        <f>MAX(0,MIN(1,((Input!G75-Input!G$204)/(Input!G$205-Input!G$204))))</f>
        <v>0.1030000019</v>
      </c>
      <c r="H75" s="12">
        <f>MAX(0,MIN(1,((Input!H75-Input!H$204)/(Input!H$205-Input!H$204))))</f>
        <v>0.1030000019</v>
      </c>
      <c r="I75" s="12">
        <f>MAX(0,MIN(1,((Input!I75-Input!I$204)/(Input!I$205-Input!I$204))))</f>
        <v>0.14710000274999999</v>
      </c>
      <c r="J75" s="12">
        <f>MAX(0,MIN(1,((Input!J75-Input!J$204)/(Input!J$205-Input!J$204))))</f>
        <v>0.1912000036</v>
      </c>
      <c r="K75" s="12">
        <f>MAX(0,MIN(1,((Input!K75-Input!K$204)/(Input!K$205-Input!K$204))))</f>
        <v>0.23530000444999999</v>
      </c>
      <c r="L75" s="12">
        <f>MAX(0,MIN(1,((Input!L75-Input!L$204)/(Input!L$205-Input!L$204))))</f>
        <v>0.27940000529999998</v>
      </c>
      <c r="M75" s="12">
        <f>MAX(0,MIN(1,((Input!M75-Input!M$204)/(Input!M$205-Input!M$204))))</f>
        <v>0.27660600524699996</v>
      </c>
      <c r="N75" s="12">
        <f>MAX(0,MIN(1,((Input!N75-Input!N$204)/(Input!N$205-Input!N$204))))</f>
        <v>0.27381200519400001</v>
      </c>
      <c r="O75" s="12">
        <f>MAX(0,MIN(1,((Input!O75-Input!O$204)/(Input!O$205-Input!O$204))))</f>
        <v>0.271018005141</v>
      </c>
      <c r="P75" s="12">
        <f>MAX(0,MIN(1,((Input!P75-Input!P$204)/(Input!P$205-Input!P$204))))</f>
        <v>0.26822400508800004</v>
      </c>
      <c r="Q75" s="12">
        <f>MAX(0,MIN(1,((Input!Q75-Input!Q$204)/(Input!Q$205-Input!Q$204))))</f>
        <v>0.26543000503500003</v>
      </c>
      <c r="R75" s="12">
        <f>MAX(0,MIN(1,((Input!R75-Input!R$204)/(Input!R$205-Input!R$204))))</f>
        <v>0.26263600498200002</v>
      </c>
      <c r="S75" s="12">
        <f>MAX(0,MIN(1,((Input!S75-Input!S$204)/(Input!S$205-Input!S$204))))</f>
        <v>0.259842004929</v>
      </c>
      <c r="T75" s="12">
        <f>MAX(0,MIN(1,((Input!T75-Input!T$204)/(Input!T$205-Input!T$204))))</f>
        <v>0.25704800487599999</v>
      </c>
      <c r="U75" s="12">
        <f>MAX(0,MIN(1,((Input!U75-Input!U$204)/(Input!U$205-Input!U$204))))</f>
        <v>0</v>
      </c>
      <c r="V75" s="26">
        <f>COUNT(Raw!E75:U75)</f>
        <v>5</v>
      </c>
      <c r="W75" s="27">
        <f t="shared" si="2"/>
        <v>17</v>
      </c>
      <c r="AA75">
        <v>0.49545617760273669</v>
      </c>
      <c r="AB75">
        <v>2011</v>
      </c>
      <c r="AC75">
        <v>17</v>
      </c>
    </row>
    <row r="76" spans="1:29" ht="13">
      <c r="A76" s="12"/>
      <c r="B76" s="12"/>
      <c r="C76" s="1" t="s">
        <v>198</v>
      </c>
      <c r="D76" s="1" t="s">
        <v>15</v>
      </c>
      <c r="E76" s="12">
        <f>MAX(0,MIN(1,((Input!E76-Input!E$204)/(Input!E$205-Input!E$204))))</f>
        <v>7.3000001910000001E-2</v>
      </c>
      <c r="F76" s="12">
        <f>MAX(0,MIN(1,((Input!F76-Input!F$204)/(Input!F$205-Input!F$204))))</f>
        <v>7.4000000950000006E-2</v>
      </c>
      <c r="G76" s="12">
        <f>MAX(0,MIN(1,((Input!G76-Input!G$204)/(Input!G$205-Input!G$204))))</f>
        <v>7.4000000950000006E-2</v>
      </c>
      <c r="H76" s="12">
        <f>MAX(0,MIN(1,((Input!H76-Input!H$204)/(Input!H$205-Input!H$204))))</f>
        <v>7.4000000950000006E-2</v>
      </c>
      <c r="I76" s="12">
        <f>MAX(0,MIN(1,((Input!I76-Input!I$204)/(Input!I$205-Input!I$204))))</f>
        <v>7.4000000950000006E-2</v>
      </c>
      <c r="J76" s="12">
        <f>MAX(0,MIN(1,((Input!J76-Input!J$204)/(Input!J$205-Input!J$204))))</f>
        <v>7.4000000950000006E-2</v>
      </c>
      <c r="K76" s="12">
        <f>MAX(0,MIN(1,((Input!K76-Input!K$204)/(Input!K$205-Input!K$204))))</f>
        <v>7.4000000950000006E-2</v>
      </c>
      <c r="L76" s="12">
        <f>MAX(0,MIN(1,((Input!L76-Input!L$204)/(Input!L$205-Input!L$204))))</f>
        <v>7.3260000940500003E-2</v>
      </c>
      <c r="M76" s="12">
        <f>MAX(0,MIN(1,((Input!M76-Input!M$204)/(Input!M$205-Input!M$204))))</f>
        <v>7.2520000931E-2</v>
      </c>
      <c r="N76" s="12">
        <f>MAX(0,MIN(1,((Input!N76-Input!N$204)/(Input!N$205-Input!N$204))))</f>
        <v>7.1780000921499998E-2</v>
      </c>
      <c r="O76" s="12">
        <f>MAX(0,MIN(1,((Input!O76-Input!O$204)/(Input!O$205-Input!O$204))))</f>
        <v>7.1040000912000009E-2</v>
      </c>
      <c r="P76" s="12">
        <f>MAX(0,MIN(1,((Input!P76-Input!P$204)/(Input!P$205-Input!P$204))))</f>
        <v>7.0300000902499993E-2</v>
      </c>
      <c r="Q76" s="12">
        <f>MAX(0,MIN(1,((Input!Q76-Input!Q$204)/(Input!Q$205-Input!Q$204))))</f>
        <v>6.9560000893000004E-2</v>
      </c>
      <c r="R76" s="12">
        <f>MAX(0,MIN(1,((Input!R76-Input!R$204)/(Input!R$205-Input!R$204))))</f>
        <v>6.8820000883500002E-2</v>
      </c>
      <c r="S76" s="12">
        <f>MAX(0,MIN(1,((Input!S76-Input!S$204)/(Input!S$205-Input!S$204))))</f>
        <v>6.8080000873999999E-2</v>
      </c>
      <c r="T76" s="12">
        <f>MAX(0,MIN(1,((Input!T76-Input!T$204)/(Input!T$205-Input!T$204))))</f>
        <v>6.7340000864499996E-2</v>
      </c>
      <c r="U76" s="12">
        <f>MAX(0,MIN(1,((Input!U76-Input!U$204)/(Input!U$205-Input!U$204))))</f>
        <v>0</v>
      </c>
      <c r="V76" s="26">
        <f>COUNT(Raw!E76:U76)</f>
        <v>7</v>
      </c>
      <c r="W76" s="27">
        <f t="shared" si="2"/>
        <v>17</v>
      </c>
      <c r="AA76">
        <v>7.5249999750000032E-2</v>
      </c>
      <c r="AB76">
        <v>2011</v>
      </c>
      <c r="AC76">
        <v>17</v>
      </c>
    </row>
    <row r="77" spans="1:29" ht="13">
      <c r="A77" s="12"/>
      <c r="B77" s="12"/>
      <c r="C77" s="1" t="s">
        <v>287</v>
      </c>
      <c r="D77" s="1" t="s">
        <v>178</v>
      </c>
      <c r="E77" s="12">
        <f>MAX(0,MIN(1,((Input!E77-Input!E$204)/(Input!E$205-Input!E$204))))</f>
        <v>0.24200000760000001</v>
      </c>
      <c r="F77" s="12">
        <f>MAX(0,MIN(1,((Input!F77-Input!F$204)/(Input!F$205-Input!F$204))))</f>
        <v>0.24299999239999998</v>
      </c>
      <c r="G77" s="12">
        <f>MAX(0,MIN(1,((Input!G77-Input!G$204)/(Input!G$205-Input!G$204))))</f>
        <v>0.24299999239999998</v>
      </c>
      <c r="H77" s="12">
        <f>MAX(0,MIN(1,((Input!H77-Input!H$204)/(Input!H$205-Input!H$204))))</f>
        <v>0.24299999239999998</v>
      </c>
      <c r="I77" s="12">
        <f>MAX(0,MIN(1,((Input!I77-Input!I$204)/(Input!I$205-Input!I$204))))</f>
        <v>0.24299999239999998</v>
      </c>
      <c r="J77" s="12">
        <f>MAX(0,MIN(1,((Input!J77-Input!J$204)/(Input!J$205-Input!J$204))))</f>
        <v>0.24299999239999998</v>
      </c>
      <c r="K77" s="12">
        <f>MAX(0,MIN(1,((Input!K77-Input!K$204)/(Input!K$205-Input!K$204))))</f>
        <v>0.24299999239999998</v>
      </c>
      <c r="L77" s="12">
        <f>MAX(0,MIN(1,((Input!L77-Input!L$204)/(Input!L$205-Input!L$204))))</f>
        <v>0.24056999247599997</v>
      </c>
      <c r="M77" s="12">
        <f>MAX(0,MIN(1,((Input!M77-Input!M$204)/(Input!M$205-Input!M$204))))</f>
        <v>0.238139992552</v>
      </c>
      <c r="N77" s="12">
        <f>MAX(0,MIN(1,((Input!N77-Input!N$204)/(Input!N$205-Input!N$204))))</f>
        <v>0.23570999262799996</v>
      </c>
      <c r="O77" s="12">
        <f>MAX(0,MIN(1,((Input!O77-Input!O$204)/(Input!O$205-Input!O$204))))</f>
        <v>0.23327999270399999</v>
      </c>
      <c r="P77" s="12">
        <f>MAX(0,MIN(1,((Input!P77-Input!P$204)/(Input!P$205-Input!P$204))))</f>
        <v>0.23084999277999999</v>
      </c>
      <c r="Q77" s="12">
        <f>MAX(0,MIN(1,((Input!Q77-Input!Q$204)/(Input!Q$205-Input!Q$204))))</f>
        <v>0.22841999285600001</v>
      </c>
      <c r="R77" s="12">
        <f>MAX(0,MIN(1,((Input!R77-Input!R$204)/(Input!R$205-Input!R$204))))</f>
        <v>0.22598999293199998</v>
      </c>
      <c r="S77" s="12">
        <f>MAX(0,MIN(1,((Input!S77-Input!S$204)/(Input!S$205-Input!S$204))))</f>
        <v>0.223559993008</v>
      </c>
      <c r="T77" s="12">
        <f>MAX(0,MIN(1,((Input!T77-Input!T$204)/(Input!T$205-Input!T$204))))</f>
        <v>0.221129993084</v>
      </c>
      <c r="U77" s="12">
        <f>MAX(0,MIN(1,((Input!U77-Input!U$204)/(Input!U$205-Input!U$204))))</f>
        <v>0</v>
      </c>
      <c r="V77" s="26">
        <f>COUNT(Raw!E77:U77)</f>
        <v>7</v>
      </c>
      <c r="W77" s="27">
        <f t="shared" si="2"/>
        <v>17</v>
      </c>
      <c r="AA77">
        <v>0.24424997339999999</v>
      </c>
      <c r="AB77">
        <v>2011</v>
      </c>
      <c r="AC77">
        <v>17</v>
      </c>
    </row>
    <row r="78" spans="1:29" ht="13">
      <c r="A78" s="12"/>
      <c r="B78" s="12"/>
      <c r="C78" s="1" t="s">
        <v>47</v>
      </c>
      <c r="D78" s="1" t="s">
        <v>158</v>
      </c>
      <c r="E78" s="12">
        <f>MAX(0,MIN(1,((Input!E78-Input!E$204)/(Input!E$205-Input!E$204))))</f>
        <v>0.20399999619999998</v>
      </c>
      <c r="F78" s="12">
        <f>MAX(0,MIN(1,((Input!F78-Input!F$204)/(Input!F$205-Input!F$204))))</f>
        <v>0.20399999619999998</v>
      </c>
      <c r="G78" s="12">
        <f>MAX(0,MIN(1,((Input!G78-Input!G$204)/(Input!G$205-Input!G$204))))</f>
        <v>0.20399999619999998</v>
      </c>
      <c r="H78" s="12">
        <f>MAX(0,MIN(1,((Input!H78-Input!H$204)/(Input!H$205-Input!H$204))))</f>
        <v>0.20399999619999998</v>
      </c>
      <c r="I78" s="12">
        <f>MAX(0,MIN(1,((Input!I78-Input!I$204)/(Input!I$205-Input!I$204))))</f>
        <v>0.20399999619999998</v>
      </c>
      <c r="J78" s="12">
        <f>MAX(0,MIN(1,((Input!J78-Input!J$204)/(Input!J$205-Input!J$204))))</f>
        <v>0.20399999619999998</v>
      </c>
      <c r="K78" s="12">
        <f>MAX(0,MIN(1,((Input!K78-Input!K$204)/(Input!K$205-Input!K$204))))</f>
        <v>0.20399999619999998</v>
      </c>
      <c r="L78" s="12">
        <f>MAX(0,MIN(1,((Input!L78-Input!L$204)/(Input!L$205-Input!L$204))))</f>
        <v>0.20195999623799998</v>
      </c>
      <c r="M78" s="12">
        <f>MAX(0,MIN(1,((Input!M78-Input!M$204)/(Input!M$205-Input!M$204))))</f>
        <v>0.19991999627599999</v>
      </c>
      <c r="N78" s="12">
        <f>MAX(0,MIN(1,((Input!N78-Input!N$204)/(Input!N$205-Input!N$204))))</f>
        <v>0.197879996314</v>
      </c>
      <c r="O78" s="12">
        <f>MAX(0,MIN(1,((Input!O78-Input!O$204)/(Input!O$205-Input!O$204))))</f>
        <v>0.19583999635199997</v>
      </c>
      <c r="P78" s="12">
        <f>MAX(0,MIN(1,((Input!P78-Input!P$204)/(Input!P$205-Input!P$204))))</f>
        <v>0.19379999639000001</v>
      </c>
      <c r="Q78" s="12">
        <f>MAX(0,MIN(1,((Input!Q78-Input!Q$204)/(Input!Q$205-Input!Q$204))))</f>
        <v>0.19175999642800001</v>
      </c>
      <c r="R78" s="12">
        <f>MAX(0,MIN(1,((Input!R78-Input!R$204)/(Input!R$205-Input!R$204))))</f>
        <v>0.18971999646600002</v>
      </c>
      <c r="S78" s="12">
        <f>MAX(0,MIN(1,((Input!S78-Input!S$204)/(Input!S$205-Input!S$204))))</f>
        <v>0.187679996504</v>
      </c>
      <c r="T78" s="12">
        <f>MAX(0,MIN(1,((Input!T78-Input!T$204)/(Input!T$205-Input!T$204))))</f>
        <v>0.185639996542</v>
      </c>
      <c r="U78" s="12">
        <f>MAX(0,MIN(1,((Input!U78-Input!U$204)/(Input!U$205-Input!U$204))))</f>
        <v>0</v>
      </c>
      <c r="V78" s="26">
        <f>COUNT(Raw!E78:U78)</f>
        <v>7</v>
      </c>
      <c r="W78" s="27">
        <f t="shared" si="2"/>
        <v>17</v>
      </c>
      <c r="AA78">
        <v>0.20399999619999998</v>
      </c>
      <c r="AB78">
        <v>2011</v>
      </c>
      <c r="AC78">
        <v>17</v>
      </c>
    </row>
    <row r="79" spans="1:29" ht="13">
      <c r="A79" s="12"/>
      <c r="B79" s="12"/>
      <c r="C79" s="1" t="s">
        <v>316</v>
      </c>
      <c r="D79" s="1" t="s">
        <v>331</v>
      </c>
      <c r="E79" s="12">
        <f>MAX(0,MIN(1,((Input!E79-Input!E$204)/(Input!E$205-Input!E$204))))</f>
        <v>0.44099998470000001</v>
      </c>
      <c r="F79" s="12">
        <f>MAX(0,MIN(1,((Input!F79-Input!F$204)/(Input!F$205-Input!F$204))))</f>
        <v>0.43099998470000001</v>
      </c>
      <c r="G79" s="12">
        <f>MAX(0,MIN(1,((Input!G79-Input!G$204)/(Input!G$205-Input!G$204))))</f>
        <v>0.43400001529999999</v>
      </c>
      <c r="H79" s="12">
        <f>MAX(0,MIN(1,((Input!H79-Input!H$204)/(Input!H$205-Input!H$204))))</f>
        <v>0.43400001529999999</v>
      </c>
      <c r="I79" s="12">
        <f>MAX(0,MIN(1,((Input!I79-Input!I$204)/(Input!I$205-Input!I$204))))</f>
        <v>0.43500001273333333</v>
      </c>
      <c r="J79" s="12">
        <f>MAX(0,MIN(1,((Input!J79-Input!J$204)/(Input!J$205-Input!J$204))))</f>
        <v>0.43600001016666667</v>
      </c>
      <c r="K79" s="12">
        <f>MAX(0,MIN(1,((Input!K79-Input!K$204)/(Input!K$205-Input!K$204))))</f>
        <v>0.43700000760000002</v>
      </c>
      <c r="L79" s="12">
        <f>MAX(0,MIN(1,((Input!L79-Input!L$204)/(Input!L$205-Input!L$204))))</f>
        <v>0.43900001529999999</v>
      </c>
      <c r="M79" s="12">
        <f>MAX(0,MIN(1,((Input!M79-Input!M$204)/(Input!M$205-Input!M$204))))</f>
        <v>0.43900001529999999</v>
      </c>
      <c r="N79" s="12">
        <f>MAX(0,MIN(1,((Input!N79-Input!N$204)/(Input!N$205-Input!N$204))))</f>
        <v>0.41946941106666663</v>
      </c>
      <c r="O79" s="12">
        <f>MAX(0,MIN(1,((Input!O79-Input!O$204)/(Input!O$205-Input!O$204))))</f>
        <v>0.39993880683333333</v>
      </c>
      <c r="P79" s="12">
        <f>MAX(0,MIN(1,((Input!P79-Input!P$204)/(Input!P$205-Input!P$204))))</f>
        <v>0.38040820259999997</v>
      </c>
      <c r="Q79" s="12">
        <f>MAX(0,MIN(1,((Input!Q79-Input!Q$204)/(Input!Q$205-Input!Q$204))))</f>
        <v>0.37716317779999997</v>
      </c>
      <c r="R79" s="12">
        <f>MAX(0,MIN(1,((Input!R79-Input!R$204)/(Input!R$205-Input!R$204))))</f>
        <v>0.3765</v>
      </c>
      <c r="S79" s="12">
        <f>MAX(0,MIN(1,((Input!S79-Input!S$204)/(Input!S$205-Input!S$204))))</f>
        <v>0.37273499999999998</v>
      </c>
      <c r="T79" s="12">
        <f>MAX(0,MIN(1,((Input!T79-Input!T$204)/(Input!T$205-Input!T$204))))</f>
        <v>0.36896999999999996</v>
      </c>
      <c r="U79" s="12">
        <f>MAX(0,MIN(1,((Input!U79-Input!U$204)/(Input!U$205-Input!U$204))))</f>
        <v>0</v>
      </c>
      <c r="V79" s="26">
        <f>COUNT(Raw!E79:U79)</f>
        <v>10</v>
      </c>
      <c r="W79" s="27">
        <f t="shared" si="2"/>
        <v>17</v>
      </c>
      <c r="AA79">
        <v>0.37148809130929522</v>
      </c>
      <c r="AB79">
        <v>2011</v>
      </c>
      <c r="AC79">
        <v>17</v>
      </c>
    </row>
    <row r="80" spans="1:29" ht="13">
      <c r="A80" s="12"/>
      <c r="B80" s="12"/>
      <c r="C80" s="1" t="s">
        <v>343</v>
      </c>
      <c r="D80" s="1" t="s">
        <v>195</v>
      </c>
      <c r="E80" s="12">
        <f>MAX(0,MIN(1,((Input!E80-Input!E$204)/(Input!E$205-Input!E$204))))</f>
        <v>0.24799999239999998</v>
      </c>
      <c r="F80" s="12">
        <f>MAX(0,MIN(1,((Input!F80-Input!F$204)/(Input!F$205-Input!F$204))))</f>
        <v>0.25899999619999997</v>
      </c>
      <c r="G80" s="12">
        <f>MAX(0,MIN(1,((Input!G80-Input!G$204)/(Input!G$205-Input!G$204))))</f>
        <v>0.25700000760000002</v>
      </c>
      <c r="H80" s="12">
        <f>MAX(0,MIN(1,((Input!H80-Input!H$204)/(Input!H$205-Input!H$204))))</f>
        <v>0.2710000038</v>
      </c>
      <c r="I80" s="12">
        <f>MAX(0,MIN(1,((Input!I80-Input!I$204)/(Input!I$205-Input!I$204))))</f>
        <v>0.28100000380000001</v>
      </c>
      <c r="J80" s="12">
        <f>MAX(0,MIN(1,((Input!J80-Input!J$204)/(Input!J$205-Input!J$204))))</f>
        <v>0.29499999999999998</v>
      </c>
      <c r="K80" s="12">
        <f>MAX(0,MIN(1,((Input!K80-Input!K$204)/(Input!K$205-Input!K$204))))</f>
        <v>0.30600000380000003</v>
      </c>
      <c r="L80" s="12">
        <f>MAX(0,MIN(1,((Input!L80-Input!L$204)/(Input!L$205-Input!L$204))))</f>
        <v>0.315</v>
      </c>
      <c r="M80" s="12">
        <f>MAX(0,MIN(1,((Input!M80-Input!M$204)/(Input!M$205-Input!M$204))))</f>
        <v>0.32950000764999998</v>
      </c>
      <c r="N80" s="12">
        <f>MAX(0,MIN(1,((Input!N80-Input!N$204)/(Input!N$205-Input!N$204))))</f>
        <v>0.34400001529999996</v>
      </c>
      <c r="O80" s="12">
        <f>MAX(0,MIN(1,((Input!O80-Input!O$204)/(Input!O$205-Input!O$204))))</f>
        <v>0.35389999389999999</v>
      </c>
      <c r="P80" s="12">
        <f>MAX(0,MIN(1,((Input!P80-Input!P$204)/(Input!P$205-Input!P$204))))</f>
        <v>0.35860000609999998</v>
      </c>
      <c r="Q80" s="12">
        <f>MAX(0,MIN(1,((Input!Q80-Input!Q$204)/(Input!Q$205-Input!Q$204))))</f>
        <v>0.36641630900000005</v>
      </c>
      <c r="R80" s="12">
        <f>MAX(0,MIN(1,((Input!R80-Input!R$204)/(Input!R$205-Input!R$204))))</f>
        <v>0.36641630900000005</v>
      </c>
      <c r="S80" s="12">
        <f>MAX(0,MIN(1,((Input!S80-Input!S$204)/(Input!S$205-Input!S$204))))</f>
        <v>0.36275214590999999</v>
      </c>
      <c r="T80" s="12">
        <f>MAX(0,MIN(1,((Input!T80-Input!T$204)/(Input!T$205-Input!T$204))))</f>
        <v>0.35908798281999998</v>
      </c>
      <c r="U80" s="12">
        <f>MAX(0,MIN(1,((Input!U80-Input!U$204)/(Input!U$205-Input!U$204))))</f>
        <v>0</v>
      </c>
      <c r="V80" s="26">
        <f>COUNT(Raw!E80:U80)</f>
        <v>13</v>
      </c>
      <c r="W80" s="27">
        <f t="shared" si="2"/>
        <v>17</v>
      </c>
      <c r="AA80">
        <v>0.40722057004931683</v>
      </c>
      <c r="AB80">
        <v>2011</v>
      </c>
      <c r="AC80">
        <v>17</v>
      </c>
    </row>
    <row r="81" spans="1:29" ht="13">
      <c r="A81" s="12"/>
      <c r="B81" s="12"/>
      <c r="C81" s="1" t="s">
        <v>8</v>
      </c>
      <c r="D81" s="1" t="s">
        <v>132</v>
      </c>
      <c r="E81" s="12">
        <f>MAX(0,MIN(1,((Input!E81-Input!E$204)/(Input!E$205-Input!E$204))))</f>
        <v>0.55400001529999998</v>
      </c>
      <c r="F81" s="12">
        <f>MAX(0,MIN(1,((Input!F81-Input!F$204)/(Input!F$205-Input!F$204))))</f>
        <v>0.5470000076</v>
      </c>
      <c r="G81" s="12">
        <f>MAX(0,MIN(1,((Input!G81-Input!G$204)/(Input!G$205-Input!G$204))))</f>
        <v>0.56499999999999995</v>
      </c>
      <c r="H81" s="12">
        <f>MAX(0,MIN(1,((Input!H81-Input!H$204)/(Input!H$205-Input!H$204))))</f>
        <v>0.56999999999999995</v>
      </c>
      <c r="I81" s="12">
        <f>MAX(0,MIN(1,((Input!I81-Input!I$204)/(Input!I$205-Input!I$204))))</f>
        <v>0.46669998169999999</v>
      </c>
      <c r="J81" s="12">
        <f>MAX(0,MIN(1,((Input!J81-Input!J$204)/(Input!J$205-Input!J$204))))</f>
        <v>0.47459999080000004</v>
      </c>
      <c r="K81" s="12">
        <f>MAX(0,MIN(1,((Input!K81-Input!K$204)/(Input!K$205-Input!K$204))))</f>
        <v>0.47740001679999999</v>
      </c>
      <c r="L81" s="12">
        <f>MAX(0,MIN(1,((Input!L81-Input!L$204)/(Input!L$205-Input!L$204))))</f>
        <v>0.47400001529999997</v>
      </c>
      <c r="M81" s="12">
        <f>MAX(0,MIN(1,((Input!M81-Input!M$204)/(Input!M$205-Input!M$204))))</f>
        <v>0.48010000764999999</v>
      </c>
      <c r="N81" s="12">
        <f>MAX(0,MIN(1,((Input!N81-Input!N$204)/(Input!N$205-Input!N$204))))</f>
        <v>0.48619999999999997</v>
      </c>
      <c r="O81" s="12">
        <f>MAX(0,MIN(1,((Input!O81-Input!O$204)/(Input!O$205-Input!O$204))))</f>
        <v>0.46990000000000004</v>
      </c>
      <c r="P81" s="12">
        <f>MAX(0,MIN(1,((Input!P81-Input!P$204)/(Input!P$205-Input!P$204))))</f>
        <v>0.47720000000000001</v>
      </c>
      <c r="Q81" s="12">
        <f>MAX(0,MIN(1,((Input!Q81-Input!Q$204)/(Input!Q$205-Input!Q$204))))</f>
        <v>0.4824</v>
      </c>
      <c r="R81" s="12">
        <f>MAX(0,MIN(1,((Input!R81-Input!R$204)/(Input!R$205-Input!R$204))))</f>
        <v>0.49340659310000001</v>
      </c>
      <c r="S81" s="12">
        <f>MAX(0,MIN(1,((Input!S81-Input!S$204)/(Input!S$205-Input!S$204))))</f>
        <v>0.48847252716900003</v>
      </c>
      <c r="T81" s="12">
        <f>MAX(0,MIN(1,((Input!T81-Input!T$204)/(Input!T$205-Input!T$204))))</f>
        <v>0.48353846123799998</v>
      </c>
      <c r="U81" s="12">
        <f>MAX(0,MIN(1,((Input!U81-Input!U$204)/(Input!U$205-Input!U$204))))</f>
        <v>0</v>
      </c>
      <c r="V81" s="26">
        <f>COUNT(Raw!E81:U81)</f>
        <v>13</v>
      </c>
      <c r="W81" s="27">
        <f t="shared" si="2"/>
        <v>17</v>
      </c>
      <c r="AA81">
        <v>0.44288193172289764</v>
      </c>
      <c r="AB81">
        <v>2011</v>
      </c>
      <c r="AC81">
        <v>17</v>
      </c>
    </row>
    <row r="82" spans="1:29" ht="13">
      <c r="A82" s="12"/>
      <c r="B82" s="12"/>
      <c r="C82" s="1" t="s">
        <v>84</v>
      </c>
      <c r="D82" s="1" t="s">
        <v>279</v>
      </c>
      <c r="E82" s="12">
        <f>MAX(0,MIN(1,((Input!E82-Input!E$204)/(Input!E$205-Input!E$204))))</f>
        <v>0.52400001529999995</v>
      </c>
      <c r="F82" s="12">
        <f>MAX(0,MIN(1,((Input!F82-Input!F$204)/(Input!F$205-Input!F$204))))</f>
        <v>0.4629999924</v>
      </c>
      <c r="G82" s="12">
        <f>MAX(0,MIN(1,((Input!G82-Input!G$204)/(Input!G$205-Input!G$204))))</f>
        <v>0.56400001529999999</v>
      </c>
      <c r="H82" s="12">
        <f>MAX(0,MIN(1,((Input!H82-Input!H$204)/(Input!H$205-Input!H$204))))</f>
        <v>0.47299999239999996</v>
      </c>
      <c r="I82" s="12">
        <f>MAX(0,MIN(1,((Input!I82-Input!I$204)/(Input!I$205-Input!I$204))))</f>
        <v>0.4629999924</v>
      </c>
      <c r="J82" s="12">
        <f>MAX(0,MIN(1,((Input!J82-Input!J$204)/(Input!J$205-Input!J$204))))</f>
        <v>0.57099998470000002</v>
      </c>
      <c r="K82" s="12">
        <f>MAX(0,MIN(1,((Input!K82-Input!K$204)/(Input!K$205-Input!K$204))))</f>
        <v>0.58900001530000001</v>
      </c>
      <c r="L82" s="12">
        <f>MAX(0,MIN(1,((Input!L82-Input!L$204)/(Input!L$205-Input!L$204))))</f>
        <v>0.57999999999999996</v>
      </c>
      <c r="M82" s="12">
        <f>MAX(0,MIN(1,((Input!M82-Input!M$204)/(Input!M$205-Input!M$204))))</f>
        <v>0.58326496019999996</v>
      </c>
      <c r="N82" s="12">
        <f>MAX(0,MIN(1,((Input!N82-Input!N$204)/(Input!N$205-Input!N$204))))</f>
        <v>0.55321512820000007</v>
      </c>
      <c r="O82" s="12">
        <f>MAX(0,MIN(1,((Input!O82-Input!O$204)/(Input!O$205-Input!O$204))))</f>
        <v>0.55424299700000002</v>
      </c>
      <c r="P82" s="12">
        <f>MAX(0,MIN(1,((Input!P82-Input!P$204)/(Input!P$205-Input!P$204))))</f>
        <v>0.53005378450000007</v>
      </c>
      <c r="Q82" s="12">
        <f>MAX(0,MIN(1,((Input!Q82-Input!Q$204)/(Input!Q$205-Input!Q$204))))</f>
        <v>0.60860426769999998</v>
      </c>
      <c r="R82" s="12">
        <f>MAX(0,MIN(1,((Input!R82-Input!R$204)/(Input!R$205-Input!R$204))))</f>
        <v>0.59106494669999998</v>
      </c>
      <c r="S82" s="12">
        <f>MAX(0,MIN(1,((Input!S82-Input!S$204)/(Input!S$205-Input!S$204))))</f>
        <v>0.58515429723299994</v>
      </c>
      <c r="T82" s="12">
        <f>MAX(0,MIN(1,((Input!T82-Input!T$204)/(Input!T$205-Input!T$204))))</f>
        <v>0.5792436477659999</v>
      </c>
      <c r="U82" s="12">
        <f>MAX(0,MIN(1,((Input!U82-Input!U$204)/(Input!U$205-Input!U$204))))</f>
        <v>0</v>
      </c>
      <c r="V82" s="26">
        <f>COUNT(Raw!E82:U82)</f>
        <v>14</v>
      </c>
      <c r="W82" s="27">
        <f t="shared" si="2"/>
        <v>17</v>
      </c>
      <c r="AA82">
        <v>0.61338393729538665</v>
      </c>
      <c r="AB82">
        <v>2011</v>
      </c>
      <c r="AC82">
        <v>17</v>
      </c>
    </row>
    <row r="83" spans="1:29" ht="13">
      <c r="A83" s="12"/>
      <c r="B83" s="12"/>
      <c r="C83" s="1" t="s">
        <v>360</v>
      </c>
      <c r="D83" s="1" t="s">
        <v>66</v>
      </c>
      <c r="E83" s="12">
        <f>MAX(0,MIN(1,((Input!E83-Input!E$204)/(Input!E$205-Input!E$204))))</f>
        <v>0.49900001529999999</v>
      </c>
      <c r="F83" s="12">
        <f>MAX(0,MIN(1,((Input!F83-Input!F$204)/(Input!F$205-Input!F$204))))</f>
        <v>0.52099998469999997</v>
      </c>
      <c r="G83" s="12">
        <f>MAX(0,MIN(1,((Input!G83-Input!G$204)/(Input!G$205-Input!G$204))))</f>
        <v>0.56799999239999999</v>
      </c>
      <c r="H83" s="12">
        <f>MAX(0,MIN(1,((Input!H83-Input!H$204)/(Input!H$205-Input!H$204))))</f>
        <v>0.56299999239999998</v>
      </c>
      <c r="I83" s="12">
        <f>MAX(0,MIN(1,((Input!I83-Input!I$204)/(Input!I$205-Input!I$204))))</f>
        <v>0.59133333843333336</v>
      </c>
      <c r="J83" s="12">
        <f>MAX(0,MIN(1,((Input!J83-Input!J$204)/(Input!J$205-Input!J$204))))</f>
        <v>0.61966668446666662</v>
      </c>
      <c r="K83" s="12">
        <f>MAX(0,MIN(1,((Input!K83-Input!K$204)/(Input!K$205-Input!K$204))))</f>
        <v>0.64800003049999999</v>
      </c>
      <c r="L83" s="12">
        <f>MAX(0,MIN(1,((Input!L83-Input!L$204)/(Input!L$205-Input!L$204))))</f>
        <v>0.6630000305</v>
      </c>
      <c r="M83" s="12">
        <f>MAX(0,MIN(1,((Input!M83-Input!M$204)/(Input!M$205-Input!M$204))))</f>
        <v>0.67360000610000004</v>
      </c>
      <c r="N83" s="12">
        <f>MAX(0,MIN(1,((Input!N83-Input!N$204)/(Input!N$205-Input!N$204))))</f>
        <v>0.69192158280000005</v>
      </c>
      <c r="O83" s="12">
        <f>MAX(0,MIN(1,((Input!O83-Input!O$204)/(Input!O$205-Input!O$204))))</f>
        <v>0.71024315950000005</v>
      </c>
      <c r="P83" s="12">
        <f>MAX(0,MIN(1,((Input!P83-Input!P$204)/(Input!P$205-Input!P$204))))</f>
        <v>0.73297341950000006</v>
      </c>
      <c r="Q83" s="12">
        <f>MAX(0,MIN(1,((Input!Q83-Input!Q$204)/(Input!Q$205-Input!Q$204))))</f>
        <v>0.72564368530500001</v>
      </c>
      <c r="R83" s="12">
        <f>MAX(0,MIN(1,((Input!R83-Input!R$204)/(Input!R$205-Input!R$204))))</f>
        <v>0.71831395111000007</v>
      </c>
      <c r="S83" s="12">
        <f>MAX(0,MIN(1,((Input!S83-Input!S$204)/(Input!S$205-Input!S$204))))</f>
        <v>0.71098421691499991</v>
      </c>
      <c r="T83" s="12">
        <f>MAX(0,MIN(1,((Input!T83-Input!T$204)/(Input!T$205-Input!T$204))))</f>
        <v>0.70365448271999997</v>
      </c>
      <c r="U83" s="12">
        <f>MAX(0,MIN(1,((Input!U83-Input!U$204)/(Input!U$205-Input!U$204))))</f>
        <v>0</v>
      </c>
      <c r="V83" s="26">
        <f>COUNT(Raw!E83:U83)</f>
        <v>9</v>
      </c>
      <c r="W83" s="27">
        <f t="shared" si="2"/>
        <v>17</v>
      </c>
      <c r="AA83">
        <v>0.84280608982499872</v>
      </c>
      <c r="AB83">
        <v>2011</v>
      </c>
      <c r="AC83">
        <v>17</v>
      </c>
    </row>
    <row r="84" spans="1:29" ht="13">
      <c r="A84" s="12"/>
      <c r="B84" s="12"/>
      <c r="C84" s="1" t="s">
        <v>358</v>
      </c>
      <c r="D84" s="1" t="s">
        <v>229</v>
      </c>
      <c r="E84" s="12">
        <f>MAX(0,MIN(1,((Input!E84-Input!E$204)/(Input!E$205-Input!E$204))))</f>
        <v>0.86</v>
      </c>
      <c r="F84" s="12">
        <f>MAX(0,MIN(1,((Input!F84-Input!F$204)/(Input!F$205-Input!F$204))))</f>
        <v>0.86</v>
      </c>
      <c r="G84" s="12">
        <f>MAX(0,MIN(1,((Input!G84-Input!G$204)/(Input!G$205-Input!G$204))))</f>
        <v>0.85150001524999996</v>
      </c>
      <c r="H84" s="12">
        <f>MAX(0,MIN(1,((Input!H84-Input!H$204)/(Input!H$205-Input!H$204))))</f>
        <v>0.84300003050000005</v>
      </c>
      <c r="I84" s="12">
        <f>MAX(0,MIN(1,((Input!I84-Input!I$204)/(Input!I$205-Input!I$204))))</f>
        <v>0.84300003050000005</v>
      </c>
      <c r="J84" s="12">
        <f>MAX(0,MIN(1,((Input!J84-Input!J$204)/(Input!J$205-Input!J$204))))</f>
        <v>0.84300003050000005</v>
      </c>
      <c r="K84" s="12">
        <f>MAX(0,MIN(1,((Input!K84-Input!K$204)/(Input!K$205-Input!K$204))))</f>
        <v>0.84300003050000005</v>
      </c>
      <c r="L84" s="12">
        <f>MAX(0,MIN(1,((Input!L84-Input!L$204)/(Input!L$205-Input!L$204))))</f>
        <v>0.83457003019500009</v>
      </c>
      <c r="M84" s="12">
        <f>MAX(0,MIN(1,((Input!M84-Input!M$204)/(Input!M$205-Input!M$204))))</f>
        <v>0.82614002989000002</v>
      </c>
      <c r="N84" s="12">
        <f>MAX(0,MIN(1,((Input!N84-Input!N$204)/(Input!N$205-Input!N$204))))</f>
        <v>0.81771002958500005</v>
      </c>
      <c r="O84" s="12">
        <f>MAX(0,MIN(1,((Input!O84-Input!O$204)/(Input!O$205-Input!O$204))))</f>
        <v>0.80928002927999998</v>
      </c>
      <c r="P84" s="12">
        <f>MAX(0,MIN(1,((Input!P84-Input!P$204)/(Input!P$205-Input!P$204))))</f>
        <v>0.80085002897500002</v>
      </c>
      <c r="Q84" s="12">
        <f>MAX(0,MIN(1,((Input!Q84-Input!Q$204)/(Input!Q$205-Input!Q$204))))</f>
        <v>0.79242002866999994</v>
      </c>
      <c r="R84" s="12">
        <f>MAX(0,MIN(1,((Input!R84-Input!R$204)/(Input!R$205-Input!R$204))))</f>
        <v>0.78399002836499998</v>
      </c>
      <c r="S84" s="12">
        <f>MAX(0,MIN(1,((Input!S84-Input!S$204)/(Input!S$205-Input!S$204))))</f>
        <v>0.77556002805999991</v>
      </c>
      <c r="T84" s="12">
        <f>MAX(0,MIN(1,((Input!T84-Input!T$204)/(Input!T$205-Input!T$204))))</f>
        <v>0.76713002775500005</v>
      </c>
      <c r="U84" s="12">
        <f>MAX(0,MIN(1,((Input!U84-Input!U$204)/(Input!U$205-Input!U$204))))</f>
        <v>0</v>
      </c>
      <c r="V84" s="26">
        <f>COUNT(Raw!E84:U84)</f>
        <v>6</v>
      </c>
      <c r="W84" s="27">
        <f t="shared" si="2"/>
        <v>17</v>
      </c>
      <c r="AA84">
        <v>0.80530444595652284</v>
      </c>
      <c r="AB84">
        <v>2011</v>
      </c>
      <c r="AC84">
        <v>17</v>
      </c>
    </row>
    <row r="85" spans="1:29" ht="13">
      <c r="A85" s="12"/>
      <c r="B85" s="12"/>
      <c r="C85" s="1" t="s">
        <v>362</v>
      </c>
      <c r="D85" s="1" t="s">
        <v>100</v>
      </c>
      <c r="E85" s="12">
        <f>MAX(0,MIN(1,((Input!E85-Input!E$204)/(Input!E$205-Input!E$204))))</f>
        <v>0.94</v>
      </c>
      <c r="F85" s="12">
        <f>MAX(0,MIN(1,((Input!F85-Input!F$204)/(Input!F$205-Input!F$204))))</f>
        <v>0.94099998470000001</v>
      </c>
      <c r="G85" s="12">
        <f>MAX(0,MIN(1,((Input!G85-Input!G$204)/(Input!G$205-Input!G$204))))</f>
        <v>0.94099998470000001</v>
      </c>
      <c r="H85" s="12">
        <f>MAX(0,MIN(1,((Input!H85-Input!H$204)/(Input!H$205-Input!H$204))))</f>
        <v>1</v>
      </c>
      <c r="I85" s="12">
        <f>MAX(0,MIN(1,((Input!I85-Input!I$204)/(Input!I$205-Input!I$204))))</f>
        <v>1</v>
      </c>
      <c r="J85" s="12">
        <f>MAX(0,MIN(1,((Input!J85-Input!J$204)/(Input!J$205-Input!J$204))))</f>
        <v>1</v>
      </c>
      <c r="K85" s="12">
        <f>MAX(0,MIN(1,((Input!K85-Input!K$204)/(Input!K$205-Input!K$204))))</f>
        <v>1</v>
      </c>
      <c r="L85" s="12">
        <f>MAX(0,MIN(1,((Input!L85-Input!L$204)/(Input!L$205-Input!L$204))))</f>
        <v>1</v>
      </c>
      <c r="M85" s="12">
        <f>MAX(0,MIN(1,((Input!M85-Input!M$204)/(Input!M$205-Input!M$204))))</f>
        <v>1</v>
      </c>
      <c r="N85" s="12">
        <f>MAX(0,MIN(1,((Input!N85-Input!N$204)/(Input!N$205-Input!N$204))))</f>
        <v>1</v>
      </c>
      <c r="O85" s="12">
        <f>MAX(0,MIN(1,((Input!O85-Input!O$204)/(Input!O$205-Input!O$204))))</f>
        <v>1</v>
      </c>
      <c r="P85" s="12">
        <f>MAX(0,MIN(1,((Input!P85-Input!P$204)/(Input!P$205-Input!P$204))))</f>
        <v>1</v>
      </c>
      <c r="Q85" s="12">
        <f>MAX(0,MIN(1,((Input!Q85-Input!Q$204)/(Input!Q$205-Input!Q$204))))</f>
        <v>1</v>
      </c>
      <c r="R85" s="12">
        <f>MAX(0,MIN(1,((Input!R85-Input!R$204)/(Input!R$205-Input!R$204))))</f>
        <v>1</v>
      </c>
      <c r="S85" s="12">
        <f>MAX(0,MIN(1,((Input!S85-Input!S$204)/(Input!S$205-Input!S$204))))</f>
        <v>0.99</v>
      </c>
      <c r="T85" s="12">
        <f>MAX(0,MIN(1,((Input!T85-Input!T$204)/(Input!T$205-Input!T$204))))</f>
        <v>0.98</v>
      </c>
      <c r="U85" s="12">
        <f>MAX(0,MIN(1,((Input!U85-Input!U$204)/(Input!U$205-Input!U$204))))</f>
        <v>0</v>
      </c>
      <c r="V85" s="26">
        <f>COUNT(Raw!E85:U85)</f>
        <v>11</v>
      </c>
      <c r="W85" s="27">
        <f t="shared" si="2"/>
        <v>17</v>
      </c>
      <c r="AA85">
        <v>1</v>
      </c>
      <c r="AB85">
        <v>2011</v>
      </c>
      <c r="AC85">
        <v>17</v>
      </c>
    </row>
    <row r="86" spans="1:29" ht="13">
      <c r="A86" s="12"/>
      <c r="B86" s="12"/>
      <c r="C86" s="1" t="s">
        <v>341</v>
      </c>
      <c r="D86" s="1" t="s">
        <v>376</v>
      </c>
      <c r="E86" s="12">
        <f>MAX(0,MIN(1,((Input!E86-Input!E$204)/(Input!E$205-Input!E$204))))</f>
        <v>1</v>
      </c>
      <c r="F86" s="12">
        <f>MAX(0,MIN(1,((Input!F86-Input!F$204)/(Input!F$205-Input!F$204))))</f>
        <v>1</v>
      </c>
      <c r="G86" s="12">
        <f>MAX(0,MIN(1,((Input!G86-Input!G$204)/(Input!G$205-Input!G$204))))</f>
        <v>1</v>
      </c>
      <c r="H86" s="12">
        <f>MAX(0,MIN(1,((Input!H86-Input!H$204)/(Input!H$205-Input!H$204))))</f>
        <v>1</v>
      </c>
      <c r="I86" s="12">
        <f>MAX(0,MIN(1,((Input!I86-Input!I$204)/(Input!I$205-Input!I$204))))</f>
        <v>1</v>
      </c>
      <c r="J86" s="12">
        <f>MAX(0,MIN(1,((Input!J86-Input!J$204)/(Input!J$205-Input!J$204))))</f>
        <v>1</v>
      </c>
      <c r="K86" s="12">
        <f>MAX(0,MIN(1,((Input!K86-Input!K$204)/(Input!K$205-Input!K$204))))</f>
        <v>1</v>
      </c>
      <c r="L86" s="12">
        <f>MAX(0,MIN(1,((Input!L86-Input!L$204)/(Input!L$205-Input!L$204))))</f>
        <v>1</v>
      </c>
      <c r="M86" s="12">
        <f>MAX(0,MIN(1,((Input!M86-Input!M$204)/(Input!M$205-Input!M$204))))</f>
        <v>1</v>
      </c>
      <c r="N86" s="12">
        <f>MAX(0,MIN(1,((Input!N86-Input!N$204)/(Input!N$205-Input!N$204))))</f>
        <v>1</v>
      </c>
      <c r="O86" s="12">
        <f>MAX(0,MIN(1,((Input!O86-Input!O$204)/(Input!O$205-Input!O$204))))</f>
        <v>1</v>
      </c>
      <c r="P86" s="12">
        <f>MAX(0,MIN(1,((Input!P86-Input!P$204)/(Input!P$205-Input!P$204))))</f>
        <v>1</v>
      </c>
      <c r="Q86" s="12">
        <f>MAX(0,MIN(1,((Input!Q86-Input!Q$204)/(Input!Q$205-Input!Q$204))))</f>
        <v>1</v>
      </c>
      <c r="R86" s="12">
        <f>MAX(0,MIN(1,((Input!R86-Input!R$204)/(Input!R$205-Input!R$204))))</f>
        <v>1</v>
      </c>
      <c r="S86" s="12">
        <f>MAX(0,MIN(1,((Input!S86-Input!S$204)/(Input!S$205-Input!S$204))))</f>
        <v>0.99</v>
      </c>
      <c r="T86" s="12">
        <f>MAX(0,MIN(1,((Input!T86-Input!T$204)/(Input!T$205-Input!T$204))))</f>
        <v>0.98</v>
      </c>
      <c r="U86" s="12">
        <f>MAX(0,MIN(1,((Input!U86-Input!U$204)/(Input!U$205-Input!U$204))))</f>
        <v>0</v>
      </c>
      <c r="V86" s="26">
        <f>COUNT(Raw!E86:U86)</f>
        <v>13</v>
      </c>
      <c r="W86" s="27">
        <f t="shared" si="2"/>
        <v>17</v>
      </c>
      <c r="AA86">
        <v>1</v>
      </c>
      <c r="AB86">
        <v>2011</v>
      </c>
      <c r="AC86">
        <v>17</v>
      </c>
    </row>
    <row r="87" spans="1:29" ht="13">
      <c r="A87" s="12"/>
      <c r="B87" s="12"/>
      <c r="C87" s="1" t="s">
        <v>354</v>
      </c>
      <c r="D87" s="1" t="s">
        <v>36</v>
      </c>
      <c r="E87" s="12">
        <f>MAX(0,MIN(1,((Input!E87-Input!E$204)/(Input!E$205-Input!E$204))))</f>
        <v>1</v>
      </c>
      <c r="F87" s="12">
        <f>MAX(0,MIN(1,((Input!F87-Input!F$204)/(Input!F$205-Input!F$204))))</f>
        <v>1</v>
      </c>
      <c r="G87" s="12">
        <f>MAX(0,MIN(1,((Input!G87-Input!G$204)/(Input!G$205-Input!G$204))))</f>
        <v>1</v>
      </c>
      <c r="H87" s="12">
        <f>MAX(0,MIN(1,((Input!H87-Input!H$204)/(Input!H$205-Input!H$204))))</f>
        <v>1</v>
      </c>
      <c r="I87" s="12">
        <f>MAX(0,MIN(1,((Input!I87-Input!I$204)/(Input!I$205-Input!I$204))))</f>
        <v>1</v>
      </c>
      <c r="J87" s="12">
        <f>MAX(0,MIN(1,((Input!J87-Input!J$204)/(Input!J$205-Input!J$204))))</f>
        <v>1</v>
      </c>
      <c r="K87" s="12">
        <f>MAX(0,MIN(1,((Input!K87-Input!K$204)/(Input!K$205-Input!K$204))))</f>
        <v>1</v>
      </c>
      <c r="L87" s="12">
        <f>MAX(0,MIN(1,((Input!L87-Input!L$204)/(Input!L$205-Input!L$204))))</f>
        <v>1</v>
      </c>
      <c r="M87" s="12">
        <f>MAX(0,MIN(1,((Input!M87-Input!M$204)/(Input!M$205-Input!M$204))))</f>
        <v>1</v>
      </c>
      <c r="N87" s="12">
        <f>MAX(0,MIN(1,((Input!N87-Input!N$204)/(Input!N$205-Input!N$204))))</f>
        <v>0.99</v>
      </c>
      <c r="O87" s="12">
        <f>MAX(0,MIN(1,((Input!O87-Input!O$204)/(Input!O$205-Input!O$204))))</f>
        <v>0.98</v>
      </c>
      <c r="P87" s="12">
        <f>MAX(0,MIN(1,((Input!P87-Input!P$204)/(Input!P$205-Input!P$204))))</f>
        <v>0.97</v>
      </c>
      <c r="Q87" s="12">
        <f>MAX(0,MIN(1,((Input!Q87-Input!Q$204)/(Input!Q$205-Input!Q$204))))</f>
        <v>0.96</v>
      </c>
      <c r="R87" s="12">
        <f>MAX(0,MIN(1,((Input!R87-Input!R$204)/(Input!R$205-Input!R$204))))</f>
        <v>0.95</v>
      </c>
      <c r="S87" s="12">
        <f>MAX(0,MIN(1,((Input!S87-Input!S$204)/(Input!S$205-Input!S$204))))</f>
        <v>0.94</v>
      </c>
      <c r="T87" s="12">
        <f>MAX(0,MIN(1,((Input!T87-Input!T$204)/(Input!T$205-Input!T$204))))</f>
        <v>0.93</v>
      </c>
      <c r="U87" s="12">
        <f>MAX(0,MIN(1,((Input!U87-Input!U$204)/(Input!U$205-Input!U$204))))</f>
        <v>0</v>
      </c>
      <c r="V87" s="26">
        <f>COUNT(Raw!E87:U87)</f>
        <v>7</v>
      </c>
      <c r="W87" s="27">
        <f t="shared" si="2"/>
        <v>17</v>
      </c>
      <c r="AA87">
        <v>1</v>
      </c>
      <c r="AB87">
        <v>2011</v>
      </c>
      <c r="AC87">
        <v>17</v>
      </c>
    </row>
    <row r="88" spans="1:29" ht="13">
      <c r="A88" s="12"/>
      <c r="B88" s="12"/>
      <c r="C88" s="1" t="s">
        <v>172</v>
      </c>
      <c r="D88" s="1" t="s">
        <v>164</v>
      </c>
      <c r="E88" s="12">
        <f>MAX(0,MIN(1,((Input!E88-Input!E$204)/(Input!E$205-Input!E$204))))</f>
        <v>0.70599998470000003</v>
      </c>
      <c r="F88" s="12">
        <f>MAX(0,MIN(1,((Input!F88-Input!F$204)/(Input!F$205-Input!F$204))))</f>
        <v>0.70699996949999999</v>
      </c>
      <c r="G88" s="12">
        <f>MAX(0,MIN(1,((Input!G88-Input!G$204)/(Input!G$205-Input!G$204))))</f>
        <v>0.70399997710000006</v>
      </c>
      <c r="H88" s="12">
        <f>MAX(0,MIN(1,((Input!H88-Input!H$204)/(Input!H$205-Input!H$204))))</f>
        <v>0.70099998470000002</v>
      </c>
      <c r="I88" s="12">
        <f>MAX(0,MIN(1,((Input!I88-Input!I$204)/(Input!I$205-Input!I$204))))</f>
        <v>0.70099998470000002</v>
      </c>
      <c r="J88" s="12">
        <f>MAX(0,MIN(1,((Input!J88-Input!J$204)/(Input!J$205-Input!J$204))))</f>
        <v>0.70099998470000002</v>
      </c>
      <c r="K88" s="12">
        <f>MAX(0,MIN(1,((Input!K88-Input!K$204)/(Input!K$205-Input!K$204))))</f>
        <v>0.71149998980000007</v>
      </c>
      <c r="L88" s="12">
        <f>MAX(0,MIN(1,((Input!L88-Input!L$204)/(Input!L$205-Input!L$204))))</f>
        <v>0.7219999949</v>
      </c>
      <c r="M88" s="12">
        <f>MAX(0,MIN(1,((Input!M88-Input!M$204)/(Input!M$205-Input!M$204))))</f>
        <v>0.73250000000000004</v>
      </c>
      <c r="N88" s="12">
        <f>MAX(0,MIN(1,((Input!N88-Input!N$204)/(Input!N$205-Input!N$204))))</f>
        <v>0.7327999878</v>
      </c>
      <c r="O88" s="12">
        <f>MAX(0,MIN(1,((Input!O88-Input!O$204)/(Input!O$205-Input!O$204))))</f>
        <v>0.7327999878</v>
      </c>
      <c r="P88" s="12">
        <f>MAX(0,MIN(1,((Input!P88-Input!P$204)/(Input!P$205-Input!P$204))))</f>
        <v>0.72547198792199996</v>
      </c>
      <c r="Q88" s="12">
        <f>MAX(0,MIN(1,((Input!Q88-Input!Q$204)/(Input!Q$205-Input!Q$204))))</f>
        <v>0.71814398804400004</v>
      </c>
      <c r="R88" s="12">
        <f>MAX(0,MIN(1,((Input!R88-Input!R$204)/(Input!R$205-Input!R$204))))</f>
        <v>0.71081598816599989</v>
      </c>
      <c r="S88" s="12">
        <f>MAX(0,MIN(1,((Input!S88-Input!S$204)/(Input!S$205-Input!S$204))))</f>
        <v>0.70348798828799997</v>
      </c>
      <c r="T88" s="12">
        <f>MAX(0,MIN(1,((Input!T88-Input!T$204)/(Input!T$205-Input!T$204))))</f>
        <v>0.69615998840999993</v>
      </c>
      <c r="U88" s="12">
        <f>MAX(0,MIN(1,((Input!U88-Input!U$204)/(Input!U$205-Input!U$204))))</f>
        <v>0</v>
      </c>
      <c r="V88" s="26">
        <f>COUNT(Raw!E88:U88)</f>
        <v>8</v>
      </c>
      <c r="W88" s="27">
        <f t="shared" si="2"/>
        <v>17</v>
      </c>
      <c r="AA88">
        <v>0.75226979257708304</v>
      </c>
      <c r="AB88">
        <v>2011</v>
      </c>
      <c r="AC88">
        <v>17</v>
      </c>
    </row>
    <row r="89" spans="1:29" ht="13">
      <c r="A89" s="12"/>
      <c r="B89" s="12"/>
      <c r="C89" s="1" t="s">
        <v>5</v>
      </c>
      <c r="D89" s="1" t="s">
        <v>335</v>
      </c>
      <c r="E89" s="12">
        <f>MAX(0,MIN(1,((Input!E89-Input!E$204)/(Input!E$205-Input!E$204))))</f>
        <v>0.73599998470000005</v>
      </c>
      <c r="F89" s="12">
        <f>MAX(0,MIN(1,((Input!F89-Input!F$204)/(Input!F$205-Input!F$204))))</f>
        <v>0.74300003049999996</v>
      </c>
      <c r="G89" s="12">
        <f>MAX(0,MIN(1,((Input!G89-Input!G$204)/(Input!G$205-Input!G$204))))</f>
        <v>0.74900001529999993</v>
      </c>
      <c r="H89" s="12">
        <f>MAX(0,MIN(1,((Input!H89-Input!H$204)/(Input!H$205-Input!H$204))))</f>
        <v>0.76</v>
      </c>
      <c r="I89" s="12">
        <f>MAX(0,MIN(1,((Input!I89-Input!I$204)/(Input!I$205-Input!I$204))))</f>
        <v>0.76099998470000008</v>
      </c>
      <c r="J89" s="12">
        <f>MAX(0,MIN(1,((Input!J89-Input!J$204)/(Input!J$205-Input!J$204))))</f>
        <v>0.76599998470000008</v>
      </c>
      <c r="K89" s="12">
        <f>MAX(0,MIN(1,((Input!K89-Input!K$204)/(Input!K$205-Input!K$204))))</f>
        <v>0.77099998469999997</v>
      </c>
      <c r="L89" s="12">
        <f>MAX(0,MIN(1,((Input!L89-Input!L$204)/(Input!L$205-Input!L$204))))</f>
        <v>0.77699996949999994</v>
      </c>
      <c r="M89" s="12">
        <f>MAX(0,MIN(1,((Input!M89-Input!M$204)/(Input!M$205-Input!M$204))))</f>
        <v>0.78219800000000006</v>
      </c>
      <c r="N89" s="12">
        <f>MAX(0,MIN(1,((Input!N89-Input!N$204)/(Input!N$205-Input!N$204))))</f>
        <v>0.7860990000000001</v>
      </c>
      <c r="O89" s="12">
        <f>MAX(0,MIN(1,((Input!O89-Input!O$204)/(Input!O$205-Input!O$204))))</f>
        <v>0.79</v>
      </c>
      <c r="P89" s="12">
        <f>MAX(0,MIN(1,((Input!P89-Input!P$204)/(Input!P$205-Input!P$204))))</f>
        <v>0.79286613459999999</v>
      </c>
      <c r="Q89" s="12">
        <f>MAX(0,MIN(1,((Input!Q89-Input!Q$204)/(Input!Q$205-Input!Q$204))))</f>
        <v>0.79600333059999995</v>
      </c>
      <c r="R89" s="12">
        <f>MAX(0,MIN(1,((Input!R89-Input!R$204)/(Input!R$205-Input!R$204))))</f>
        <v>0.78804329729399991</v>
      </c>
      <c r="S89" s="12">
        <f>MAX(0,MIN(1,((Input!S89-Input!S$204)/(Input!S$205-Input!S$204))))</f>
        <v>0.78008326398799999</v>
      </c>
      <c r="T89" s="12">
        <f>MAX(0,MIN(1,((Input!T89-Input!T$204)/(Input!T$205-Input!T$204))))</f>
        <v>0.77212323068199995</v>
      </c>
      <c r="U89" s="12">
        <f>MAX(0,MIN(1,((Input!U89-Input!U$204)/(Input!U$205-Input!U$204))))</f>
        <v>0</v>
      </c>
      <c r="V89" s="26">
        <f>COUNT(Raw!E89:U89)</f>
        <v>12</v>
      </c>
      <c r="W89" s="27">
        <f t="shared" si="2"/>
        <v>17</v>
      </c>
      <c r="AA89">
        <v>0.81941727710701462</v>
      </c>
      <c r="AB89">
        <v>2011</v>
      </c>
      <c r="AC89">
        <v>17</v>
      </c>
    </row>
    <row r="90" spans="1:29" ht="13">
      <c r="A90" s="12"/>
      <c r="B90" s="12"/>
      <c r="C90" s="1" t="s">
        <v>27</v>
      </c>
      <c r="D90" s="1" t="s">
        <v>352</v>
      </c>
      <c r="E90" s="12">
        <f>MAX(0,MIN(1,((Input!E90-Input!E$204)/(Input!E$205-Input!E$204))))</f>
        <v>1</v>
      </c>
      <c r="F90" s="12">
        <f>MAX(0,MIN(1,((Input!F90-Input!F$204)/(Input!F$205-Input!F$204))))</f>
        <v>1</v>
      </c>
      <c r="G90" s="12">
        <f>MAX(0,MIN(1,((Input!G90-Input!G$204)/(Input!G$205-Input!G$204))))</f>
        <v>1</v>
      </c>
      <c r="H90" s="12">
        <f>MAX(0,MIN(1,((Input!H90-Input!H$204)/(Input!H$205-Input!H$204))))</f>
        <v>1</v>
      </c>
      <c r="I90" s="12">
        <f>MAX(0,MIN(1,((Input!I90-Input!I$204)/(Input!I$205-Input!I$204))))</f>
        <v>1</v>
      </c>
      <c r="J90" s="12">
        <f>MAX(0,MIN(1,((Input!J90-Input!J$204)/(Input!J$205-Input!J$204))))</f>
        <v>1</v>
      </c>
      <c r="K90" s="12">
        <f>MAX(0,MIN(1,((Input!K90-Input!K$204)/(Input!K$205-Input!K$204))))</f>
        <v>1</v>
      </c>
      <c r="L90" s="12">
        <f>MAX(0,MIN(1,((Input!L90-Input!L$204)/(Input!L$205-Input!L$204))))</f>
        <v>1</v>
      </c>
      <c r="M90" s="12">
        <f>MAX(0,MIN(1,((Input!M90-Input!M$204)/(Input!M$205-Input!M$204))))</f>
        <v>1</v>
      </c>
      <c r="N90" s="12">
        <f>MAX(0,MIN(1,((Input!N90-Input!N$204)/(Input!N$205-Input!N$204))))</f>
        <v>1</v>
      </c>
      <c r="O90" s="12">
        <f>MAX(0,MIN(1,((Input!O90-Input!O$204)/(Input!O$205-Input!O$204))))</f>
        <v>1</v>
      </c>
      <c r="P90" s="12">
        <f>MAX(0,MIN(1,((Input!P90-Input!P$204)/(Input!P$205-Input!P$204))))</f>
        <v>1</v>
      </c>
      <c r="Q90" s="12">
        <f>MAX(0,MIN(1,((Input!Q90-Input!Q$204)/(Input!Q$205-Input!Q$204))))</f>
        <v>1</v>
      </c>
      <c r="R90" s="12">
        <f>MAX(0,MIN(1,((Input!R90-Input!R$204)/(Input!R$205-Input!R$204))))</f>
        <v>1</v>
      </c>
      <c r="S90" s="12">
        <f>MAX(0,MIN(1,((Input!S90-Input!S$204)/(Input!S$205-Input!S$204))))</f>
        <v>0.99</v>
      </c>
      <c r="T90" s="12">
        <f>MAX(0,MIN(1,((Input!T90-Input!T$204)/(Input!T$205-Input!T$204))))</f>
        <v>0.98</v>
      </c>
      <c r="U90" s="12">
        <f>MAX(0,MIN(1,((Input!U90-Input!U$204)/(Input!U$205-Input!U$204))))</f>
        <v>0</v>
      </c>
      <c r="V90" s="26">
        <f>COUNT(Raw!E90:U90)</f>
        <v>9</v>
      </c>
      <c r="W90" s="27">
        <f t="shared" si="2"/>
        <v>17</v>
      </c>
      <c r="AA90">
        <v>1</v>
      </c>
      <c r="AB90">
        <v>2011</v>
      </c>
      <c r="AC90">
        <v>17</v>
      </c>
    </row>
    <row r="91" spans="1:29" ht="13">
      <c r="A91" s="12"/>
      <c r="B91" s="12"/>
      <c r="C91" s="1" t="s">
        <v>129</v>
      </c>
      <c r="D91" s="1" t="s">
        <v>168</v>
      </c>
      <c r="E91" s="12">
        <f>MAX(0,MIN(1,((Input!E91-Input!E$204)/(Input!E$205-Input!E$204))))</f>
        <v>0.76300003049999998</v>
      </c>
      <c r="F91" s="12">
        <f>MAX(0,MIN(1,((Input!F91-Input!F$204)/(Input!F$205-Input!F$204))))</f>
        <v>0.80500000000000005</v>
      </c>
      <c r="G91" s="12">
        <f>MAX(0,MIN(1,((Input!G91-Input!G$204)/(Input!G$205-Input!G$204))))</f>
        <v>0.82800003050000004</v>
      </c>
      <c r="H91" s="12">
        <f>MAX(0,MIN(1,((Input!H91-Input!H$204)/(Input!H$205-Input!H$204))))</f>
        <v>0.86499999999999999</v>
      </c>
      <c r="I91" s="12">
        <f>MAX(0,MIN(1,((Input!I91-Input!I$204)/(Input!I$205-Input!I$204))))</f>
        <v>0.87994000244000004</v>
      </c>
      <c r="J91" s="12">
        <f>MAX(0,MIN(1,((Input!J91-Input!J$204)/(Input!J$205-Input!J$204))))</f>
        <v>0.89488000487999997</v>
      </c>
      <c r="K91" s="12">
        <f>MAX(0,MIN(1,((Input!K91-Input!K$204)/(Input!K$205-Input!K$204))))</f>
        <v>0.90982000732000001</v>
      </c>
      <c r="L91" s="12">
        <f>MAX(0,MIN(1,((Input!L91-Input!L$204)/(Input!L$205-Input!L$204))))</f>
        <v>0.92476000975999995</v>
      </c>
      <c r="M91" s="12">
        <f>MAX(0,MIN(1,((Input!M91-Input!M$204)/(Input!M$205-Input!M$204))))</f>
        <v>0.93970001219999999</v>
      </c>
      <c r="N91" s="12">
        <f>MAX(0,MIN(1,((Input!N91-Input!N$204)/(Input!N$205-Input!N$204))))</f>
        <v>0.93430000309999994</v>
      </c>
      <c r="O91" s="12">
        <f>MAX(0,MIN(1,((Input!O91-Input!O$204)/(Input!O$205-Input!O$204))))</f>
        <v>0.9116000366</v>
      </c>
      <c r="P91" s="12">
        <f>MAX(0,MIN(1,((Input!P91-Input!P$204)/(Input!P$205-Input!P$204))))</f>
        <v>0.9143431299</v>
      </c>
      <c r="Q91" s="12">
        <f>MAX(0,MIN(1,((Input!Q91-Input!Q$204)/(Input!Q$205-Input!Q$204))))</f>
        <v>0.90258045809999998</v>
      </c>
      <c r="R91" s="12">
        <f>MAX(0,MIN(1,((Input!R91-Input!R$204)/(Input!R$205-Input!R$204))))</f>
        <v>0.89879999999999993</v>
      </c>
      <c r="S91" s="12">
        <f>MAX(0,MIN(1,((Input!S91-Input!S$204)/(Input!S$205-Input!S$204))))</f>
        <v>0.88981200000000005</v>
      </c>
      <c r="T91" s="12">
        <f>MAX(0,MIN(1,((Input!T91-Input!T$204)/(Input!T$205-Input!T$204))))</f>
        <v>0.88082399999999994</v>
      </c>
      <c r="U91" s="12">
        <f>MAX(0,MIN(1,((Input!U91-Input!U$204)/(Input!U$205-Input!U$204))))</f>
        <v>0</v>
      </c>
      <c r="V91" s="26">
        <f>COUNT(Raw!E91:U91)</f>
        <v>10</v>
      </c>
      <c r="W91" s="27">
        <f t="shared" si="2"/>
        <v>17</v>
      </c>
      <c r="AA91">
        <v>0.96901154563517589</v>
      </c>
      <c r="AB91">
        <v>2011</v>
      </c>
      <c r="AC91">
        <v>17</v>
      </c>
    </row>
    <row r="92" spans="1:29" ht="13">
      <c r="A92" s="12"/>
      <c r="B92" s="12"/>
      <c r="C92" s="1" t="s">
        <v>196</v>
      </c>
      <c r="D92" s="1" t="s">
        <v>259</v>
      </c>
      <c r="E92" s="12">
        <f>MAX(0,MIN(1,((Input!E92-Input!E$204)/(Input!E$205-Input!E$204))))</f>
        <v>0.1380000019</v>
      </c>
      <c r="F92" s="12">
        <f>MAX(0,MIN(1,((Input!F92-Input!F$204)/(Input!F$205-Input!F$204))))</f>
        <v>0.12100000380000001</v>
      </c>
      <c r="G92" s="12">
        <f>MAX(0,MIN(1,((Input!G92-Input!G$204)/(Input!G$205-Input!G$204))))</f>
        <v>0.12100000380000001</v>
      </c>
      <c r="H92" s="12">
        <f>MAX(0,MIN(1,((Input!H92-Input!H$204)/(Input!H$205-Input!H$204))))</f>
        <v>0.12100000380000001</v>
      </c>
      <c r="I92" s="12">
        <f>MAX(0,MIN(1,((Input!I92-Input!I$204)/(Input!I$205-Input!I$204))))</f>
        <v>0.12100000380000001</v>
      </c>
      <c r="J92" s="12">
        <f>MAX(0,MIN(1,((Input!J92-Input!J$204)/(Input!J$205-Input!J$204))))</f>
        <v>0.12100000380000001</v>
      </c>
      <c r="K92" s="12">
        <f>MAX(0,MIN(1,((Input!K92-Input!K$204)/(Input!K$205-Input!K$204))))</f>
        <v>0.12605000257500001</v>
      </c>
      <c r="L92" s="12">
        <f>MAX(0,MIN(1,((Input!L92-Input!L$204)/(Input!L$205-Input!L$204))))</f>
        <v>0.13110000134999999</v>
      </c>
      <c r="M92" s="12">
        <f>MAX(0,MIN(1,((Input!M92-Input!M$204)/(Input!M$205-Input!M$204))))</f>
        <v>0.136150000125</v>
      </c>
      <c r="N92" s="12">
        <f>MAX(0,MIN(1,((Input!N92-Input!N$204)/(Input!N$205-Input!N$204))))</f>
        <v>0.14119999890000001</v>
      </c>
      <c r="O92" s="12">
        <f>MAX(0,MIN(1,((Input!O92-Input!O$204)/(Input!O$205-Input!O$204))))</f>
        <v>0.13978799891100002</v>
      </c>
      <c r="P92" s="12">
        <f>MAX(0,MIN(1,((Input!P92-Input!P$204)/(Input!P$205-Input!P$204))))</f>
        <v>0.138375998922</v>
      </c>
      <c r="Q92" s="12">
        <f>MAX(0,MIN(1,((Input!Q92-Input!Q$204)/(Input!Q$205-Input!Q$204))))</f>
        <v>0.13696399893300001</v>
      </c>
      <c r="R92" s="12">
        <f>MAX(0,MIN(1,((Input!R92-Input!R$204)/(Input!R$205-Input!R$204))))</f>
        <v>0.13555199894400002</v>
      </c>
      <c r="S92" s="12">
        <f>MAX(0,MIN(1,((Input!S92-Input!S$204)/(Input!S$205-Input!S$204))))</f>
        <v>0.13413999895500001</v>
      </c>
      <c r="T92" s="12">
        <f>MAX(0,MIN(1,((Input!T92-Input!T$204)/(Input!T$205-Input!T$204))))</f>
        <v>0.13272799896600002</v>
      </c>
      <c r="U92" s="12">
        <f>MAX(0,MIN(1,((Input!U92-Input!U$204)/(Input!U$205-Input!U$204))))</f>
        <v>0</v>
      </c>
      <c r="V92" s="26">
        <f>COUNT(Raw!E92:U92)</f>
        <v>7</v>
      </c>
      <c r="W92" s="27">
        <f t="shared" si="2"/>
        <v>17</v>
      </c>
      <c r="AA92">
        <v>0.13901276392127643</v>
      </c>
      <c r="AB92">
        <v>2011</v>
      </c>
      <c r="AC92">
        <v>17</v>
      </c>
    </row>
    <row r="93" spans="1:29" ht="13">
      <c r="A93" s="12"/>
      <c r="B93" s="12"/>
      <c r="C93" s="1" t="s">
        <v>249</v>
      </c>
      <c r="D93" s="1" t="s">
        <v>16</v>
      </c>
      <c r="E93" s="12" t="e">
        <f>MAX(0,MIN(1,((Input!E93-Input!E$204)/(Input!E$205-Input!E$204))))</f>
        <v>#N/A</v>
      </c>
      <c r="F93" s="12" t="e">
        <f>MAX(0,MIN(1,((Input!F93-Input!F$204)/(Input!F$205-Input!F$204))))</f>
        <v>#N/A</v>
      </c>
      <c r="G93" s="12" t="e">
        <f>MAX(0,MIN(1,((Input!G93-Input!G$204)/(Input!G$205-Input!G$204))))</f>
        <v>#N/A</v>
      </c>
      <c r="H93" s="12" t="e">
        <f>MAX(0,MIN(1,((Input!H93-Input!H$204)/(Input!H$205-Input!H$204))))</f>
        <v>#N/A</v>
      </c>
      <c r="I93" s="12" t="e">
        <f>MAX(0,MIN(1,((Input!I93-Input!I$204)/(Input!I$205-Input!I$204))))</f>
        <v>#N/A</v>
      </c>
      <c r="J93" s="12" t="e">
        <f>MAX(0,MIN(1,((Input!J93-Input!J$204)/(Input!J$205-Input!J$204))))</f>
        <v>#N/A</v>
      </c>
      <c r="K93" s="12" t="e">
        <f>MAX(0,MIN(1,((Input!K93-Input!K$204)/(Input!K$205-Input!K$204))))</f>
        <v>#N/A</v>
      </c>
      <c r="L93" s="12" t="e">
        <f>MAX(0,MIN(1,((Input!L93-Input!L$204)/(Input!L$205-Input!L$204))))</f>
        <v>#N/A</v>
      </c>
      <c r="M93" s="12" t="e">
        <f>MAX(0,MIN(1,((Input!M93-Input!M$204)/(Input!M$205-Input!M$204))))</f>
        <v>#N/A</v>
      </c>
      <c r="N93" s="12" t="e">
        <f>MAX(0,MIN(1,((Input!N93-Input!N$204)/(Input!N$205-Input!N$204))))</f>
        <v>#N/A</v>
      </c>
      <c r="O93" s="12" t="e">
        <f>MAX(0,MIN(1,((Input!O93-Input!O$204)/(Input!O$205-Input!O$204))))</f>
        <v>#N/A</v>
      </c>
      <c r="P93" s="12" t="e">
        <f>MAX(0,MIN(1,((Input!P93-Input!P$204)/(Input!P$205-Input!P$204))))</f>
        <v>#N/A</v>
      </c>
      <c r="Q93" s="12" t="e">
        <f>MAX(0,MIN(1,((Input!Q93-Input!Q$204)/(Input!Q$205-Input!Q$204))))</f>
        <v>#N/A</v>
      </c>
      <c r="R93" s="12" t="e">
        <f>MAX(0,MIN(1,((Input!R93-Input!R$204)/(Input!R$205-Input!R$204))))</f>
        <v>#N/A</v>
      </c>
      <c r="S93" s="12" t="e">
        <f>MAX(0,MIN(1,((Input!S93-Input!S$204)/(Input!S$205-Input!S$204))))</f>
        <v>#N/A</v>
      </c>
      <c r="T93" s="12" t="e">
        <f>MAX(0,MIN(1,((Input!T93-Input!T$204)/(Input!T$205-Input!T$204))))</f>
        <v>#N/A</v>
      </c>
      <c r="U93" s="12">
        <f>MAX(0,MIN(1,((Input!U93-Input!U$204)/(Input!U$205-Input!U$204))))</f>
        <v>0</v>
      </c>
      <c r="V93" s="26">
        <f>COUNT(Raw!E93:U93)</f>
        <v>0</v>
      </c>
      <c r="W93" s="27">
        <f t="shared" si="2"/>
        <v>1</v>
      </c>
      <c r="AA93" t="e">
        <v>#N/A</v>
      </c>
      <c r="AC93">
        <v>0</v>
      </c>
    </row>
    <row r="94" spans="1:29" ht="13">
      <c r="A94" s="12"/>
      <c r="B94" s="12"/>
      <c r="C94" s="1" t="s">
        <v>356</v>
      </c>
      <c r="D94" s="1" t="s">
        <v>294</v>
      </c>
      <c r="E94" s="12">
        <f>MAX(0,MIN(1,((Input!E94-Input!E$204)/(Input!E$205-Input!E$204))))</f>
        <v>6.3000001909999992E-2</v>
      </c>
      <c r="F94" s="12">
        <f>MAX(0,MIN(1,((Input!F94-Input!F$204)/(Input!F$205-Input!F$204))))</f>
        <v>6.4000000949999997E-2</v>
      </c>
      <c r="G94" s="12">
        <f>MAX(0,MIN(1,((Input!G94-Input!G$204)/(Input!G$205-Input!G$204))))</f>
        <v>6.4000000949999997E-2</v>
      </c>
      <c r="H94" s="12">
        <f>MAX(0,MIN(1,((Input!H94-Input!H$204)/(Input!H$205-Input!H$204))))</f>
        <v>6.4000000949999997E-2</v>
      </c>
      <c r="I94" s="12">
        <f>MAX(0,MIN(1,((Input!I94-Input!I$204)/(Input!I$205-Input!I$204))))</f>
        <v>6.4000000949999997E-2</v>
      </c>
      <c r="J94" s="12">
        <f>MAX(0,MIN(1,((Input!J94-Input!J$204)/(Input!J$205-Input!J$204))))</f>
        <v>6.4000000949999997E-2</v>
      </c>
      <c r="K94" s="12">
        <f>MAX(0,MIN(1,((Input!K94-Input!K$204)/(Input!K$205-Input!K$204))))</f>
        <v>5.805536071166667E-2</v>
      </c>
      <c r="L94" s="12">
        <f>MAX(0,MIN(1,((Input!L94-Input!L$204)/(Input!L$205-Input!L$204))))</f>
        <v>5.2110720473333337E-2</v>
      </c>
      <c r="M94" s="12">
        <f>MAX(0,MIN(1,((Input!M94-Input!M$204)/(Input!M$205-Input!M$204))))</f>
        <v>4.6166080234999997E-2</v>
      </c>
      <c r="N94" s="12">
        <f>MAX(0,MIN(1,((Input!N94-Input!N$204)/(Input!N$205-Input!N$204))))</f>
        <v>4.0221439996666664E-2</v>
      </c>
      <c r="O94" s="12">
        <f>MAX(0,MIN(1,((Input!O94-Input!O$204)/(Input!O$205-Input!O$204))))</f>
        <v>3.4276799758333337E-2</v>
      </c>
      <c r="P94" s="12">
        <f>MAX(0,MIN(1,((Input!P94-Input!P$204)/(Input!P$205-Input!P$204))))</f>
        <v>2.8332159520000001E-2</v>
      </c>
      <c r="Q94" s="12">
        <f>MAX(0,MIN(1,((Input!Q94-Input!Q$204)/(Input!Q$205-Input!Q$204))))</f>
        <v>2.8048837924800001E-2</v>
      </c>
      <c r="R94" s="12">
        <f>MAX(0,MIN(1,((Input!R94-Input!R$204)/(Input!R$205-Input!R$204))))</f>
        <v>2.7765516329600004E-2</v>
      </c>
      <c r="S94" s="12">
        <f>MAX(0,MIN(1,((Input!S94-Input!S$204)/(Input!S$205-Input!S$204))))</f>
        <v>2.7482194734400004E-2</v>
      </c>
      <c r="T94" s="12">
        <f>MAX(0,MIN(1,((Input!T94-Input!T$204)/(Input!T$205-Input!T$204))))</f>
        <v>2.7198873139200001E-2</v>
      </c>
      <c r="U94" s="12">
        <f>MAX(0,MIN(1,((Input!U94-Input!U$204)/(Input!U$205-Input!U$204))))</f>
        <v>0</v>
      </c>
      <c r="V94" s="26">
        <f>COUNT(Raw!E94:U94)</f>
        <v>7</v>
      </c>
      <c r="W94" s="27">
        <f t="shared" si="2"/>
        <v>17</v>
      </c>
      <c r="AA94">
        <v>1.9141194691043209E-2</v>
      </c>
      <c r="AB94">
        <v>2011</v>
      </c>
      <c r="AC94">
        <v>17</v>
      </c>
    </row>
    <row r="95" spans="1:29" ht="13">
      <c r="A95" s="12"/>
      <c r="B95" s="12"/>
      <c r="C95" s="1" t="s">
        <v>282</v>
      </c>
      <c r="D95" s="1" t="s">
        <v>140</v>
      </c>
      <c r="E95" s="12">
        <f>MAX(0,MIN(1,((Input!E95-Input!E$204)/(Input!E$205-Input!E$204))))</f>
        <v>0.76</v>
      </c>
      <c r="F95" s="12">
        <f>MAX(0,MIN(1,((Input!F95-Input!F$204)/(Input!F$205-Input!F$204))))</f>
        <v>0.72699996950000001</v>
      </c>
      <c r="G95" s="12">
        <f>MAX(0,MIN(1,((Input!G95-Input!G$204)/(Input!G$205-Input!G$204))))</f>
        <v>0.74</v>
      </c>
      <c r="H95" s="12">
        <f>MAX(0,MIN(1,((Input!H95-Input!H$204)/(Input!H$205-Input!H$204))))</f>
        <v>0.745</v>
      </c>
      <c r="I95" s="12">
        <f>MAX(0,MIN(1,((Input!I95-Input!I$204)/(Input!I$205-Input!I$204))))</f>
        <v>0.745</v>
      </c>
      <c r="J95" s="12">
        <f>MAX(0,MIN(1,((Input!J95-Input!J$204)/(Input!J$205-Input!J$204))))</f>
        <v>0.745</v>
      </c>
      <c r="K95" s="12">
        <f>MAX(0,MIN(1,((Input!K95-Input!K$204)/(Input!K$205-Input!K$204))))</f>
        <v>0.76699996950000005</v>
      </c>
      <c r="L95" s="12">
        <f>MAX(0,MIN(1,((Input!L95-Input!L$204)/(Input!L$205-Input!L$204))))</f>
        <v>0.76699996950000005</v>
      </c>
      <c r="M95" s="12">
        <f>MAX(0,MIN(1,((Input!M95-Input!M$204)/(Input!M$205-Input!M$204))))</f>
        <v>0.76889999389999997</v>
      </c>
      <c r="N95" s="12">
        <f>MAX(0,MIN(1,((Input!N95-Input!N$204)/(Input!N$205-Input!N$204))))</f>
        <v>0.86760002139999992</v>
      </c>
      <c r="O95" s="12">
        <f>MAX(0,MIN(1,((Input!O95-Input!O$204)/(Input!O$205-Input!O$204))))</f>
        <v>0.76819999690000007</v>
      </c>
      <c r="P95" s="12">
        <f>MAX(0,MIN(1,((Input!P95-Input!P$204)/(Input!P$205-Input!P$204))))</f>
        <v>0.77500000000000002</v>
      </c>
      <c r="Q95" s="12">
        <f>MAX(0,MIN(1,((Input!Q95-Input!Q$204)/(Input!Q$205-Input!Q$204))))</f>
        <v>0.78299999999999992</v>
      </c>
      <c r="R95" s="12">
        <f>MAX(0,MIN(1,((Input!R95-Input!R$204)/(Input!R$205-Input!R$204))))</f>
        <v>0.78500000000000003</v>
      </c>
      <c r="S95" s="12">
        <f>MAX(0,MIN(1,((Input!S95-Input!S$204)/(Input!S$205-Input!S$204))))</f>
        <v>0.77715000000000001</v>
      </c>
      <c r="T95" s="12">
        <f>MAX(0,MIN(1,((Input!T95-Input!T$204)/(Input!T$205-Input!T$204))))</f>
        <v>0.76929999999999987</v>
      </c>
      <c r="U95" s="12">
        <f>MAX(0,MIN(1,((Input!U95-Input!U$204)/(Input!U$205-Input!U$204))))</f>
        <v>0</v>
      </c>
      <c r="V95" s="26">
        <f>COUNT(Raw!E95:U95)</f>
        <v>14</v>
      </c>
      <c r="W95" s="27">
        <f t="shared" si="2"/>
        <v>17</v>
      </c>
      <c r="AA95">
        <v>0.81131802471758196</v>
      </c>
      <c r="AB95">
        <v>2011</v>
      </c>
      <c r="AC95">
        <v>17</v>
      </c>
    </row>
    <row r="96" spans="1:29" ht="13">
      <c r="A96" s="12"/>
      <c r="B96" s="12"/>
      <c r="C96" s="1" t="s">
        <v>26</v>
      </c>
      <c r="D96" s="1" t="s">
        <v>235</v>
      </c>
      <c r="E96" s="12">
        <f>MAX(0,MIN(1,((Input!E96-Input!E$204)/(Input!E$205-Input!E$204))))</f>
        <v>0.80500000000000005</v>
      </c>
      <c r="F96" s="12">
        <f>MAX(0,MIN(1,((Input!F96-Input!F$204)/(Input!F$205-Input!F$204))))</f>
        <v>0.80599998470000001</v>
      </c>
      <c r="G96" s="12">
        <f>MAX(0,MIN(1,((Input!G96-Input!G$204)/(Input!G$205-Input!G$204))))</f>
        <v>0.80599998470000001</v>
      </c>
      <c r="H96" s="12">
        <f>MAX(0,MIN(1,((Input!H96-Input!H$204)/(Input!H$205-Input!H$204))))</f>
        <v>0.80599998470000001</v>
      </c>
      <c r="I96" s="12">
        <f>MAX(0,MIN(1,((Input!I96-Input!I$204)/(Input!I$205-Input!I$204))))</f>
        <v>0.80599998470000001</v>
      </c>
      <c r="J96" s="12">
        <f>MAX(0,MIN(1,((Input!J96-Input!J$204)/(Input!J$205-Input!J$204))))</f>
        <v>0.80599998470000001</v>
      </c>
      <c r="K96" s="12">
        <f>MAX(0,MIN(1,((Input!K96-Input!K$204)/(Input!K$205-Input!K$204))))</f>
        <v>0.81866666156666668</v>
      </c>
      <c r="L96" s="12">
        <f>MAX(0,MIN(1,((Input!L96-Input!L$204)/(Input!L$205-Input!L$204))))</f>
        <v>0.83133333843333335</v>
      </c>
      <c r="M96" s="12">
        <f>MAX(0,MIN(1,((Input!M96-Input!M$204)/(Input!M$205-Input!M$204))))</f>
        <v>0.84400001530000002</v>
      </c>
      <c r="N96" s="12">
        <f>MAX(0,MIN(1,((Input!N96-Input!N$204)/(Input!N$205-Input!N$204))))</f>
        <v>0.85</v>
      </c>
      <c r="O96" s="12">
        <f>MAX(0,MIN(1,((Input!O96-Input!O$204)/(Input!O$205-Input!O$204))))</f>
        <v>0.84150000000000003</v>
      </c>
      <c r="P96" s="12">
        <f>MAX(0,MIN(1,((Input!P96-Input!P$204)/(Input!P$205-Input!P$204))))</f>
        <v>0.83299999999999996</v>
      </c>
      <c r="Q96" s="12">
        <f>MAX(0,MIN(1,((Input!Q96-Input!Q$204)/(Input!Q$205-Input!Q$204))))</f>
        <v>0.8244999999999999</v>
      </c>
      <c r="R96" s="12">
        <f>MAX(0,MIN(1,((Input!R96-Input!R$204)/(Input!R$205-Input!R$204))))</f>
        <v>0.81599999999999995</v>
      </c>
      <c r="S96" s="12">
        <f>MAX(0,MIN(1,((Input!S96-Input!S$204)/(Input!S$205-Input!S$204))))</f>
        <v>0.8075</v>
      </c>
      <c r="T96" s="12">
        <f>MAX(0,MIN(1,((Input!T96-Input!T$204)/(Input!T$205-Input!T$204))))</f>
        <v>0.79899999999999993</v>
      </c>
      <c r="U96" s="12">
        <f>MAX(0,MIN(1,((Input!U96-Input!U$204)/(Input!U$205-Input!U$204))))</f>
        <v>0</v>
      </c>
      <c r="V96" s="26">
        <f>COUNT(Raw!E96:U96)</f>
        <v>8</v>
      </c>
      <c r="W96" s="27">
        <f t="shared" si="2"/>
        <v>17</v>
      </c>
      <c r="AA96">
        <v>0.87879168196666679</v>
      </c>
      <c r="AB96">
        <v>2011</v>
      </c>
      <c r="AC96">
        <v>17</v>
      </c>
    </row>
    <row r="97" spans="1:29" ht="13">
      <c r="A97" s="12"/>
      <c r="B97" s="12"/>
      <c r="C97" s="1" t="s">
        <v>177</v>
      </c>
      <c r="D97" s="1" t="s">
        <v>174</v>
      </c>
      <c r="E97" s="12">
        <f>MAX(0,MIN(1,((Input!E97-Input!E$204)/(Input!E$205-Input!E$204))))</f>
        <v>0.91</v>
      </c>
      <c r="F97" s="12">
        <f>MAX(0,MIN(1,((Input!F97-Input!F$204)/(Input!F$205-Input!F$204))))</f>
        <v>0.91099998469999999</v>
      </c>
      <c r="G97" s="12">
        <f>MAX(0,MIN(1,((Input!G97-Input!G$204)/(Input!G$205-Input!G$204))))</f>
        <v>0.91099998469999999</v>
      </c>
      <c r="H97" s="12">
        <f>MAX(0,MIN(1,((Input!H97-Input!H$204)/(Input!H$205-Input!H$204))))</f>
        <v>0.91099998469999999</v>
      </c>
      <c r="I97" s="12">
        <f>MAX(0,MIN(1,((Input!I97-Input!I$204)/(Input!I$205-Input!I$204))))</f>
        <v>0.91099998469999999</v>
      </c>
      <c r="J97" s="12">
        <f>MAX(0,MIN(1,((Input!J97-Input!J$204)/(Input!J$205-Input!J$204))))</f>
        <v>0.91099998469999999</v>
      </c>
      <c r="K97" s="12">
        <f>MAX(0,MIN(1,((Input!K97-Input!K$204)/(Input!K$205-Input!K$204))))</f>
        <v>0.91099998469999999</v>
      </c>
      <c r="L97" s="12">
        <f>MAX(0,MIN(1,((Input!L97-Input!L$204)/(Input!L$205-Input!L$204))))</f>
        <v>0.90188998485300009</v>
      </c>
      <c r="M97" s="12">
        <f>MAX(0,MIN(1,((Input!M97-Input!M$204)/(Input!M$205-Input!M$204))))</f>
        <v>0.89277998500600009</v>
      </c>
      <c r="N97" s="12">
        <f>MAX(0,MIN(1,((Input!N97-Input!N$204)/(Input!N$205-Input!N$204))))</f>
        <v>0.88366998515900008</v>
      </c>
      <c r="O97" s="12">
        <f>MAX(0,MIN(1,((Input!O97-Input!O$204)/(Input!O$205-Input!O$204))))</f>
        <v>0.87455998531200008</v>
      </c>
      <c r="P97" s="12">
        <f>MAX(0,MIN(1,((Input!P97-Input!P$204)/(Input!P$205-Input!P$204))))</f>
        <v>0.86544998546499996</v>
      </c>
      <c r="Q97" s="12">
        <f>MAX(0,MIN(1,((Input!Q97-Input!Q$204)/(Input!Q$205-Input!Q$204))))</f>
        <v>0.85633998561799995</v>
      </c>
      <c r="R97" s="12">
        <f>MAX(0,MIN(1,((Input!R97-Input!R$204)/(Input!R$205-Input!R$204))))</f>
        <v>0.84722998577099995</v>
      </c>
      <c r="S97" s="12">
        <f>MAX(0,MIN(1,((Input!S97-Input!S$204)/(Input!S$205-Input!S$204))))</f>
        <v>0.83811998592400005</v>
      </c>
      <c r="T97" s="12">
        <f>MAX(0,MIN(1,((Input!T97-Input!T$204)/(Input!T$205-Input!T$204))))</f>
        <v>0.82900998607700005</v>
      </c>
      <c r="U97" s="12">
        <f>MAX(0,MIN(1,((Input!U97-Input!U$204)/(Input!U$205-Input!U$204))))</f>
        <v>0</v>
      </c>
      <c r="V97" s="26">
        <f>COUNT(Raw!E97:U97)</f>
        <v>7</v>
      </c>
      <c r="W97" s="27">
        <f t="shared" si="2"/>
        <v>17</v>
      </c>
      <c r="AA97">
        <v>0.91224996557499993</v>
      </c>
      <c r="AB97">
        <v>2011</v>
      </c>
      <c r="AC97">
        <v>17</v>
      </c>
    </row>
    <row r="98" spans="1:29" ht="13">
      <c r="A98" s="12"/>
      <c r="B98" s="12"/>
      <c r="C98" s="1" t="s">
        <v>118</v>
      </c>
      <c r="D98" s="1" t="s">
        <v>76</v>
      </c>
      <c r="E98" s="12">
        <f>MAX(0,MIN(1,((Input!E98-Input!E$204)/(Input!E$205-Input!E$204))))</f>
        <v>0.1380000019</v>
      </c>
      <c r="F98" s="12">
        <f>MAX(0,MIN(1,((Input!F98-Input!F$204)/(Input!F$205-Input!F$204))))</f>
        <v>0.13838571547142858</v>
      </c>
      <c r="G98" s="12">
        <f>MAX(0,MIN(1,((Input!G98-Input!G$204)/(Input!G$205-Input!G$204))))</f>
        <v>0.13877142904285714</v>
      </c>
      <c r="H98" s="12">
        <f>MAX(0,MIN(1,((Input!H98-Input!H$204)/(Input!H$205-Input!H$204))))</f>
        <v>0.13915714261428572</v>
      </c>
      <c r="I98" s="12">
        <f>MAX(0,MIN(1,((Input!I98-Input!I$204)/(Input!I$205-Input!I$204))))</f>
        <v>0.1395428561857143</v>
      </c>
      <c r="J98" s="12">
        <f>MAX(0,MIN(1,((Input!J98-Input!J$204)/(Input!J$205-Input!J$204))))</f>
        <v>0.13992856975714285</v>
      </c>
      <c r="K98" s="12">
        <f>MAX(0,MIN(1,((Input!K98-Input!K$204)/(Input!K$205-Input!K$204))))</f>
        <v>0.14031428332857143</v>
      </c>
      <c r="L98" s="12">
        <f>MAX(0,MIN(1,((Input!L98-Input!L$204)/(Input!L$205-Input!L$204))))</f>
        <v>0.14069999689999999</v>
      </c>
      <c r="M98" s="12">
        <f>MAX(0,MIN(1,((Input!M98-Input!M$204)/(Input!M$205-Input!M$204))))</f>
        <v>0.14409999849999999</v>
      </c>
      <c r="N98" s="12">
        <f>MAX(0,MIN(1,((Input!N98-Input!N$204)/(Input!N$205-Input!N$204))))</f>
        <v>0.13904999925</v>
      </c>
      <c r="O98" s="12">
        <f>MAX(0,MIN(1,((Input!O98-Input!O$204)/(Input!O$205-Input!O$204))))</f>
        <v>0.13400000000000001</v>
      </c>
      <c r="P98" s="12">
        <f>MAX(0,MIN(1,((Input!P98-Input!P$204)/(Input!P$205-Input!P$204))))</f>
        <v>0.129</v>
      </c>
      <c r="Q98" s="12">
        <f>MAX(0,MIN(1,((Input!Q98-Input!Q$204)/(Input!Q$205-Input!Q$204))))</f>
        <v>0.13059999999999999</v>
      </c>
      <c r="R98" s="12">
        <f>MAX(0,MIN(1,((Input!R98-Input!R$204)/(Input!R$205-Input!R$204))))</f>
        <v>0.13539999999999999</v>
      </c>
      <c r="S98" s="12">
        <f>MAX(0,MIN(1,((Input!S98-Input!S$204)/(Input!S$205-Input!S$204))))</f>
        <v>0.134046</v>
      </c>
      <c r="T98" s="12">
        <f>MAX(0,MIN(1,((Input!T98-Input!T$204)/(Input!T$205-Input!T$204))))</f>
        <v>0.132692</v>
      </c>
      <c r="U98" s="12">
        <f>MAX(0,MIN(1,((Input!U98-Input!U$204)/(Input!U$205-Input!U$204))))</f>
        <v>0</v>
      </c>
      <c r="V98" s="26">
        <f>COUNT(Raw!E98:U98)</f>
        <v>7</v>
      </c>
      <c r="W98" s="27">
        <f t="shared" si="2"/>
        <v>17</v>
      </c>
      <c r="AA98">
        <v>0.13154319204158413</v>
      </c>
      <c r="AB98">
        <v>2011</v>
      </c>
      <c r="AC98">
        <v>17</v>
      </c>
    </row>
    <row r="99" spans="1:29" ht="13">
      <c r="A99" s="12"/>
      <c r="B99" s="12"/>
      <c r="C99" s="1" t="s">
        <v>384</v>
      </c>
      <c r="D99" s="1" t="s">
        <v>183</v>
      </c>
      <c r="E99" s="12">
        <f>MAX(0,MIN(1,((Input!E99-Input!E$204)/(Input!E$205-Input!E$204))))</f>
        <v>0.93</v>
      </c>
      <c r="F99" s="12">
        <f>MAX(0,MIN(1,((Input!F99-Input!F$204)/(Input!F$205-Input!F$204))))</f>
        <v>0.94</v>
      </c>
      <c r="G99" s="12">
        <f>MAX(0,MIN(1,((Input!G99-Input!G$204)/(Input!G$205-Input!G$204))))</f>
        <v>0.95</v>
      </c>
      <c r="H99" s="12">
        <f>MAX(0,MIN(1,((Input!H99-Input!H$204)/(Input!H$205-Input!H$204))))</f>
        <v>0.96</v>
      </c>
      <c r="I99" s="12">
        <f>MAX(0,MIN(1,((Input!I99-Input!I$204)/(Input!I$205-Input!I$204))))</f>
        <v>0.97</v>
      </c>
      <c r="J99" s="12">
        <f>MAX(0,MIN(1,((Input!J99-Input!J$204)/(Input!J$205-Input!J$204))))</f>
        <v>0.98</v>
      </c>
      <c r="K99" s="12">
        <f>MAX(0,MIN(1,((Input!K99-Input!K$204)/(Input!K$205-Input!K$204))))</f>
        <v>0.99</v>
      </c>
      <c r="L99" s="12">
        <f>MAX(0,MIN(1,((Input!L99-Input!L$204)/(Input!L$205-Input!L$204))))</f>
        <v>1</v>
      </c>
      <c r="M99" s="12">
        <f>MAX(0,MIN(1,((Input!M99-Input!M$204)/(Input!M$205-Input!M$204))))</f>
        <v>1</v>
      </c>
      <c r="N99" s="12">
        <f>MAX(0,MIN(1,((Input!N99-Input!N$204)/(Input!N$205-Input!N$204))))</f>
        <v>1</v>
      </c>
      <c r="O99" s="12">
        <f>MAX(0,MIN(1,((Input!O99-Input!O$204)/(Input!O$205-Input!O$204))))</f>
        <v>1</v>
      </c>
      <c r="P99" s="12">
        <f>MAX(0,MIN(1,((Input!P99-Input!P$204)/(Input!P$205-Input!P$204))))</f>
        <v>1</v>
      </c>
      <c r="Q99" s="12">
        <f>MAX(0,MIN(1,((Input!Q99-Input!Q$204)/(Input!Q$205-Input!Q$204))))</f>
        <v>1</v>
      </c>
      <c r="R99" s="12">
        <f>MAX(0,MIN(1,((Input!R99-Input!R$204)/(Input!R$205-Input!R$204))))</f>
        <v>1</v>
      </c>
      <c r="S99" s="12">
        <f>MAX(0,MIN(1,((Input!S99-Input!S$204)/(Input!S$205-Input!S$204))))</f>
        <v>0.99</v>
      </c>
      <c r="T99" s="12">
        <f>MAX(0,MIN(1,((Input!T99-Input!T$204)/(Input!T$205-Input!T$204))))</f>
        <v>0.98</v>
      </c>
      <c r="U99" s="12">
        <f>MAX(0,MIN(1,((Input!U99-Input!U$204)/(Input!U$205-Input!U$204))))</f>
        <v>0</v>
      </c>
      <c r="V99" s="26">
        <f>COUNT(Raw!E99:U99)</f>
        <v>7</v>
      </c>
      <c r="W99" s="27">
        <f t="shared" si="2"/>
        <v>17</v>
      </c>
      <c r="AA99">
        <v>1</v>
      </c>
      <c r="AB99">
        <v>2011</v>
      </c>
      <c r="AC99">
        <v>17</v>
      </c>
    </row>
    <row r="100" spans="1:29" ht="13">
      <c r="A100" s="12"/>
      <c r="B100" s="12"/>
      <c r="C100" s="1" t="s">
        <v>135</v>
      </c>
      <c r="D100" s="1" t="s">
        <v>199</v>
      </c>
      <c r="E100" s="12">
        <f>MAX(0,MIN(1,((Input!E100-Input!E$204)/(Input!E$205-Input!E$204))))</f>
        <v>0.95</v>
      </c>
      <c r="F100" s="12">
        <f>MAX(0,MIN(1,((Input!F100-Input!F$204)/(Input!F$205-Input!F$204))))</f>
        <v>0.95</v>
      </c>
      <c r="G100" s="12">
        <f>MAX(0,MIN(1,((Input!G100-Input!G$204)/(Input!G$205-Input!G$204))))</f>
        <v>0.91633333843333331</v>
      </c>
      <c r="H100" s="12">
        <f>MAX(0,MIN(1,((Input!H100-Input!H$204)/(Input!H$205-Input!H$204))))</f>
        <v>0.88266667686666667</v>
      </c>
      <c r="I100" s="12">
        <f>MAX(0,MIN(1,((Input!I100-Input!I$204)/(Input!I$205-Input!I$204))))</f>
        <v>0.84900001530000002</v>
      </c>
      <c r="J100" s="12">
        <f>MAX(0,MIN(1,((Input!J100-Input!J$204)/(Input!J$205-Input!J$204))))</f>
        <v>0.84051001514700008</v>
      </c>
      <c r="K100" s="12">
        <f>MAX(0,MIN(1,((Input!K100-Input!K$204)/(Input!K$205-Input!K$204))))</f>
        <v>0.83202001499400002</v>
      </c>
      <c r="L100" s="12">
        <f>MAX(0,MIN(1,((Input!L100-Input!L$204)/(Input!L$205-Input!L$204))))</f>
        <v>0.82353001484099986</v>
      </c>
      <c r="M100" s="12">
        <f>MAX(0,MIN(1,((Input!M100-Input!M$204)/(Input!M$205-Input!M$204))))</f>
        <v>0.81504001468800003</v>
      </c>
      <c r="N100" s="12">
        <f>MAX(0,MIN(1,((Input!N100-Input!N$204)/(Input!N$205-Input!N$204))))</f>
        <v>0.80655001453499997</v>
      </c>
      <c r="O100" s="12">
        <f>MAX(0,MIN(1,((Input!O100-Input!O$204)/(Input!O$205-Input!O$204))))</f>
        <v>0.79806001438200003</v>
      </c>
      <c r="P100" s="12">
        <f>MAX(0,MIN(1,((Input!P100-Input!P$204)/(Input!P$205-Input!P$204))))</f>
        <v>0.78957001422899997</v>
      </c>
      <c r="Q100" s="12">
        <f>MAX(0,MIN(1,((Input!Q100-Input!Q$204)/(Input!Q$205-Input!Q$204))))</f>
        <v>0.78108001407600003</v>
      </c>
      <c r="R100" s="12">
        <f>MAX(0,MIN(1,((Input!R100-Input!R$204)/(Input!R$205-Input!R$204))))</f>
        <v>0.77259001392299997</v>
      </c>
      <c r="S100" s="12">
        <f>MAX(0,MIN(1,((Input!S100-Input!S$204)/(Input!S$205-Input!S$204))))</f>
        <v>0.76410001377000003</v>
      </c>
      <c r="T100" s="12">
        <f>MAX(0,MIN(1,((Input!T100-Input!T$204)/(Input!T$205-Input!T$204))))</f>
        <v>0.75561001361699998</v>
      </c>
      <c r="U100" s="12">
        <f>MAX(0,MIN(1,((Input!U100-Input!U$204)/(Input!U$205-Input!U$204))))</f>
        <v>0</v>
      </c>
      <c r="V100" s="26">
        <f>COUNT(Raw!E100:U100)</f>
        <v>3</v>
      </c>
      <c r="W100" s="27">
        <f t="shared" si="2"/>
        <v>17</v>
      </c>
      <c r="AA100">
        <v>0.5265769872192323</v>
      </c>
      <c r="AB100">
        <v>2011</v>
      </c>
      <c r="AC100">
        <v>17</v>
      </c>
    </row>
    <row r="101" spans="1:29" ht="13">
      <c r="A101" s="12"/>
      <c r="B101" s="12"/>
      <c r="C101" s="1" t="s">
        <v>345</v>
      </c>
      <c r="D101" s="1" t="s">
        <v>200</v>
      </c>
      <c r="E101" s="12">
        <f>MAX(0,MIN(1,((Input!E101-Input!E$204)/(Input!E$205-Input!E$204))))</f>
        <v>0.17899999619999998</v>
      </c>
      <c r="F101" s="12">
        <f>MAX(0,MIN(1,((Input!F101-Input!F$204)/(Input!F$205-Input!F$204))))</f>
        <v>0.17899999619999998</v>
      </c>
      <c r="G101" s="12">
        <f>MAX(0,MIN(1,((Input!G101-Input!G$204)/(Input!G$205-Input!G$204))))</f>
        <v>0.16799999239999999</v>
      </c>
      <c r="H101" s="12">
        <f>MAX(0,MIN(1,((Input!H101-Input!H$204)/(Input!H$205-Input!H$204))))</f>
        <v>0.17299999239999997</v>
      </c>
      <c r="I101" s="12">
        <f>MAX(0,MIN(1,((Input!I101-Input!I$204)/(Input!I$205-Input!I$204))))</f>
        <v>0.18299999239999998</v>
      </c>
      <c r="J101" s="12">
        <f>MAX(0,MIN(1,((Input!J101-Input!J$204)/(Input!J$205-Input!J$204))))</f>
        <v>0.18299999239999998</v>
      </c>
      <c r="K101" s="12">
        <f>MAX(0,MIN(1,((Input!K101-Input!K$204)/(Input!K$205-Input!K$204))))</f>
        <v>0.18299999239999998</v>
      </c>
      <c r="L101" s="12">
        <f>MAX(0,MIN(1,((Input!L101-Input!L$204)/(Input!L$205-Input!L$204))))</f>
        <v>0.18116999247599999</v>
      </c>
      <c r="M101" s="12">
        <f>MAX(0,MIN(1,((Input!M101-Input!M$204)/(Input!M$205-Input!M$204))))</f>
        <v>0.179339992552</v>
      </c>
      <c r="N101" s="12">
        <f>MAX(0,MIN(1,((Input!N101-Input!N$204)/(Input!N$205-Input!N$204))))</f>
        <v>0.17750999262799996</v>
      </c>
      <c r="O101" s="12">
        <f>MAX(0,MIN(1,((Input!O101-Input!O$204)/(Input!O$205-Input!O$204))))</f>
        <v>0.17567999270399998</v>
      </c>
      <c r="P101" s="12">
        <f>MAX(0,MIN(1,((Input!P101-Input!P$204)/(Input!P$205-Input!P$204))))</f>
        <v>0.17384999277999999</v>
      </c>
      <c r="Q101" s="12">
        <f>MAX(0,MIN(1,((Input!Q101-Input!Q$204)/(Input!Q$205-Input!Q$204))))</f>
        <v>0.172019992856</v>
      </c>
      <c r="R101" s="12">
        <f>MAX(0,MIN(1,((Input!R101-Input!R$204)/(Input!R$205-Input!R$204))))</f>
        <v>0.17018999293199996</v>
      </c>
      <c r="S101" s="12">
        <f>MAX(0,MIN(1,((Input!S101-Input!S$204)/(Input!S$205-Input!S$204))))</f>
        <v>0.16835999300799998</v>
      </c>
      <c r="T101" s="12">
        <f>MAX(0,MIN(1,((Input!T101-Input!T$204)/(Input!T$205-Input!T$204))))</f>
        <v>0.16652999308399999</v>
      </c>
      <c r="U101" s="12">
        <f>MAX(0,MIN(1,((Input!U101-Input!U$204)/(Input!U$205-Input!U$204))))</f>
        <v>0</v>
      </c>
      <c r="V101" s="26">
        <f>COUNT(Raw!E101:U101)</f>
        <v>7</v>
      </c>
      <c r="W101" s="27">
        <f t="shared" si="2"/>
        <v>17</v>
      </c>
      <c r="AA101">
        <v>0.19453569895000014</v>
      </c>
      <c r="AB101">
        <v>2011</v>
      </c>
      <c r="AC101">
        <v>17</v>
      </c>
    </row>
    <row r="102" spans="1:29" ht="13">
      <c r="A102" s="12"/>
      <c r="B102" s="12"/>
      <c r="C102" s="1" t="s">
        <v>139</v>
      </c>
      <c r="D102" s="1" t="s">
        <v>253</v>
      </c>
      <c r="E102" s="12">
        <f>MAX(0,MIN(1,((Input!E102-Input!E$204)/(Input!E$205-Input!E$204))))</f>
        <v>6.0999999049999996E-2</v>
      </c>
      <c r="F102" s="12">
        <f>MAX(0,MIN(1,((Input!F102-Input!F$204)/(Input!F$205-Input!F$204))))</f>
        <v>6.1999998090000001E-2</v>
      </c>
      <c r="G102" s="12">
        <f>MAX(0,MIN(1,((Input!G102-Input!G$204)/(Input!G$205-Input!G$204))))</f>
        <v>6.1999998090000001E-2</v>
      </c>
      <c r="H102" s="12">
        <f>MAX(0,MIN(1,((Input!H102-Input!H$204)/(Input!H$205-Input!H$204))))</f>
        <v>6.1999998090000001E-2</v>
      </c>
      <c r="I102" s="12">
        <f>MAX(0,MIN(1,((Input!I102-Input!I$204)/(Input!I$205-Input!I$204))))</f>
        <v>6.1999998090000001E-2</v>
      </c>
      <c r="J102" s="12">
        <f>MAX(0,MIN(1,((Input!J102-Input!J$204)/(Input!J$205-Input!J$204))))</f>
        <v>6.1999998090000001E-2</v>
      </c>
      <c r="K102" s="12">
        <f>MAX(0,MIN(1,((Input!K102-Input!K$204)/(Input!K$205-Input!K$204))))</f>
        <v>6.1999998090000001E-2</v>
      </c>
      <c r="L102" s="12">
        <f>MAX(0,MIN(1,((Input!L102-Input!L$204)/(Input!L$205-Input!L$204))))</f>
        <v>6.1379998109100005E-2</v>
      </c>
      <c r="M102" s="12">
        <f>MAX(0,MIN(1,((Input!M102-Input!M$204)/(Input!M$205-Input!M$204))))</f>
        <v>6.0759998128200002E-2</v>
      </c>
      <c r="N102" s="12">
        <f>MAX(0,MIN(1,((Input!N102-Input!N$204)/(Input!N$205-Input!N$204))))</f>
        <v>6.0139998147299999E-2</v>
      </c>
      <c r="O102" s="12">
        <f>MAX(0,MIN(1,((Input!O102-Input!O$204)/(Input!O$205-Input!O$204))))</f>
        <v>5.9519998166399996E-2</v>
      </c>
      <c r="P102" s="12">
        <f>MAX(0,MIN(1,((Input!P102-Input!P$204)/(Input!P$205-Input!P$204))))</f>
        <v>5.8899998185500006E-2</v>
      </c>
      <c r="Q102" s="12">
        <f>MAX(0,MIN(1,((Input!Q102-Input!Q$204)/(Input!Q$205-Input!Q$204))))</f>
        <v>5.8279998204600003E-2</v>
      </c>
      <c r="R102" s="12">
        <f>MAX(0,MIN(1,((Input!R102-Input!R$204)/(Input!R$205-Input!R$204))))</f>
        <v>5.7659998223700007E-2</v>
      </c>
      <c r="S102" s="12">
        <f>MAX(0,MIN(1,((Input!S102-Input!S$204)/(Input!S$205-Input!S$204))))</f>
        <v>5.7039998242800004E-2</v>
      </c>
      <c r="T102" s="12">
        <f>MAX(0,MIN(1,((Input!T102-Input!T$204)/(Input!T$205-Input!T$204))))</f>
        <v>5.6419998261900001E-2</v>
      </c>
      <c r="U102" s="12">
        <f>MAX(0,MIN(1,((Input!U102-Input!U$204)/(Input!U$205-Input!U$204))))</f>
        <v>0</v>
      </c>
      <c r="V102" s="26">
        <f>COUNT(Raw!E102:U102)</f>
        <v>7</v>
      </c>
      <c r="W102" s="27">
        <f t="shared" ref="W102:W133" si="3">COUNT(E102:U102)</f>
        <v>17</v>
      </c>
      <c r="AA102">
        <v>6.3249996890000021E-2</v>
      </c>
      <c r="AB102">
        <v>2011</v>
      </c>
      <c r="AC102">
        <v>17</v>
      </c>
    </row>
    <row r="103" spans="1:29" ht="13">
      <c r="A103" s="12"/>
      <c r="B103" s="12"/>
      <c r="C103" s="1" t="s">
        <v>141</v>
      </c>
      <c r="D103" s="1" t="s">
        <v>77</v>
      </c>
      <c r="E103" s="12">
        <f>MAX(0,MIN(1,((Input!E103-Input!E$204)/(Input!E$205-Input!E$204))))</f>
        <v>0.57099998470000002</v>
      </c>
      <c r="F103" s="12">
        <f>MAX(0,MIN(1,((Input!F103-Input!F$204)/(Input!F$205-Input!F$204))))</f>
        <v>0.57124999042500002</v>
      </c>
      <c r="G103" s="12">
        <f>MAX(0,MIN(1,((Input!G103-Input!G$204)/(Input!G$205-Input!G$204))))</f>
        <v>0.57149999615000002</v>
      </c>
      <c r="H103" s="12">
        <f>MAX(0,MIN(1,((Input!H103-Input!H$204)/(Input!H$205-Input!H$204))))</f>
        <v>0.57175000187500002</v>
      </c>
      <c r="I103" s="12">
        <f>MAX(0,MIN(1,((Input!I103-Input!I$204)/(Input!I$205-Input!I$204))))</f>
        <v>0.57200000760000003</v>
      </c>
      <c r="J103" s="12">
        <f>MAX(0,MIN(1,((Input!J103-Input!J$204)/(Input!J$205-Input!J$204))))</f>
        <v>0.57200000760000003</v>
      </c>
      <c r="K103" s="12">
        <f>MAX(0,MIN(1,((Input!K103-Input!K$204)/(Input!K$205-Input!K$204))))</f>
        <v>0.57200000760000003</v>
      </c>
      <c r="L103" s="12">
        <f>MAX(0,MIN(1,((Input!L103-Input!L$204)/(Input!L$205-Input!L$204))))</f>
        <v>0.56628000752399998</v>
      </c>
      <c r="M103" s="12">
        <f>MAX(0,MIN(1,((Input!M103-Input!M$204)/(Input!M$205-Input!M$204))))</f>
        <v>0.56056000744800005</v>
      </c>
      <c r="N103" s="12">
        <f>MAX(0,MIN(1,((Input!N103-Input!N$204)/(Input!N$205-Input!N$204))))</f>
        <v>0.55484000737200001</v>
      </c>
      <c r="O103" s="12">
        <f>MAX(0,MIN(1,((Input!O103-Input!O$204)/(Input!O$205-Input!O$204))))</f>
        <v>0.54912000729600008</v>
      </c>
      <c r="P103" s="12">
        <f>MAX(0,MIN(1,((Input!P103-Input!P$204)/(Input!P$205-Input!P$204))))</f>
        <v>0.54340000722000004</v>
      </c>
      <c r="Q103" s="12">
        <f>MAX(0,MIN(1,((Input!Q103-Input!Q$204)/(Input!Q$205-Input!Q$204))))</f>
        <v>0.53768000714399999</v>
      </c>
      <c r="R103" s="12">
        <f>MAX(0,MIN(1,((Input!R103-Input!R$204)/(Input!R$205-Input!R$204))))</f>
        <v>0.53196000706799995</v>
      </c>
      <c r="S103" s="12">
        <f>MAX(0,MIN(1,((Input!S103-Input!S$204)/(Input!S$205-Input!S$204))))</f>
        <v>0.52624000699200002</v>
      </c>
      <c r="T103" s="12">
        <f>MAX(0,MIN(1,((Input!T103-Input!T$204)/(Input!T$205-Input!T$204))))</f>
        <v>0.52052000691599998</v>
      </c>
      <c r="U103" s="12">
        <f>MAX(0,MIN(1,((Input!U103-Input!U$204)/(Input!U$205-Input!U$204))))</f>
        <v>0</v>
      </c>
      <c r="V103" s="26">
        <f>COUNT(Raw!E103:U103)</f>
        <v>4</v>
      </c>
      <c r="W103" s="27">
        <f t="shared" si="3"/>
        <v>17</v>
      </c>
      <c r="AA103">
        <v>0.5739639079939759</v>
      </c>
      <c r="AB103">
        <v>2011</v>
      </c>
      <c r="AC103">
        <v>17</v>
      </c>
    </row>
    <row r="104" spans="1:29" ht="13">
      <c r="A104" s="12"/>
      <c r="B104" s="12"/>
      <c r="C104" s="1" t="s">
        <v>201</v>
      </c>
      <c r="D104" s="1" t="s">
        <v>21</v>
      </c>
      <c r="E104" s="12" t="e">
        <f>MAX(0,MIN(1,((Input!E104-Input!E$204)/(Input!E$205-Input!E$204))))</f>
        <v>#N/A</v>
      </c>
      <c r="F104" s="12" t="e">
        <f>MAX(0,MIN(1,((Input!F104-Input!F$204)/(Input!F$205-Input!F$204))))</f>
        <v>#N/A</v>
      </c>
      <c r="G104" s="12" t="e">
        <f>MAX(0,MIN(1,((Input!G104-Input!G$204)/(Input!G$205-Input!G$204))))</f>
        <v>#N/A</v>
      </c>
      <c r="H104" s="12" t="e">
        <f>MAX(0,MIN(1,((Input!H104-Input!H$204)/(Input!H$205-Input!H$204))))</f>
        <v>#N/A</v>
      </c>
      <c r="I104" s="12" t="e">
        <f>MAX(0,MIN(1,((Input!I104-Input!I$204)/(Input!I$205-Input!I$204))))</f>
        <v>#N/A</v>
      </c>
      <c r="J104" s="12" t="e">
        <f>MAX(0,MIN(1,((Input!J104-Input!J$204)/(Input!J$205-Input!J$204))))</f>
        <v>#N/A</v>
      </c>
      <c r="K104" s="12" t="e">
        <f>MAX(0,MIN(1,((Input!K104-Input!K$204)/(Input!K$205-Input!K$204))))</f>
        <v>#N/A</v>
      </c>
      <c r="L104" s="12" t="e">
        <f>MAX(0,MIN(1,((Input!L104-Input!L$204)/(Input!L$205-Input!L$204))))</f>
        <v>#N/A</v>
      </c>
      <c r="M104" s="12" t="e">
        <f>MAX(0,MIN(1,((Input!M104-Input!M$204)/(Input!M$205-Input!M$204))))</f>
        <v>#N/A</v>
      </c>
      <c r="N104" s="12" t="e">
        <f>MAX(0,MIN(1,((Input!N104-Input!N$204)/(Input!N$205-Input!N$204))))</f>
        <v>#N/A</v>
      </c>
      <c r="O104" s="12" t="e">
        <f>MAX(0,MIN(1,((Input!O104-Input!O$204)/(Input!O$205-Input!O$204))))</f>
        <v>#N/A</v>
      </c>
      <c r="P104" s="12" t="e">
        <f>MAX(0,MIN(1,((Input!P104-Input!P$204)/(Input!P$205-Input!P$204))))</f>
        <v>#N/A</v>
      </c>
      <c r="Q104" s="12" t="e">
        <f>MAX(0,MIN(1,((Input!Q104-Input!Q$204)/(Input!Q$205-Input!Q$204))))</f>
        <v>#N/A</v>
      </c>
      <c r="R104" s="12" t="e">
        <f>MAX(0,MIN(1,((Input!R104-Input!R$204)/(Input!R$205-Input!R$204))))</f>
        <v>#N/A</v>
      </c>
      <c r="S104" s="12" t="e">
        <f>MAX(0,MIN(1,((Input!S104-Input!S$204)/(Input!S$205-Input!S$204))))</f>
        <v>#N/A</v>
      </c>
      <c r="T104" s="12" t="e">
        <f>MAX(0,MIN(1,((Input!T104-Input!T$204)/(Input!T$205-Input!T$204))))</f>
        <v>#N/A</v>
      </c>
      <c r="U104" s="12">
        <f>MAX(0,MIN(1,((Input!U104-Input!U$204)/(Input!U$205-Input!U$204))))</f>
        <v>0</v>
      </c>
      <c r="V104" s="26">
        <f>COUNT(Raw!E104:U104)</f>
        <v>0</v>
      </c>
      <c r="W104" s="27">
        <f t="shared" si="3"/>
        <v>1</v>
      </c>
      <c r="AA104" t="e">
        <v>#N/A</v>
      </c>
      <c r="AC104">
        <v>0</v>
      </c>
    </row>
    <row r="105" spans="1:29" ht="13">
      <c r="A105" s="12"/>
      <c r="B105" s="12"/>
      <c r="C105" s="1" t="s">
        <v>391</v>
      </c>
      <c r="D105" s="1" t="s">
        <v>389</v>
      </c>
      <c r="E105" s="12">
        <f>MAX(0,MIN(1,((Input!E105-Input!E$204)/(Input!E$205-Input!E$204))))</f>
        <v>0.25469999315999997</v>
      </c>
      <c r="F105" s="12">
        <f>MAX(0,MIN(1,((Input!F105-Input!F$204)/(Input!F$205-Input!F$204))))</f>
        <v>0.25752999308399999</v>
      </c>
      <c r="G105" s="12">
        <f>MAX(0,MIN(1,((Input!G105-Input!G$204)/(Input!G$205-Input!G$204))))</f>
        <v>0.26035999300799995</v>
      </c>
      <c r="H105" s="12">
        <f>MAX(0,MIN(1,((Input!H105-Input!H$204)/(Input!H$205-Input!H$204))))</f>
        <v>0.26318999293199996</v>
      </c>
      <c r="I105" s="12">
        <f>MAX(0,MIN(1,((Input!I105-Input!I$204)/(Input!I$205-Input!I$204))))</f>
        <v>0.26601999285599998</v>
      </c>
      <c r="J105" s="12">
        <f>MAX(0,MIN(1,((Input!J105-Input!J$204)/(Input!J$205-Input!J$204))))</f>
        <v>0.26884999277999999</v>
      </c>
      <c r="K105" s="12">
        <f>MAX(0,MIN(1,((Input!K105-Input!K$204)/(Input!K$205-Input!K$204))))</f>
        <v>0.27167999270400001</v>
      </c>
      <c r="L105" s="12">
        <f>MAX(0,MIN(1,((Input!L105-Input!L$204)/(Input!L$205-Input!L$204))))</f>
        <v>0.27450999262799997</v>
      </c>
      <c r="M105" s="12">
        <f>MAX(0,MIN(1,((Input!M105-Input!M$204)/(Input!M$205-Input!M$204))))</f>
        <v>0.27733999255199998</v>
      </c>
      <c r="N105" s="12">
        <f>MAX(0,MIN(1,((Input!N105-Input!N$204)/(Input!N$205-Input!N$204))))</f>
        <v>0.280169992476</v>
      </c>
      <c r="O105" s="12">
        <f>MAX(0,MIN(1,((Input!O105-Input!O$204)/(Input!O$205-Input!O$204))))</f>
        <v>0.28299999239999996</v>
      </c>
      <c r="P105" s="12">
        <f>MAX(0,MIN(1,((Input!P105-Input!P$204)/(Input!P$205-Input!P$204))))</f>
        <v>0.28389427890000002</v>
      </c>
      <c r="Q105" s="12">
        <f>MAX(0,MIN(1,((Input!Q105-Input!Q$204)/(Input!Q$205-Input!Q$204))))</f>
        <v>0.28605587560000001</v>
      </c>
      <c r="R105" s="12">
        <f>MAX(0,MIN(1,((Input!R105-Input!R$204)/(Input!R$205-Input!R$204))))</f>
        <v>0.28600000000000003</v>
      </c>
      <c r="S105" s="12">
        <f>MAX(0,MIN(1,((Input!S105-Input!S$204)/(Input!S$205-Input!S$204))))</f>
        <v>0.28314</v>
      </c>
      <c r="T105" s="12">
        <f>MAX(0,MIN(1,((Input!T105-Input!T$204)/(Input!T$205-Input!T$204))))</f>
        <v>0.28028000000000003</v>
      </c>
      <c r="U105" s="12">
        <f>MAX(0,MIN(1,((Input!U105-Input!U$204)/(Input!U$205-Input!U$204))))</f>
        <v>0</v>
      </c>
      <c r="V105" s="26">
        <f>COUNT(Raw!E105:U105)</f>
        <v>4</v>
      </c>
      <c r="W105" s="27">
        <f t="shared" si="3"/>
        <v>17</v>
      </c>
      <c r="AA105">
        <v>0.2897602655</v>
      </c>
      <c r="AB105">
        <v>2011</v>
      </c>
      <c r="AC105">
        <v>17</v>
      </c>
    </row>
    <row r="106" spans="1:29" ht="13">
      <c r="A106" s="12"/>
      <c r="B106" s="12"/>
      <c r="C106" s="1" t="s">
        <v>381</v>
      </c>
      <c r="D106" s="1" t="s">
        <v>280</v>
      </c>
      <c r="E106" s="12">
        <f>MAX(0,MIN(1,((Input!E106-Input!E$204)/(Input!E$205-Input!E$204))))</f>
        <v>0.99</v>
      </c>
      <c r="F106" s="12">
        <f>MAX(0,MIN(1,((Input!F106-Input!F$204)/(Input!F$205-Input!F$204))))</f>
        <v>1</v>
      </c>
      <c r="G106" s="12">
        <f>MAX(0,MIN(1,((Input!G106-Input!G$204)/(Input!G$205-Input!G$204))))</f>
        <v>0.99</v>
      </c>
      <c r="H106" s="12">
        <f>MAX(0,MIN(1,((Input!H106-Input!H$204)/(Input!H$205-Input!H$204))))</f>
        <v>1</v>
      </c>
      <c r="I106" s="12">
        <f>MAX(0,MIN(1,((Input!I106-Input!I$204)/(Input!I$205-Input!I$204))))</f>
        <v>1</v>
      </c>
      <c r="J106" s="12">
        <f>MAX(0,MIN(1,((Input!J106-Input!J$204)/(Input!J$205-Input!J$204))))</f>
        <v>1</v>
      </c>
      <c r="K106" s="12">
        <f>MAX(0,MIN(1,((Input!K106-Input!K$204)/(Input!K$205-Input!K$204))))</f>
        <v>1</v>
      </c>
      <c r="L106" s="12">
        <f>MAX(0,MIN(1,((Input!L106-Input!L$204)/(Input!L$205-Input!L$204))))</f>
        <v>1</v>
      </c>
      <c r="M106" s="12">
        <f>MAX(0,MIN(1,((Input!M106-Input!M$204)/(Input!M$205-Input!M$204))))</f>
        <v>1</v>
      </c>
      <c r="N106" s="12">
        <f>MAX(0,MIN(1,((Input!N106-Input!N$204)/(Input!N$205-Input!N$204))))</f>
        <v>1</v>
      </c>
      <c r="O106" s="12">
        <f>MAX(0,MIN(1,((Input!O106-Input!O$204)/(Input!O$205-Input!O$204))))</f>
        <v>0.99</v>
      </c>
      <c r="P106" s="12">
        <f>MAX(0,MIN(1,((Input!P106-Input!P$204)/(Input!P$205-Input!P$204))))</f>
        <v>0.98</v>
      </c>
      <c r="Q106" s="12">
        <f>MAX(0,MIN(1,((Input!Q106-Input!Q$204)/(Input!Q$205-Input!Q$204))))</f>
        <v>0.97</v>
      </c>
      <c r="R106" s="12">
        <f>MAX(0,MIN(1,((Input!R106-Input!R$204)/(Input!R$205-Input!R$204))))</f>
        <v>0.96</v>
      </c>
      <c r="S106" s="12">
        <f>MAX(0,MIN(1,((Input!S106-Input!S$204)/(Input!S$205-Input!S$204))))</f>
        <v>0.95</v>
      </c>
      <c r="T106" s="12">
        <f>MAX(0,MIN(1,((Input!T106-Input!T$204)/(Input!T$205-Input!T$204))))</f>
        <v>0.94</v>
      </c>
      <c r="U106" s="12">
        <f>MAX(0,MIN(1,((Input!U106-Input!U$204)/(Input!U$205-Input!U$204))))</f>
        <v>0</v>
      </c>
      <c r="V106" s="26">
        <f>COUNT(Raw!E106:U106)</f>
        <v>10</v>
      </c>
      <c r="W106" s="27">
        <f t="shared" si="3"/>
        <v>17</v>
      </c>
      <c r="AA106">
        <v>1</v>
      </c>
      <c r="AB106">
        <v>2011</v>
      </c>
      <c r="AC106">
        <v>17</v>
      </c>
    </row>
    <row r="107" spans="1:29" ht="13">
      <c r="A107" s="12"/>
      <c r="B107" s="12"/>
      <c r="C107" s="1" t="s">
        <v>101</v>
      </c>
      <c r="D107" s="1" t="s">
        <v>92</v>
      </c>
      <c r="E107" s="12">
        <f>MAX(0,MIN(1,((Input!E107-Input!E$204)/(Input!E$205-Input!E$204))))</f>
        <v>0.115</v>
      </c>
      <c r="F107" s="12">
        <f>MAX(0,MIN(1,((Input!F107-Input!F$204)/(Input!F$205-Input!F$204))))</f>
        <v>0.11600000380000001</v>
      </c>
      <c r="G107" s="12">
        <f>MAX(0,MIN(1,((Input!G107-Input!G$204)/(Input!G$205-Input!G$204))))</f>
        <v>0.11600000380000001</v>
      </c>
      <c r="H107" s="12">
        <f>MAX(0,MIN(1,((Input!H107-Input!H$204)/(Input!H$205-Input!H$204))))</f>
        <v>0.11600000380000001</v>
      </c>
      <c r="I107" s="12">
        <f>MAX(0,MIN(1,((Input!I107-Input!I$204)/(Input!I$205-Input!I$204))))</f>
        <v>0.11600000380000001</v>
      </c>
      <c r="J107" s="12">
        <f>MAX(0,MIN(1,((Input!J107-Input!J$204)/(Input!J$205-Input!J$204))))</f>
        <v>0.11600000380000001</v>
      </c>
      <c r="K107" s="12">
        <f>MAX(0,MIN(1,((Input!K107-Input!K$204)/(Input!K$205-Input!K$204))))</f>
        <v>0.11600000380000001</v>
      </c>
      <c r="L107" s="12">
        <f>MAX(0,MIN(1,((Input!L107-Input!L$204)/(Input!L$205-Input!L$204))))</f>
        <v>0.11484000376200001</v>
      </c>
      <c r="M107" s="12">
        <f>MAX(0,MIN(1,((Input!M107-Input!M$204)/(Input!M$205-Input!M$204))))</f>
        <v>0.11368000372400001</v>
      </c>
      <c r="N107" s="12">
        <f>MAX(0,MIN(1,((Input!N107-Input!N$204)/(Input!N$205-Input!N$204))))</f>
        <v>0.11252000368600001</v>
      </c>
      <c r="O107" s="12">
        <f>MAX(0,MIN(1,((Input!O107-Input!O$204)/(Input!O$205-Input!O$204))))</f>
        <v>0.11136000364800001</v>
      </c>
      <c r="P107" s="12">
        <f>MAX(0,MIN(1,((Input!P107-Input!P$204)/(Input!P$205-Input!P$204))))</f>
        <v>0.11020000361000001</v>
      </c>
      <c r="Q107" s="12">
        <f>MAX(0,MIN(1,((Input!Q107-Input!Q$204)/(Input!Q$205-Input!Q$204))))</f>
        <v>0.10904000357200001</v>
      </c>
      <c r="R107" s="12">
        <f>MAX(0,MIN(1,((Input!R107-Input!R$204)/(Input!R$205-Input!R$204))))</f>
        <v>0.10788000353400001</v>
      </c>
      <c r="S107" s="12">
        <f>MAX(0,MIN(1,((Input!S107-Input!S$204)/(Input!S$205-Input!S$204))))</f>
        <v>0.10672000349600001</v>
      </c>
      <c r="T107" s="12">
        <f>MAX(0,MIN(1,((Input!T107-Input!T$204)/(Input!T$205-Input!T$204))))</f>
        <v>0.10556000345800001</v>
      </c>
      <c r="U107" s="12">
        <f>MAX(0,MIN(1,((Input!U107-Input!U$204)/(Input!U$205-Input!U$204))))</f>
        <v>0</v>
      </c>
      <c r="V107" s="26">
        <f>COUNT(Raw!E107:U107)</f>
        <v>5</v>
      </c>
      <c r="W107" s="27">
        <f t="shared" si="3"/>
        <v>17</v>
      </c>
      <c r="AA107">
        <v>0.11732836705671643</v>
      </c>
      <c r="AB107">
        <v>2011</v>
      </c>
      <c r="AC107">
        <v>17</v>
      </c>
    </row>
    <row r="108" spans="1:29" ht="13">
      <c r="A108" s="12"/>
      <c r="B108" s="12"/>
      <c r="C108" s="1" t="s">
        <v>292</v>
      </c>
      <c r="D108" s="1" t="s">
        <v>263</v>
      </c>
      <c r="E108" s="12">
        <f>MAX(0,MIN(1,((Input!E108-Input!E$204)/(Input!E$205-Input!E$204))))</f>
        <v>0.41418400423199997</v>
      </c>
      <c r="F108" s="12">
        <f>MAX(0,MIN(1,((Input!F108-Input!F$204)/(Input!F$205-Input!F$204))))</f>
        <v>0.41868600427799996</v>
      </c>
      <c r="G108" s="12">
        <f>MAX(0,MIN(1,((Input!G108-Input!G$204)/(Input!G$205-Input!G$204))))</f>
        <v>0.42318800432399994</v>
      </c>
      <c r="H108" s="12">
        <f>MAX(0,MIN(1,((Input!H108-Input!H$204)/(Input!H$205-Input!H$204))))</f>
        <v>0.42769000436999993</v>
      </c>
      <c r="I108" s="12">
        <f>MAX(0,MIN(1,((Input!I108-Input!I$204)/(Input!I$205-Input!I$204))))</f>
        <v>0.43219200441600003</v>
      </c>
      <c r="J108" s="12">
        <f>MAX(0,MIN(1,((Input!J108-Input!J$204)/(Input!J$205-Input!J$204))))</f>
        <v>0.43669400446200002</v>
      </c>
      <c r="K108" s="12">
        <f>MAX(0,MIN(1,((Input!K108-Input!K$204)/(Input!K$205-Input!K$204))))</f>
        <v>0.44119600450800001</v>
      </c>
      <c r="L108" s="12">
        <f>MAX(0,MIN(1,((Input!L108-Input!L$204)/(Input!L$205-Input!L$204))))</f>
        <v>0.44569800455399999</v>
      </c>
      <c r="M108" s="12">
        <f>MAX(0,MIN(1,((Input!M108-Input!M$204)/(Input!M$205-Input!M$204))))</f>
        <v>0.45020000459999998</v>
      </c>
      <c r="N108" s="12">
        <f>MAX(0,MIN(1,((Input!N108-Input!N$204)/(Input!N$205-Input!N$204))))</f>
        <v>0.44569800455399999</v>
      </c>
      <c r="O108" s="12">
        <f>MAX(0,MIN(1,((Input!O108-Input!O$204)/(Input!O$205-Input!O$204))))</f>
        <v>0.44119600450800001</v>
      </c>
      <c r="P108" s="12">
        <f>MAX(0,MIN(1,((Input!P108-Input!P$204)/(Input!P$205-Input!P$204))))</f>
        <v>0.43669400446200002</v>
      </c>
      <c r="Q108" s="12">
        <f>MAX(0,MIN(1,((Input!Q108-Input!Q$204)/(Input!Q$205-Input!Q$204))))</f>
        <v>0.43219200441599992</v>
      </c>
      <c r="R108" s="12">
        <f>MAX(0,MIN(1,((Input!R108-Input!R$204)/(Input!R$205-Input!R$204))))</f>
        <v>0.42769000436999993</v>
      </c>
      <c r="S108" s="12">
        <f>MAX(0,MIN(1,((Input!S108-Input!S$204)/(Input!S$205-Input!S$204))))</f>
        <v>0.42318800432399994</v>
      </c>
      <c r="T108" s="12">
        <f>MAX(0,MIN(1,((Input!T108-Input!T$204)/(Input!T$205-Input!T$204))))</f>
        <v>0.41868600427799996</v>
      </c>
      <c r="U108" s="12">
        <f>MAX(0,MIN(1,((Input!U108-Input!U$204)/(Input!U$205-Input!U$204))))</f>
        <v>0</v>
      </c>
      <c r="V108" s="26">
        <f>COUNT(Raw!E108:U108)</f>
        <v>1</v>
      </c>
      <c r="W108" s="27">
        <f t="shared" si="3"/>
        <v>17</v>
      </c>
      <c r="AA108">
        <v>0.12605600128799779</v>
      </c>
      <c r="AB108">
        <v>2011</v>
      </c>
      <c r="AC108">
        <v>17</v>
      </c>
    </row>
    <row r="109" spans="1:29" ht="13">
      <c r="A109" s="12"/>
      <c r="B109" s="12"/>
      <c r="C109" s="1" t="s">
        <v>41</v>
      </c>
      <c r="D109" s="1" t="s">
        <v>107</v>
      </c>
      <c r="E109" s="12">
        <f>MAX(0,MIN(1,((Input!E109-Input!E$204)/(Input!E$205-Input!E$204))))</f>
        <v>0.7391980869</v>
      </c>
      <c r="F109" s="12">
        <f>MAX(0,MIN(1,((Input!F109-Input!F$204)/(Input!F$205-Input!F$204))))</f>
        <v>0.73991088890000001</v>
      </c>
      <c r="G109" s="12">
        <f>MAX(0,MIN(1,((Input!G109-Input!G$204)/(Input!G$205-Input!G$204))))</f>
        <v>0.74455389719999998</v>
      </c>
      <c r="H109" s="12">
        <f>MAX(0,MIN(1,((Input!H109-Input!H$204)/(Input!H$205-Input!H$204))))</f>
        <v>0.75582883030000003</v>
      </c>
      <c r="I109" s="12">
        <f>MAX(0,MIN(1,((Input!I109-Input!I$204)/(Input!I$205-Input!I$204))))</f>
        <v>0.75317688529999993</v>
      </c>
      <c r="J109" s="12">
        <f>MAX(0,MIN(1,((Input!J109-Input!J$204)/(Input!J$205-Input!J$204))))</f>
        <v>0.76184814509999998</v>
      </c>
      <c r="K109" s="12">
        <f>MAX(0,MIN(1,((Input!K109-Input!K$204)/(Input!K$205-Input!K$204))))</f>
        <v>0.7788592754</v>
      </c>
      <c r="L109" s="12">
        <f>MAX(0,MIN(1,((Input!L109-Input!L$204)/(Input!L$205-Input!L$204))))</f>
        <v>0.79367963005000008</v>
      </c>
      <c r="M109" s="12">
        <f>MAX(0,MIN(1,((Input!M109-Input!M$204)/(Input!M$205-Input!M$204))))</f>
        <v>0.80849998470000006</v>
      </c>
      <c r="N109" s="12">
        <f>MAX(0,MIN(1,((Input!N109-Input!N$204)/(Input!N$205-Input!N$204))))</f>
        <v>0.8131999969</v>
      </c>
      <c r="O109" s="12">
        <f>MAX(0,MIN(1,((Input!O109-Input!O$204)/(Input!O$205-Input!O$204))))</f>
        <v>0.82046406509999992</v>
      </c>
      <c r="P109" s="12">
        <f>MAX(0,MIN(1,((Input!P109-Input!P$204)/(Input!P$205-Input!P$204))))</f>
        <v>0.82772813330000006</v>
      </c>
      <c r="Q109" s="12">
        <f>MAX(0,MIN(1,((Input!Q109-Input!Q$204)/(Input!Q$205-Input!Q$204))))</f>
        <v>0.81945085196700007</v>
      </c>
      <c r="R109" s="12">
        <f>MAX(0,MIN(1,((Input!R109-Input!R$204)/(Input!R$205-Input!R$204))))</f>
        <v>0.81117357063400009</v>
      </c>
      <c r="S109" s="12">
        <f>MAX(0,MIN(1,((Input!S109-Input!S$204)/(Input!S$205-Input!S$204))))</f>
        <v>0.8028962893010001</v>
      </c>
      <c r="T109" s="12">
        <f>MAX(0,MIN(1,((Input!T109-Input!T$204)/(Input!T$205-Input!T$204))))</f>
        <v>0.79461900796800011</v>
      </c>
      <c r="U109" s="12">
        <f>MAX(0,MIN(1,((Input!U109-Input!U$204)/(Input!U$205-Input!U$204))))</f>
        <v>0</v>
      </c>
      <c r="V109" s="26">
        <f>COUNT(Raw!E109:U109)</f>
        <v>10</v>
      </c>
      <c r="W109" s="27">
        <f t="shared" si="3"/>
        <v>17</v>
      </c>
      <c r="AA109">
        <v>0.87119083189418234</v>
      </c>
      <c r="AB109">
        <v>2011</v>
      </c>
      <c r="AC109">
        <v>17</v>
      </c>
    </row>
    <row r="110" spans="1:29" ht="13">
      <c r="A110" s="12"/>
      <c r="B110" s="12"/>
      <c r="C110" s="1" t="s">
        <v>98</v>
      </c>
      <c r="D110" s="1" t="s">
        <v>33</v>
      </c>
      <c r="E110" s="12">
        <f>MAX(0,MIN(1,((Input!E110-Input!E$204)/(Input!E$205-Input!E$204))))</f>
        <v>0.9</v>
      </c>
      <c r="F110" s="12">
        <f>MAX(0,MIN(1,((Input!F110-Input!F$204)/(Input!F$205-Input!F$204))))</f>
        <v>0.91</v>
      </c>
      <c r="G110" s="12">
        <f>MAX(0,MIN(1,((Input!G110-Input!G$204)/(Input!G$205-Input!G$204))))</f>
        <v>0.92</v>
      </c>
      <c r="H110" s="12">
        <f>MAX(0,MIN(1,((Input!H110-Input!H$204)/(Input!H$205-Input!H$204))))</f>
        <v>0.93</v>
      </c>
      <c r="I110" s="12">
        <f>MAX(0,MIN(1,((Input!I110-Input!I$204)/(Input!I$205-Input!I$204))))</f>
        <v>0.94</v>
      </c>
      <c r="J110" s="12">
        <f>MAX(0,MIN(1,((Input!J110-Input!J$204)/(Input!J$205-Input!J$204))))</f>
        <v>0.95</v>
      </c>
      <c r="K110" s="12">
        <f>MAX(0,MIN(1,((Input!K110-Input!K$204)/(Input!K$205-Input!K$204))))</f>
        <v>0.96</v>
      </c>
      <c r="L110" s="12">
        <f>MAX(0,MIN(1,((Input!L110-Input!L$204)/(Input!L$205-Input!L$204))))</f>
        <v>0.97</v>
      </c>
      <c r="M110" s="12">
        <f>MAX(0,MIN(1,((Input!M110-Input!M$204)/(Input!M$205-Input!M$204))))</f>
        <v>0.98</v>
      </c>
      <c r="N110" s="12">
        <f>MAX(0,MIN(1,((Input!N110-Input!N$204)/(Input!N$205-Input!N$204))))</f>
        <v>0.99</v>
      </c>
      <c r="O110" s="12">
        <f>MAX(0,MIN(1,((Input!O110-Input!O$204)/(Input!O$205-Input!O$204))))</f>
        <v>1</v>
      </c>
      <c r="P110" s="12">
        <f>MAX(0,MIN(1,((Input!P110-Input!P$204)/(Input!P$205-Input!P$204))))</f>
        <v>0.99</v>
      </c>
      <c r="Q110" s="12">
        <f>MAX(0,MIN(1,((Input!Q110-Input!Q$204)/(Input!Q$205-Input!Q$204))))</f>
        <v>0.98</v>
      </c>
      <c r="R110" s="12">
        <f>MAX(0,MIN(1,((Input!R110-Input!R$204)/(Input!R$205-Input!R$204))))</f>
        <v>0.97</v>
      </c>
      <c r="S110" s="12">
        <f>MAX(0,MIN(1,((Input!S110-Input!S$204)/(Input!S$205-Input!S$204))))</f>
        <v>0.96</v>
      </c>
      <c r="T110" s="12">
        <f>MAX(0,MIN(1,((Input!T110-Input!T$204)/(Input!T$205-Input!T$204))))</f>
        <v>0.95</v>
      </c>
      <c r="U110" s="12">
        <f>MAX(0,MIN(1,((Input!U110-Input!U$204)/(Input!U$205-Input!U$204))))</f>
        <v>0</v>
      </c>
      <c r="V110" s="26">
        <f>COUNT(Raw!E110:U110)</f>
        <v>1</v>
      </c>
      <c r="W110" s="27">
        <f t="shared" si="3"/>
        <v>17</v>
      </c>
      <c r="AA110">
        <v>0.82</v>
      </c>
      <c r="AB110">
        <v>2011</v>
      </c>
      <c r="AC110">
        <v>17</v>
      </c>
    </row>
    <row r="111" spans="1:29" ht="13">
      <c r="A111" s="12"/>
      <c r="B111" s="12"/>
      <c r="C111" s="1" t="s">
        <v>208</v>
      </c>
      <c r="D111" s="1" t="s">
        <v>278</v>
      </c>
      <c r="E111" s="12">
        <f>MAX(0,MIN(1,((Input!E111-Input!E$204)/(Input!E$205-Input!E$204))))</f>
        <v>0.12</v>
      </c>
      <c r="F111" s="12">
        <f>MAX(0,MIN(1,((Input!F111-Input!F$204)/(Input!F$205-Input!F$204))))</f>
        <v>0.12100000380000001</v>
      </c>
      <c r="G111" s="12">
        <f>MAX(0,MIN(1,((Input!G111-Input!G$204)/(Input!G$205-Input!G$204))))</f>
        <v>0.12100000380000001</v>
      </c>
      <c r="H111" s="12">
        <f>MAX(0,MIN(1,((Input!H111-Input!H$204)/(Input!H$205-Input!H$204))))</f>
        <v>0.12100000380000001</v>
      </c>
      <c r="I111" s="12">
        <f>MAX(0,MIN(1,((Input!I111-Input!I$204)/(Input!I$205-Input!I$204))))</f>
        <v>0.12100000380000001</v>
      </c>
      <c r="J111" s="12">
        <f>MAX(0,MIN(1,((Input!J111-Input!J$204)/(Input!J$205-Input!J$204))))</f>
        <v>0.12100000380000001</v>
      </c>
      <c r="K111" s="12">
        <f>MAX(0,MIN(1,((Input!K111-Input!K$204)/(Input!K$205-Input!K$204))))</f>
        <v>0.13575000285000002</v>
      </c>
      <c r="L111" s="12">
        <f>MAX(0,MIN(1,((Input!L111-Input!L$204)/(Input!L$205-Input!L$204))))</f>
        <v>0.15050000190000001</v>
      </c>
      <c r="M111" s="12">
        <f>MAX(0,MIN(1,((Input!M111-Input!M$204)/(Input!M$205-Input!M$204))))</f>
        <v>0.16525000095</v>
      </c>
      <c r="N111" s="12">
        <f>MAX(0,MIN(1,((Input!N111-Input!N$204)/(Input!N$205-Input!N$204))))</f>
        <v>0.18</v>
      </c>
      <c r="O111" s="12">
        <f>MAX(0,MIN(1,((Input!O111-Input!O$204)/(Input!O$205-Input!O$204))))</f>
        <v>0.19035532990000001</v>
      </c>
      <c r="P111" s="12">
        <f>MAX(0,MIN(1,((Input!P111-Input!P$204)/(Input!P$205-Input!P$204))))</f>
        <v>0.18845177660099999</v>
      </c>
      <c r="Q111" s="12">
        <f>MAX(0,MIN(1,((Input!Q111-Input!Q$204)/(Input!Q$205-Input!Q$204))))</f>
        <v>0.18654822330199999</v>
      </c>
      <c r="R111" s="12">
        <f>MAX(0,MIN(1,((Input!R111-Input!R$204)/(Input!R$205-Input!R$204))))</f>
        <v>0.184644670003</v>
      </c>
      <c r="S111" s="12">
        <f>MAX(0,MIN(1,((Input!S111-Input!S$204)/(Input!S$205-Input!S$204))))</f>
        <v>0.18274111670400001</v>
      </c>
      <c r="T111" s="12">
        <f>MAX(0,MIN(1,((Input!T111-Input!T$204)/(Input!T$205-Input!T$204))))</f>
        <v>0.18083756340499998</v>
      </c>
      <c r="U111" s="12">
        <f>MAX(0,MIN(1,((Input!U111-Input!U$204)/(Input!U$205-Input!U$204))))</f>
        <v>0</v>
      </c>
      <c r="V111" s="26">
        <f>COUNT(Raw!E111:U111)</f>
        <v>8</v>
      </c>
      <c r="W111" s="27">
        <f t="shared" si="3"/>
        <v>17</v>
      </c>
      <c r="AA111">
        <v>0.22466471038633698</v>
      </c>
      <c r="AB111">
        <v>2011</v>
      </c>
      <c r="AC111">
        <v>17</v>
      </c>
    </row>
    <row r="112" spans="1:29" ht="13">
      <c r="A112" s="12"/>
      <c r="B112" s="12"/>
      <c r="C112" s="1" t="s">
        <v>217</v>
      </c>
      <c r="D112" s="1" t="s">
        <v>269</v>
      </c>
      <c r="E112" s="12">
        <f>MAX(0,MIN(1,((Input!E112-Input!E$204)/(Input!E$205-Input!E$204))))</f>
        <v>0.95</v>
      </c>
      <c r="F112" s="12">
        <f>MAX(0,MIN(1,((Input!F112-Input!F$204)/(Input!F$205-Input!F$204))))</f>
        <v>0.95</v>
      </c>
      <c r="G112" s="12">
        <f>MAX(0,MIN(1,((Input!G112-Input!G$204)/(Input!G$205-Input!G$204))))</f>
        <v>0.95</v>
      </c>
      <c r="H112" s="12">
        <f>MAX(0,MIN(1,((Input!H112-Input!H$204)/(Input!H$205-Input!H$204))))</f>
        <v>0.95</v>
      </c>
      <c r="I112" s="12">
        <f>MAX(0,MIN(1,((Input!I112-Input!I$204)/(Input!I$205-Input!I$204))))</f>
        <v>0.91500000000000004</v>
      </c>
      <c r="J112" s="12">
        <f>MAX(0,MIN(1,((Input!J112-Input!J$204)/(Input!J$205-Input!J$204))))</f>
        <v>0.88</v>
      </c>
      <c r="K112" s="12">
        <f>MAX(0,MIN(1,((Input!K112-Input!K$204)/(Input!K$205-Input!K$204))))</f>
        <v>0.88</v>
      </c>
      <c r="L112" s="12">
        <f>MAX(0,MIN(1,((Input!L112-Input!L$204)/(Input!L$205-Input!L$204))))</f>
        <v>0.9</v>
      </c>
      <c r="M112" s="12">
        <f>MAX(0,MIN(1,((Input!M112-Input!M$204)/(Input!M$205-Input!M$204))))</f>
        <v>0.87529998779999996</v>
      </c>
      <c r="N112" s="12">
        <f>MAX(0,MIN(1,((Input!N112-Input!N$204)/(Input!N$205-Input!N$204))))</f>
        <v>0.87529998779999996</v>
      </c>
      <c r="O112" s="12">
        <f>MAX(0,MIN(1,((Input!O112-Input!O$204)/(Input!O$205-Input!O$204))))</f>
        <v>0.87529999084999999</v>
      </c>
      <c r="P112" s="12">
        <f>MAX(0,MIN(1,((Input!P112-Input!P$204)/(Input!P$205-Input!P$204))))</f>
        <v>0.87529999390000002</v>
      </c>
      <c r="Q112" s="12">
        <f>MAX(0,MIN(1,((Input!Q112-Input!Q$204)/(Input!Q$205-Input!Q$204))))</f>
        <v>0.87529999695000005</v>
      </c>
      <c r="R112" s="12">
        <f>MAX(0,MIN(1,((Input!R112-Input!R$204)/(Input!R$205-Input!R$204))))</f>
        <v>0.87529999999999997</v>
      </c>
      <c r="S112" s="12">
        <f>MAX(0,MIN(1,((Input!S112-Input!S$204)/(Input!S$205-Input!S$204))))</f>
        <v>0.86654699999999996</v>
      </c>
      <c r="T112" s="12">
        <f>MAX(0,MIN(1,((Input!T112-Input!T$204)/(Input!T$205-Input!T$204))))</f>
        <v>0.85779399999999995</v>
      </c>
      <c r="U112" s="12">
        <f>MAX(0,MIN(1,((Input!U112-Input!U$204)/(Input!U$205-Input!U$204))))</f>
        <v>0</v>
      </c>
      <c r="V112" s="26">
        <f>COUNT(Raw!E112:U112)</f>
        <v>10</v>
      </c>
      <c r="W112" s="27">
        <f t="shared" si="3"/>
        <v>17</v>
      </c>
      <c r="AA112">
        <v>0.82714521066257019</v>
      </c>
      <c r="AB112">
        <v>2011</v>
      </c>
      <c r="AC112">
        <v>17</v>
      </c>
    </row>
    <row r="113" spans="1:29" ht="13">
      <c r="A113" s="12"/>
      <c r="B113" s="12"/>
      <c r="C113" s="1" t="s">
        <v>275</v>
      </c>
      <c r="D113" s="1" t="s">
        <v>194</v>
      </c>
      <c r="E113" s="12" t="e">
        <f>MAX(0,MIN(1,((Input!E113-Input!E$204)/(Input!E$205-Input!E$204))))</f>
        <v>#N/A</v>
      </c>
      <c r="F113" s="12" t="e">
        <f>MAX(0,MIN(1,((Input!F113-Input!F$204)/(Input!F$205-Input!F$204))))</f>
        <v>#N/A</v>
      </c>
      <c r="G113" s="12" t="e">
        <f>MAX(0,MIN(1,((Input!G113-Input!G$204)/(Input!G$205-Input!G$204))))</f>
        <v>#N/A</v>
      </c>
      <c r="H113" s="12" t="e">
        <f>MAX(0,MIN(1,((Input!H113-Input!H$204)/(Input!H$205-Input!H$204))))</f>
        <v>#N/A</v>
      </c>
      <c r="I113" s="12" t="e">
        <f>MAX(0,MIN(1,((Input!I113-Input!I$204)/(Input!I$205-Input!I$204))))</f>
        <v>#N/A</v>
      </c>
      <c r="J113" s="12" t="e">
        <f>MAX(0,MIN(1,((Input!J113-Input!J$204)/(Input!J$205-Input!J$204))))</f>
        <v>#N/A</v>
      </c>
      <c r="K113" s="12" t="e">
        <f>MAX(0,MIN(1,((Input!K113-Input!K$204)/(Input!K$205-Input!K$204))))</f>
        <v>#N/A</v>
      </c>
      <c r="L113" s="12" t="e">
        <f>MAX(0,MIN(1,((Input!L113-Input!L$204)/(Input!L$205-Input!L$204))))</f>
        <v>#N/A</v>
      </c>
      <c r="M113" s="12" t="e">
        <f>MAX(0,MIN(1,((Input!M113-Input!M$204)/(Input!M$205-Input!M$204))))</f>
        <v>#N/A</v>
      </c>
      <c r="N113" s="12" t="e">
        <f>MAX(0,MIN(1,((Input!N113-Input!N$204)/(Input!N$205-Input!N$204))))</f>
        <v>#N/A</v>
      </c>
      <c r="O113" s="12" t="e">
        <f>MAX(0,MIN(1,((Input!O113-Input!O$204)/(Input!O$205-Input!O$204))))</f>
        <v>#N/A</v>
      </c>
      <c r="P113" s="12" t="e">
        <f>MAX(0,MIN(1,((Input!P113-Input!P$204)/(Input!P$205-Input!P$204))))</f>
        <v>#N/A</v>
      </c>
      <c r="Q113" s="12" t="e">
        <f>MAX(0,MIN(1,((Input!Q113-Input!Q$204)/(Input!Q$205-Input!Q$204))))</f>
        <v>#N/A</v>
      </c>
      <c r="R113" s="12" t="e">
        <f>MAX(0,MIN(1,((Input!R113-Input!R$204)/(Input!R$205-Input!R$204))))</f>
        <v>#N/A</v>
      </c>
      <c r="S113" s="12" t="e">
        <f>MAX(0,MIN(1,((Input!S113-Input!S$204)/(Input!S$205-Input!S$204))))</f>
        <v>#N/A</v>
      </c>
      <c r="T113" s="12" t="e">
        <f>MAX(0,MIN(1,((Input!T113-Input!T$204)/(Input!T$205-Input!T$204))))</f>
        <v>#N/A</v>
      </c>
      <c r="U113" s="12">
        <f>MAX(0,MIN(1,((Input!U113-Input!U$204)/(Input!U$205-Input!U$204))))</f>
        <v>0</v>
      </c>
      <c r="V113" s="26">
        <f>COUNT(Raw!E113:U113)</f>
        <v>0</v>
      </c>
      <c r="W113" s="27">
        <f t="shared" si="3"/>
        <v>1</v>
      </c>
      <c r="AA113" t="e">
        <v>#N/A</v>
      </c>
      <c r="AC113">
        <v>0</v>
      </c>
    </row>
    <row r="114" spans="1:29" ht="13">
      <c r="A114" s="12"/>
      <c r="B114" s="12"/>
      <c r="C114" s="1" t="s">
        <v>370</v>
      </c>
      <c r="D114" s="1" t="s">
        <v>114</v>
      </c>
      <c r="E114" s="12">
        <f>MAX(0,MIN(1,((Input!E114-Input!E$204)/(Input!E$205-Input!E$204))))</f>
        <v>0.29682403432500004</v>
      </c>
      <c r="F114" s="12">
        <f>MAX(0,MIN(1,((Input!F114-Input!F$204)/(Input!F$205-Input!F$204))))</f>
        <v>0.30008583690000001</v>
      </c>
      <c r="G114" s="12">
        <f>MAX(0,MIN(1,((Input!G114-Input!G$204)/(Input!G$205-Input!G$204))))</f>
        <v>0.30334763947499999</v>
      </c>
      <c r="H114" s="12">
        <f>MAX(0,MIN(1,((Input!H114-Input!H$204)/(Input!H$205-Input!H$204))))</f>
        <v>0.30660944205000001</v>
      </c>
      <c r="I114" s="12">
        <f>MAX(0,MIN(1,((Input!I114-Input!I$204)/(Input!I$205-Input!I$204))))</f>
        <v>0.30987124462500004</v>
      </c>
      <c r="J114" s="12">
        <f>MAX(0,MIN(1,((Input!J114-Input!J$204)/(Input!J$205-Input!J$204))))</f>
        <v>0.31313304720000001</v>
      </c>
      <c r="K114" s="12">
        <f>MAX(0,MIN(1,((Input!K114-Input!K$204)/(Input!K$205-Input!K$204))))</f>
        <v>0.31639484977499999</v>
      </c>
      <c r="L114" s="12">
        <f>MAX(0,MIN(1,((Input!L114-Input!L$204)/(Input!L$205-Input!L$204))))</f>
        <v>0.31965665235000001</v>
      </c>
      <c r="M114" s="12">
        <f>MAX(0,MIN(1,((Input!M114-Input!M$204)/(Input!M$205-Input!M$204))))</f>
        <v>0.32291845492500004</v>
      </c>
      <c r="N114" s="12">
        <f>MAX(0,MIN(1,((Input!N114-Input!N$204)/(Input!N$205-Input!N$204))))</f>
        <v>0.32618025750000001</v>
      </c>
      <c r="O114" s="12">
        <f>MAX(0,MIN(1,((Input!O114-Input!O$204)/(Input!O$205-Input!O$204))))</f>
        <v>0.30299999239999997</v>
      </c>
      <c r="P114" s="12">
        <f>MAX(0,MIN(1,((Input!P114-Input!P$204)/(Input!P$205-Input!P$204))))</f>
        <v>0.26848</v>
      </c>
      <c r="Q114" s="12">
        <f>MAX(0,MIN(1,((Input!Q114-Input!Q$204)/(Input!Q$205-Input!Q$204))))</f>
        <v>0.26848</v>
      </c>
      <c r="R114" s="12">
        <f>MAX(0,MIN(1,((Input!R114-Input!R$204)/(Input!R$205-Input!R$204))))</f>
        <v>0.26579520000000001</v>
      </c>
      <c r="S114" s="12">
        <f>MAX(0,MIN(1,((Input!S114-Input!S$204)/(Input!S$205-Input!S$204))))</f>
        <v>0.26311039999999997</v>
      </c>
      <c r="T114" s="12">
        <f>MAX(0,MIN(1,((Input!T114-Input!T$204)/(Input!T$205-Input!T$204))))</f>
        <v>0.26042559999999998</v>
      </c>
      <c r="U114" s="12">
        <f>MAX(0,MIN(1,((Input!U114-Input!U$204)/(Input!U$205-Input!U$204))))</f>
        <v>0</v>
      </c>
      <c r="V114" s="26">
        <f>COUNT(Raw!E114:U114)</f>
        <v>4</v>
      </c>
      <c r="W114" s="27">
        <f t="shared" si="3"/>
        <v>17</v>
      </c>
      <c r="AA114">
        <v>0.17734364178000761</v>
      </c>
      <c r="AB114">
        <v>2011</v>
      </c>
      <c r="AC114">
        <v>17</v>
      </c>
    </row>
    <row r="115" spans="1:29" ht="13">
      <c r="A115" s="12"/>
      <c r="B115" s="12"/>
      <c r="C115" s="1" t="s">
        <v>321</v>
      </c>
      <c r="D115" s="1" t="s">
        <v>333</v>
      </c>
      <c r="E115" s="12">
        <f>MAX(0,MIN(1,((Input!E115-Input!E$204)/(Input!E$205-Input!E$204))))</f>
        <v>0.93</v>
      </c>
      <c r="F115" s="12">
        <f>MAX(0,MIN(1,((Input!F115-Input!F$204)/(Input!F$205-Input!F$204))))</f>
        <v>0.95</v>
      </c>
      <c r="G115" s="12">
        <f>MAX(0,MIN(1,((Input!G115-Input!G$204)/(Input!G$205-Input!G$204))))</f>
        <v>0.95</v>
      </c>
      <c r="H115" s="12">
        <f>MAX(0,MIN(1,((Input!H115-Input!H$204)/(Input!H$205-Input!H$204))))</f>
        <v>0.96</v>
      </c>
      <c r="I115" s="12">
        <f>MAX(0,MIN(1,((Input!I115-Input!I$204)/(Input!I$205-Input!I$204))))</f>
        <v>0.96</v>
      </c>
      <c r="J115" s="12">
        <f>MAX(0,MIN(1,((Input!J115-Input!J$204)/(Input!J$205-Input!J$204))))</f>
        <v>0.97</v>
      </c>
      <c r="K115" s="12">
        <f>MAX(0,MIN(1,((Input!K115-Input!K$204)/(Input!K$205-Input!K$204))))</f>
        <v>0.98</v>
      </c>
      <c r="L115" s="12">
        <f>MAX(0,MIN(1,((Input!L115-Input!L$204)/(Input!L$205-Input!L$204))))</f>
        <v>0.98</v>
      </c>
      <c r="M115" s="12">
        <f>MAX(0,MIN(1,((Input!M115-Input!M$204)/(Input!M$205-Input!M$204))))</f>
        <v>1</v>
      </c>
      <c r="N115" s="12">
        <f>MAX(0,MIN(1,((Input!N115-Input!N$204)/(Input!N$205-Input!N$204))))</f>
        <v>1</v>
      </c>
      <c r="O115" s="12">
        <f>MAX(0,MIN(1,((Input!O115-Input!O$204)/(Input!O$205-Input!O$204))))</f>
        <v>1</v>
      </c>
      <c r="P115" s="12">
        <f>MAX(0,MIN(1,((Input!P115-Input!P$204)/(Input!P$205-Input!P$204))))</f>
        <v>0.9802078179</v>
      </c>
      <c r="Q115" s="12">
        <f>MAX(0,MIN(1,((Input!Q115-Input!Q$204)/(Input!Q$205-Input!Q$204))))</f>
        <v>0.98027613410000003</v>
      </c>
      <c r="R115" s="12">
        <f>MAX(0,MIN(1,((Input!R115-Input!R$204)/(Input!R$205-Input!R$204))))</f>
        <v>0.98030000000000006</v>
      </c>
      <c r="S115" s="12">
        <f>MAX(0,MIN(1,((Input!S115-Input!S$204)/(Input!S$205-Input!S$204))))</f>
        <v>0.97049700000000005</v>
      </c>
      <c r="T115" s="12">
        <f>MAX(0,MIN(1,((Input!T115-Input!T$204)/(Input!T$205-Input!T$204))))</f>
        <v>0.96069400000000005</v>
      </c>
      <c r="U115" s="12">
        <f>MAX(0,MIN(1,((Input!U115-Input!U$204)/(Input!U$205-Input!U$204))))</f>
        <v>0</v>
      </c>
      <c r="V115" s="26">
        <f>COUNT(Raw!E115:U115)</f>
        <v>14</v>
      </c>
      <c r="W115" s="27">
        <f t="shared" si="3"/>
        <v>17</v>
      </c>
      <c r="AA115">
        <v>1</v>
      </c>
      <c r="AB115">
        <v>2011</v>
      </c>
      <c r="AC115">
        <v>17</v>
      </c>
    </row>
    <row r="116" spans="1:29" ht="13">
      <c r="A116" s="12"/>
      <c r="B116" s="12"/>
      <c r="C116" s="1" t="s">
        <v>83</v>
      </c>
      <c r="D116" s="1" t="s">
        <v>192</v>
      </c>
      <c r="E116" s="12">
        <f>MAX(0,MIN(1,((Input!E116-Input!E$204)/(Input!E$205-Input!E$204))))</f>
        <v>0.31299999239999998</v>
      </c>
      <c r="F116" s="12">
        <f>MAX(0,MIN(1,((Input!F116-Input!F$204)/(Input!F$205-Input!F$204))))</f>
        <v>0.31799999239999999</v>
      </c>
      <c r="G116" s="12">
        <f>MAX(0,MIN(1,((Input!G116-Input!G$204)/(Input!G$205-Input!G$204))))</f>
        <v>0.2970000076</v>
      </c>
      <c r="H116" s="12">
        <f>MAX(0,MIN(1,((Input!H116-Input!H$204)/(Input!H$205-Input!H$204))))</f>
        <v>0.34299999240000001</v>
      </c>
      <c r="I116" s="12">
        <f>MAX(0,MIN(1,((Input!I116-Input!I$204)/(Input!I$205-Input!I$204))))</f>
        <v>0.3279999924</v>
      </c>
      <c r="J116" s="12">
        <f>MAX(0,MIN(1,((Input!J116-Input!J$204)/(Input!J$205-Input!J$204))))</f>
        <v>0.3279999924</v>
      </c>
      <c r="K116" s="12">
        <f>MAX(0,MIN(1,((Input!K116-Input!K$204)/(Input!K$205-Input!K$204))))</f>
        <v>0.33149999620000004</v>
      </c>
      <c r="L116" s="12">
        <f>MAX(0,MIN(1,((Input!L116-Input!L$204)/(Input!L$205-Input!L$204))))</f>
        <v>0.33500000000000002</v>
      </c>
      <c r="M116" s="12">
        <f>MAX(0,MIN(1,((Input!M116-Input!M$204)/(Input!M$205-Input!M$204))))</f>
        <v>0.35759998320000003</v>
      </c>
      <c r="N116" s="12">
        <f>MAX(0,MIN(1,((Input!N116-Input!N$204)/(Input!N$205-Input!N$204))))</f>
        <v>0.3631000137</v>
      </c>
      <c r="O116" s="12">
        <f>MAX(0,MIN(1,((Input!O116-Input!O$204)/(Input!O$205-Input!O$204))))</f>
        <v>0.36979999540000003</v>
      </c>
      <c r="P116" s="12">
        <f>MAX(0,MIN(1,((Input!P116-Input!P$204)/(Input!P$205-Input!P$204))))</f>
        <v>0.3347</v>
      </c>
      <c r="Q116" s="12">
        <f>MAX(0,MIN(1,((Input!Q116-Input!Q$204)/(Input!Q$205-Input!Q$204))))</f>
        <v>0.34960000000000002</v>
      </c>
      <c r="R116" s="12">
        <f>MAX(0,MIN(1,((Input!R116-Input!R$204)/(Input!R$205-Input!R$204))))</f>
        <v>0.3528</v>
      </c>
      <c r="S116" s="12">
        <f>MAX(0,MIN(1,((Input!S116-Input!S$204)/(Input!S$205-Input!S$204))))</f>
        <v>0.34927199999999997</v>
      </c>
      <c r="T116" s="12">
        <f>MAX(0,MIN(1,((Input!T116-Input!T$204)/(Input!T$205-Input!T$204))))</f>
        <v>0.345744</v>
      </c>
      <c r="U116" s="12">
        <f>MAX(0,MIN(1,((Input!U116-Input!U$204)/(Input!U$205-Input!U$204))))</f>
        <v>0</v>
      </c>
      <c r="V116" s="26">
        <f>COUNT(Raw!E116:U116)</f>
        <v>13</v>
      </c>
      <c r="W116" s="27">
        <f t="shared" si="3"/>
        <v>17</v>
      </c>
      <c r="AA116">
        <v>0.37208693455572189</v>
      </c>
      <c r="AB116">
        <v>2011</v>
      </c>
      <c r="AC116">
        <v>17</v>
      </c>
    </row>
    <row r="117" spans="1:29" ht="13">
      <c r="A117" s="12"/>
      <c r="B117" s="12"/>
      <c r="C117" s="1" t="s">
        <v>170</v>
      </c>
      <c r="D117" s="1" t="s">
        <v>293</v>
      </c>
      <c r="E117" s="12">
        <f>MAX(0,MIN(1,((Input!E117-Input!E$204)/(Input!E$205-Input!E$204))))</f>
        <v>0.1760000038</v>
      </c>
      <c r="F117" s="12">
        <f>MAX(0,MIN(1,((Input!F117-Input!F$204)/(Input!F$205-Input!F$204))))</f>
        <v>0.17700000760000001</v>
      </c>
      <c r="G117" s="12">
        <f>MAX(0,MIN(1,((Input!G117-Input!G$204)/(Input!G$205-Input!G$204))))</f>
        <v>0.17499999999999999</v>
      </c>
      <c r="H117" s="12">
        <f>MAX(0,MIN(1,((Input!H117-Input!H$204)/(Input!H$205-Input!H$204))))</f>
        <v>0.17499999999999999</v>
      </c>
      <c r="I117" s="12">
        <f>MAX(0,MIN(1,((Input!I117-Input!I$204)/(Input!I$205-Input!I$204))))</f>
        <v>0.17499999999999999</v>
      </c>
      <c r="J117" s="12">
        <f>MAX(0,MIN(1,((Input!J117-Input!J$204)/(Input!J$205-Input!J$204))))</f>
        <v>0.17499999999999999</v>
      </c>
      <c r="K117" s="12">
        <f>MAX(0,MIN(1,((Input!K117-Input!K$204)/(Input!K$205-Input!K$204))))</f>
        <v>0.17499999999999999</v>
      </c>
      <c r="L117" s="12">
        <f>MAX(0,MIN(1,((Input!L117-Input!L$204)/(Input!L$205-Input!L$204))))</f>
        <v>0.17324999999999999</v>
      </c>
      <c r="M117" s="12">
        <f>MAX(0,MIN(1,((Input!M117-Input!M$204)/(Input!M$205-Input!M$204))))</f>
        <v>0.17149999999999999</v>
      </c>
      <c r="N117" s="12">
        <f>MAX(0,MIN(1,((Input!N117-Input!N$204)/(Input!N$205-Input!N$204))))</f>
        <v>0.16975000000000001</v>
      </c>
      <c r="O117" s="12">
        <f>MAX(0,MIN(1,((Input!O117-Input!O$204)/(Input!O$205-Input!O$204))))</f>
        <v>0.16800000000000001</v>
      </c>
      <c r="P117" s="12">
        <f>MAX(0,MIN(1,((Input!P117-Input!P$204)/(Input!P$205-Input!P$204))))</f>
        <v>0.16625000000000001</v>
      </c>
      <c r="Q117" s="12">
        <f>MAX(0,MIN(1,((Input!Q117-Input!Q$204)/(Input!Q$205-Input!Q$204))))</f>
        <v>0.16449999999999998</v>
      </c>
      <c r="R117" s="12">
        <f>MAX(0,MIN(1,((Input!R117-Input!R$204)/(Input!R$205-Input!R$204))))</f>
        <v>0.16275000000000003</v>
      </c>
      <c r="S117" s="12">
        <f>MAX(0,MIN(1,((Input!S117-Input!S$204)/(Input!S$205-Input!S$204))))</f>
        <v>0.161</v>
      </c>
      <c r="T117" s="12">
        <f>MAX(0,MIN(1,((Input!T117-Input!T$204)/(Input!T$205-Input!T$204))))</f>
        <v>0.15925</v>
      </c>
      <c r="U117" s="12">
        <f>MAX(0,MIN(1,((Input!U117-Input!U$204)/(Input!U$205-Input!U$204))))</f>
        <v>0</v>
      </c>
      <c r="V117" s="26">
        <f>COUNT(Raw!E117:U117)</f>
        <v>7</v>
      </c>
      <c r="W117" s="27">
        <f t="shared" si="3"/>
        <v>17</v>
      </c>
      <c r="AA117">
        <v>0.17217856070714282</v>
      </c>
      <c r="AB117">
        <v>2011</v>
      </c>
      <c r="AC117">
        <v>17</v>
      </c>
    </row>
    <row r="118" spans="1:29" ht="13">
      <c r="A118" s="12"/>
      <c r="B118" s="12"/>
      <c r="C118" s="1" t="s">
        <v>106</v>
      </c>
      <c r="D118" s="1" t="s">
        <v>237</v>
      </c>
      <c r="E118" s="12">
        <f>MAX(0,MIN(1,((Input!E118-Input!E$204)/(Input!E$205-Input!E$204))))</f>
        <v>0.87300003049999997</v>
      </c>
      <c r="F118" s="12">
        <f>MAX(0,MIN(1,((Input!F118-Input!F$204)/(Input!F$205-Input!F$204))))</f>
        <v>0.86900001529999993</v>
      </c>
      <c r="G118" s="12">
        <f>MAX(0,MIN(1,((Input!G118-Input!G$204)/(Input!G$205-Input!G$204))))</f>
        <v>0.86900001529999993</v>
      </c>
      <c r="H118" s="12">
        <f>MAX(0,MIN(1,((Input!H118-Input!H$204)/(Input!H$205-Input!H$204))))</f>
        <v>0.87</v>
      </c>
      <c r="I118" s="12">
        <f>MAX(0,MIN(1,((Input!I118-Input!I$204)/(Input!I$205-Input!I$204))))</f>
        <v>0.87</v>
      </c>
      <c r="J118" s="12">
        <f>MAX(0,MIN(1,((Input!J118-Input!J$204)/(Input!J$205-Input!J$204))))</f>
        <v>0.86099998470000005</v>
      </c>
      <c r="K118" s="12">
        <f>MAX(0,MIN(1,((Input!K118-Input!K$204)/(Input!K$205-Input!K$204))))</f>
        <v>0.86049999234999996</v>
      </c>
      <c r="L118" s="12">
        <f>MAX(0,MIN(1,((Input!L118-Input!L$204)/(Input!L$205-Input!L$204))))</f>
        <v>0.86</v>
      </c>
      <c r="M118" s="12">
        <f>MAX(0,MIN(1,((Input!M118-Input!M$204)/(Input!M$205-Input!M$204))))</f>
        <v>0.86199996950000002</v>
      </c>
      <c r="N118" s="12">
        <f>MAX(0,MIN(1,((Input!N118-Input!N$204)/(Input!N$205-Input!N$204))))</f>
        <v>0.86199996950000002</v>
      </c>
      <c r="O118" s="12">
        <f>MAX(0,MIN(1,((Input!O118-Input!O$204)/(Input!O$205-Input!O$204))))</f>
        <v>0.86250000000000004</v>
      </c>
      <c r="P118" s="12">
        <f>MAX(0,MIN(1,((Input!P118-Input!P$204)/(Input!P$205-Input!P$204))))</f>
        <v>0.85499999999999998</v>
      </c>
      <c r="Q118" s="12">
        <f>MAX(0,MIN(1,((Input!Q118-Input!Q$204)/(Input!Q$205-Input!Q$204))))</f>
        <v>0.85699725599999999</v>
      </c>
      <c r="R118" s="12">
        <f>MAX(0,MIN(1,((Input!R118-Input!R$204)/(Input!R$205-Input!R$204))))</f>
        <v>0.85799999999999998</v>
      </c>
      <c r="S118" s="12">
        <f>MAX(0,MIN(1,((Input!S118-Input!S$204)/(Input!S$205-Input!S$204))))</f>
        <v>0.84941999999999995</v>
      </c>
      <c r="T118" s="12">
        <f>MAX(0,MIN(1,((Input!T118-Input!T$204)/(Input!T$205-Input!T$204))))</f>
        <v>0.84083999999999992</v>
      </c>
      <c r="U118" s="12">
        <f>MAX(0,MIN(1,((Input!U118-Input!U$204)/(Input!U$205-Input!U$204))))</f>
        <v>0</v>
      </c>
      <c r="V118" s="26">
        <f>COUNT(Raw!E118:U118)</f>
        <v>13</v>
      </c>
      <c r="W118" s="27">
        <f t="shared" si="3"/>
        <v>17</v>
      </c>
      <c r="AA118">
        <v>0.85235781123056853</v>
      </c>
      <c r="AB118">
        <v>2011</v>
      </c>
      <c r="AC118">
        <v>17</v>
      </c>
    </row>
    <row r="119" spans="1:29" ht="13">
      <c r="A119" s="12"/>
      <c r="B119" s="12"/>
      <c r="C119" s="1" t="s">
        <v>146</v>
      </c>
      <c r="D119" s="1" t="s">
        <v>112</v>
      </c>
      <c r="E119" s="12">
        <f>MAX(0,MIN(1,((Input!E119-Input!E$204)/(Input!E$205-Input!E$204))))</f>
        <v>1</v>
      </c>
      <c r="F119" s="12">
        <f>MAX(0,MIN(1,((Input!F119-Input!F$204)/(Input!F$205-Input!F$204))))</f>
        <v>1</v>
      </c>
      <c r="G119" s="12">
        <f>MAX(0,MIN(1,((Input!G119-Input!G$204)/(Input!G$205-Input!G$204))))</f>
        <v>1</v>
      </c>
      <c r="H119" s="12">
        <f>MAX(0,MIN(1,((Input!H119-Input!H$204)/(Input!H$205-Input!H$204))))</f>
        <v>1</v>
      </c>
      <c r="I119" s="12">
        <f>MAX(0,MIN(1,((Input!I119-Input!I$204)/(Input!I$205-Input!I$204))))</f>
        <v>1</v>
      </c>
      <c r="J119" s="12">
        <f>MAX(0,MIN(1,((Input!J119-Input!J$204)/(Input!J$205-Input!J$204))))</f>
        <v>1</v>
      </c>
      <c r="K119" s="12">
        <f>MAX(0,MIN(1,((Input!K119-Input!K$204)/(Input!K$205-Input!K$204))))</f>
        <v>1</v>
      </c>
      <c r="L119" s="12">
        <f>MAX(0,MIN(1,((Input!L119-Input!L$204)/(Input!L$205-Input!L$204))))</f>
        <v>1</v>
      </c>
      <c r="M119" s="12">
        <f>MAX(0,MIN(1,((Input!M119-Input!M$204)/(Input!M$205-Input!M$204))))</f>
        <v>1</v>
      </c>
      <c r="N119" s="12">
        <f>MAX(0,MIN(1,((Input!N119-Input!N$204)/(Input!N$205-Input!N$204))))</f>
        <v>1</v>
      </c>
      <c r="O119" s="12">
        <f>MAX(0,MIN(1,((Input!O119-Input!O$204)/(Input!O$205-Input!O$204))))</f>
        <v>1</v>
      </c>
      <c r="P119" s="12">
        <f>MAX(0,MIN(1,((Input!P119-Input!P$204)/(Input!P$205-Input!P$204))))</f>
        <v>1</v>
      </c>
      <c r="Q119" s="12">
        <f>MAX(0,MIN(1,((Input!Q119-Input!Q$204)/(Input!Q$205-Input!Q$204))))</f>
        <v>1</v>
      </c>
      <c r="R119" s="12">
        <f>MAX(0,MIN(1,((Input!R119-Input!R$204)/(Input!R$205-Input!R$204))))</f>
        <v>1</v>
      </c>
      <c r="S119" s="12">
        <f>MAX(0,MIN(1,((Input!S119-Input!S$204)/(Input!S$205-Input!S$204))))</f>
        <v>0.99</v>
      </c>
      <c r="T119" s="12">
        <f>MAX(0,MIN(1,((Input!T119-Input!T$204)/(Input!T$205-Input!T$204))))</f>
        <v>0.98</v>
      </c>
      <c r="U119" s="12">
        <f>MAX(0,MIN(1,((Input!U119-Input!U$204)/(Input!U$205-Input!U$204))))</f>
        <v>0</v>
      </c>
      <c r="V119" s="26">
        <f>COUNT(Raw!E119:U119)</f>
        <v>10</v>
      </c>
      <c r="W119" s="27">
        <f t="shared" si="3"/>
        <v>17</v>
      </c>
      <c r="AA119">
        <v>1</v>
      </c>
      <c r="AB119">
        <v>2011</v>
      </c>
      <c r="AC119">
        <v>17</v>
      </c>
    </row>
    <row r="120" spans="1:29" ht="13">
      <c r="A120" s="12"/>
      <c r="B120" s="12"/>
      <c r="C120" s="1" t="s">
        <v>227</v>
      </c>
      <c r="D120" s="1" t="s">
        <v>348</v>
      </c>
      <c r="E120" s="12">
        <f>MAX(0,MIN(1,((Input!E120-Input!E$204)/(Input!E$205-Input!E$204))))</f>
        <v>0.63299999239999993</v>
      </c>
      <c r="F120" s="12">
        <f>MAX(0,MIN(1,((Input!F120-Input!F$204)/(Input!F$205-Input!F$204))))</f>
        <v>0.63799999239999994</v>
      </c>
      <c r="G120" s="12">
        <f>MAX(0,MIN(1,((Input!G120-Input!G$204)/(Input!G$205-Input!G$204))))</f>
        <v>0.63799999239999994</v>
      </c>
      <c r="H120" s="12">
        <f>MAX(0,MIN(1,((Input!H120-Input!H$204)/(Input!H$205-Input!H$204))))</f>
        <v>0.63799999239999994</v>
      </c>
      <c r="I120" s="12">
        <f>MAX(0,MIN(1,((Input!I120-Input!I$204)/(Input!I$205-Input!I$204))))</f>
        <v>0.63799999239999994</v>
      </c>
      <c r="J120" s="12">
        <f>MAX(0,MIN(1,((Input!J120-Input!J$204)/(Input!J$205-Input!J$204))))</f>
        <v>0.60784999429999997</v>
      </c>
      <c r="K120" s="12">
        <f>MAX(0,MIN(1,((Input!K120-Input!K$204)/(Input!K$205-Input!K$204))))</f>
        <v>0.57769999620000001</v>
      </c>
      <c r="L120" s="12">
        <f>MAX(0,MIN(1,((Input!L120-Input!L$204)/(Input!L$205-Input!L$204))))</f>
        <v>0.54754999810000005</v>
      </c>
      <c r="M120" s="12">
        <f>MAX(0,MIN(1,((Input!M120-Input!M$204)/(Input!M$205-Input!M$204))))</f>
        <v>0.51739999999999997</v>
      </c>
      <c r="N120" s="12">
        <f>MAX(0,MIN(1,((Input!N120-Input!N$204)/(Input!N$205-Input!N$204))))</f>
        <v>0.52869999999999995</v>
      </c>
      <c r="O120" s="12">
        <f>MAX(0,MIN(1,((Input!O120-Input!O$204)/(Input!O$205-Input!O$204))))</f>
        <v>0.55620000000000003</v>
      </c>
      <c r="P120" s="12">
        <f>MAX(0,MIN(1,((Input!P120-Input!P$204)/(Input!P$205-Input!P$204))))</f>
        <v>0.54339999999999999</v>
      </c>
      <c r="Q120" s="12">
        <f>MAX(0,MIN(1,((Input!Q120-Input!Q$204)/(Input!Q$205-Input!Q$204))))</f>
        <v>0.56159999999999999</v>
      </c>
      <c r="R120" s="12">
        <f>MAX(0,MIN(1,((Input!R120-Input!R$204)/(Input!R$205-Input!R$204))))</f>
        <v>0.56540000000000001</v>
      </c>
      <c r="S120" s="12">
        <f>MAX(0,MIN(1,((Input!S120-Input!S$204)/(Input!S$205-Input!S$204))))</f>
        <v>0.55974599999999997</v>
      </c>
      <c r="T120" s="12">
        <f>MAX(0,MIN(1,((Input!T120-Input!T$204)/(Input!T$205-Input!T$204))))</f>
        <v>0.55409200000000003</v>
      </c>
      <c r="U120" s="12">
        <f>MAX(0,MIN(1,((Input!U120-Input!U$204)/(Input!U$205-Input!U$204))))</f>
        <v>0</v>
      </c>
      <c r="V120" s="26">
        <f>COUNT(Raw!E120:U120)</f>
        <v>11</v>
      </c>
      <c r="W120" s="27">
        <f t="shared" si="3"/>
        <v>17</v>
      </c>
      <c r="AA120">
        <v>0.50577514559271552</v>
      </c>
      <c r="AB120">
        <v>2011</v>
      </c>
      <c r="AC120">
        <v>17</v>
      </c>
    </row>
    <row r="121" spans="1:29" ht="13">
      <c r="A121" s="12"/>
      <c r="B121" s="12"/>
      <c r="C121" s="1" t="s">
        <v>190</v>
      </c>
      <c r="D121" s="1" t="s">
        <v>210</v>
      </c>
      <c r="E121" s="12">
        <f>MAX(0,MIN(1,((Input!E121-Input!E$204)/(Input!E$205-Input!E$204))))</f>
        <v>3.2999999519999997E-2</v>
      </c>
      <c r="F121" s="12">
        <f>MAX(0,MIN(1,((Input!F121-Input!F$204)/(Input!F$205-Input!F$204))))</f>
        <v>3.2999999519999997E-2</v>
      </c>
      <c r="G121" s="12">
        <f>MAX(0,MIN(1,((Input!G121-Input!G$204)/(Input!G$205-Input!G$204))))</f>
        <v>3.4000000950000005E-2</v>
      </c>
      <c r="H121" s="12">
        <f>MAX(0,MIN(1,((Input!H121-Input!H$204)/(Input!H$205-Input!H$204))))</f>
        <v>3.4000000950000005E-2</v>
      </c>
      <c r="I121" s="12">
        <f>MAX(0,MIN(1,((Input!I121-Input!I$204)/(Input!I$205-Input!I$204))))</f>
        <v>3.5000000000000003E-2</v>
      </c>
      <c r="J121" s="12">
        <f>MAX(0,MIN(1,((Input!J121-Input!J$204)/(Input!J$205-Input!J$204))))</f>
        <v>3.5000000000000003E-2</v>
      </c>
      <c r="K121" s="12">
        <f>MAX(0,MIN(1,((Input!K121-Input!K$204)/(Input!K$205-Input!K$204))))</f>
        <v>3.5000000000000003E-2</v>
      </c>
      <c r="L121" s="12">
        <f>MAX(0,MIN(1,((Input!L121-Input!L$204)/(Input!L$205-Input!L$204))))</f>
        <v>3.5000000000000003E-2</v>
      </c>
      <c r="M121" s="12">
        <f>MAX(0,MIN(1,((Input!M121-Input!M$204)/(Input!M$205-Input!M$204))))</f>
        <v>3.465E-2</v>
      </c>
      <c r="N121" s="12">
        <f>MAX(0,MIN(1,((Input!N121-Input!N$204)/(Input!N$205-Input!N$204))))</f>
        <v>3.4300000000000004E-2</v>
      </c>
      <c r="O121" s="12">
        <f>MAX(0,MIN(1,((Input!O121-Input!O$204)/(Input!O$205-Input!O$204))))</f>
        <v>3.3950000000000001E-2</v>
      </c>
      <c r="P121" s="12">
        <f>MAX(0,MIN(1,((Input!P121-Input!P$204)/(Input!P$205-Input!P$204))))</f>
        <v>3.3600000000000005E-2</v>
      </c>
      <c r="Q121" s="12">
        <f>MAX(0,MIN(1,((Input!Q121-Input!Q$204)/(Input!Q$205-Input!Q$204))))</f>
        <v>3.3250000000000002E-2</v>
      </c>
      <c r="R121" s="12">
        <f>MAX(0,MIN(1,((Input!R121-Input!R$204)/(Input!R$205-Input!R$204))))</f>
        <v>3.2899999999999999E-2</v>
      </c>
      <c r="S121" s="12">
        <f>MAX(0,MIN(1,((Input!S121-Input!S$204)/(Input!S$205-Input!S$204))))</f>
        <v>3.2550000000000003E-2</v>
      </c>
      <c r="T121" s="12">
        <f>MAX(0,MIN(1,((Input!T121-Input!T$204)/(Input!T$205-Input!T$204))))</f>
        <v>3.2199999999999999E-2</v>
      </c>
      <c r="U121" s="12">
        <f>MAX(0,MIN(1,((Input!U121-Input!U$204)/(Input!U$205-Input!U$204))))</f>
        <v>0</v>
      </c>
      <c r="V121" s="26">
        <f>COUNT(Raw!E121:U121)</f>
        <v>8</v>
      </c>
      <c r="W121" s="27">
        <f t="shared" si="3"/>
        <v>17</v>
      </c>
      <c r="AA121">
        <v>3.8416667075833431E-2</v>
      </c>
      <c r="AB121">
        <v>2011</v>
      </c>
      <c r="AC121">
        <v>17</v>
      </c>
    </row>
    <row r="122" spans="1:29" ht="13">
      <c r="A122" s="12"/>
      <c r="B122" s="12"/>
      <c r="C122" s="1" t="s">
        <v>191</v>
      </c>
      <c r="D122" s="1" t="s">
        <v>242</v>
      </c>
      <c r="E122" s="12" t="e">
        <f>MAX(0,MIN(1,((Input!E122-Input!E$204)/(Input!E$205-Input!E$204))))</f>
        <v>#N/A</v>
      </c>
      <c r="F122" s="12" t="e">
        <f>MAX(0,MIN(1,((Input!F122-Input!F$204)/(Input!F$205-Input!F$204))))</f>
        <v>#N/A</v>
      </c>
      <c r="G122" s="12" t="e">
        <f>MAX(0,MIN(1,((Input!G122-Input!G$204)/(Input!G$205-Input!G$204))))</f>
        <v>#N/A</v>
      </c>
      <c r="H122" s="12" t="e">
        <f>MAX(0,MIN(1,((Input!H122-Input!H$204)/(Input!H$205-Input!H$204))))</f>
        <v>#N/A</v>
      </c>
      <c r="I122" s="12" t="e">
        <f>MAX(0,MIN(1,((Input!I122-Input!I$204)/(Input!I$205-Input!I$204))))</f>
        <v>#N/A</v>
      </c>
      <c r="J122" s="12" t="e">
        <f>MAX(0,MIN(1,((Input!J122-Input!J$204)/(Input!J$205-Input!J$204))))</f>
        <v>#N/A</v>
      </c>
      <c r="K122" s="12" t="e">
        <f>MAX(0,MIN(1,((Input!K122-Input!K$204)/(Input!K$205-Input!K$204))))</f>
        <v>#N/A</v>
      </c>
      <c r="L122" s="12" t="e">
        <f>MAX(0,MIN(1,((Input!L122-Input!L$204)/(Input!L$205-Input!L$204))))</f>
        <v>#N/A</v>
      </c>
      <c r="M122" s="12" t="e">
        <f>MAX(0,MIN(1,((Input!M122-Input!M$204)/(Input!M$205-Input!M$204))))</f>
        <v>#N/A</v>
      </c>
      <c r="N122" s="12" t="e">
        <f>MAX(0,MIN(1,((Input!N122-Input!N$204)/(Input!N$205-Input!N$204))))</f>
        <v>#N/A</v>
      </c>
      <c r="O122" s="12" t="e">
        <f>MAX(0,MIN(1,((Input!O122-Input!O$204)/(Input!O$205-Input!O$204))))</f>
        <v>#N/A</v>
      </c>
      <c r="P122" s="12" t="e">
        <f>MAX(0,MIN(1,((Input!P122-Input!P$204)/(Input!P$205-Input!P$204))))</f>
        <v>#N/A</v>
      </c>
      <c r="Q122" s="12" t="e">
        <f>MAX(0,MIN(1,((Input!Q122-Input!Q$204)/(Input!Q$205-Input!Q$204))))</f>
        <v>#N/A</v>
      </c>
      <c r="R122" s="12" t="e">
        <f>MAX(0,MIN(1,((Input!R122-Input!R$204)/(Input!R$205-Input!R$204))))</f>
        <v>#N/A</v>
      </c>
      <c r="S122" s="12" t="e">
        <f>MAX(0,MIN(1,((Input!S122-Input!S$204)/(Input!S$205-Input!S$204))))</f>
        <v>#N/A</v>
      </c>
      <c r="T122" s="12" t="e">
        <f>MAX(0,MIN(1,((Input!T122-Input!T$204)/(Input!T$205-Input!T$204))))</f>
        <v>#N/A</v>
      </c>
      <c r="U122" s="12">
        <f>MAX(0,MIN(1,((Input!U122-Input!U$204)/(Input!U$205-Input!U$204))))</f>
        <v>0</v>
      </c>
      <c r="V122" s="26">
        <f>COUNT(Raw!E122:U122)</f>
        <v>0</v>
      </c>
      <c r="W122" s="27">
        <f t="shared" si="3"/>
        <v>1</v>
      </c>
      <c r="AA122" t="e">
        <v>#N/A</v>
      </c>
      <c r="AC122">
        <v>0</v>
      </c>
    </row>
    <row r="123" spans="1:29" ht="13">
      <c r="A123" s="12"/>
      <c r="B123" s="12"/>
      <c r="C123" s="1" t="s">
        <v>165</v>
      </c>
      <c r="D123" s="1" t="s">
        <v>173</v>
      </c>
      <c r="E123" s="12">
        <f>MAX(0,MIN(1,((Input!E123-Input!E$204)/(Input!E$205-Input!E$204))))</f>
        <v>0.50200000759999996</v>
      </c>
      <c r="F123" s="12">
        <f>MAX(0,MIN(1,((Input!F123-Input!F$204)/(Input!F$205-Input!F$204))))</f>
        <v>0.50200000759999996</v>
      </c>
      <c r="G123" s="12">
        <f>MAX(0,MIN(1,((Input!G123-Input!G$204)/(Input!G$205-Input!G$204))))</f>
        <v>0.52299999239999995</v>
      </c>
      <c r="H123" s="12">
        <f>MAX(0,MIN(1,((Input!H123-Input!H$204)/(Input!H$205-Input!H$204))))</f>
        <v>0.52299999239999995</v>
      </c>
      <c r="I123" s="12">
        <f>MAX(0,MIN(1,((Input!I123-Input!I$204)/(Input!I$205-Input!I$204))))</f>
        <v>0.56299999239999998</v>
      </c>
      <c r="J123" s="12">
        <f>MAX(0,MIN(1,((Input!J123-Input!J$204)/(Input!J$205-Input!J$204))))</f>
        <v>0.56419998169999996</v>
      </c>
      <c r="K123" s="12">
        <f>MAX(0,MIN(1,((Input!K123-Input!K$204)/(Input!K$205-Input!K$204))))</f>
        <v>0.56419998169999996</v>
      </c>
      <c r="L123" s="12">
        <f>MAX(0,MIN(1,((Input!L123-Input!L$204)/(Input!L$205-Input!L$204))))</f>
        <v>0.56419998169999996</v>
      </c>
      <c r="M123" s="12">
        <f>MAX(0,MIN(1,((Input!M123-Input!M$204)/(Input!M$205-Input!M$204))))</f>
        <v>0.56900001529999999</v>
      </c>
      <c r="N123" s="12">
        <f>MAX(0,MIN(1,((Input!N123-Input!N$204)/(Input!N$205-Input!N$204))))</f>
        <v>0.56900001529999999</v>
      </c>
      <c r="O123" s="12">
        <f>MAX(0,MIN(1,((Input!O123-Input!O$204)/(Input!O$205-Input!O$204))))</f>
        <v>0.61889999389999995</v>
      </c>
      <c r="P123" s="12">
        <f>MAX(0,MIN(1,((Input!P123-Input!P$204)/(Input!P$205-Input!P$204))))</f>
        <v>0.61889999389999995</v>
      </c>
      <c r="Q123" s="12">
        <f>MAX(0,MIN(1,((Input!Q123-Input!Q$204)/(Input!Q$205-Input!Q$204))))</f>
        <v>0.61980000000000002</v>
      </c>
      <c r="R123" s="12">
        <f>MAX(0,MIN(1,((Input!R123-Input!R$204)/(Input!R$205-Input!R$204))))</f>
        <v>0.67769999999999997</v>
      </c>
      <c r="S123" s="12">
        <f>MAX(0,MIN(1,((Input!S123-Input!S$204)/(Input!S$205-Input!S$204))))</f>
        <v>0.67092299999999994</v>
      </c>
      <c r="T123" s="12">
        <f>MAX(0,MIN(1,((Input!T123-Input!T$204)/(Input!T$205-Input!T$204))))</f>
        <v>0.6641459999999999</v>
      </c>
      <c r="U123" s="12">
        <f>MAX(0,MIN(1,((Input!U123-Input!U$204)/(Input!U$205-Input!U$204))))</f>
        <v>0</v>
      </c>
      <c r="V123" s="26">
        <f>COUNT(Raw!E123:U123)</f>
        <v>14</v>
      </c>
      <c r="W123" s="27">
        <f t="shared" si="3"/>
        <v>17</v>
      </c>
      <c r="AA123">
        <v>0.67763054748857487</v>
      </c>
      <c r="AB123">
        <v>2011</v>
      </c>
      <c r="AC123">
        <v>17</v>
      </c>
    </row>
    <row r="124" spans="1:29" ht="13">
      <c r="A124" s="12"/>
      <c r="B124" s="12"/>
      <c r="C124" s="1" t="s">
        <v>180</v>
      </c>
      <c r="D124" s="1" t="s">
        <v>307</v>
      </c>
      <c r="E124" s="12">
        <f>MAX(0,MIN(1,((Input!E124-Input!E$204)/(Input!E$205-Input!E$204))))</f>
        <v>0.18600000380000001</v>
      </c>
      <c r="F124" s="12">
        <f>MAX(0,MIN(1,((Input!F124-Input!F$204)/(Input!F$205-Input!F$204))))</f>
        <v>0.18700000760000002</v>
      </c>
      <c r="G124" s="12">
        <f>MAX(0,MIN(1,((Input!G124-Input!G$204)/(Input!G$205-Input!G$204))))</f>
        <v>0.18700000760000002</v>
      </c>
      <c r="H124" s="12">
        <f>MAX(0,MIN(1,((Input!H124-Input!H$204)/(Input!H$205-Input!H$204))))</f>
        <v>0.18700000760000002</v>
      </c>
      <c r="I124" s="12">
        <f>MAX(0,MIN(1,((Input!I124-Input!I$204)/(Input!I$205-Input!I$204))))</f>
        <v>0.18700000760000002</v>
      </c>
      <c r="J124" s="12">
        <f>MAX(0,MIN(1,((Input!J124-Input!J$204)/(Input!J$205-Input!J$204))))</f>
        <v>0.18700000760000002</v>
      </c>
      <c r="K124" s="12">
        <f>MAX(0,MIN(1,((Input!K124-Input!K$204)/(Input!K$205-Input!K$204))))</f>
        <v>0.18700000760000002</v>
      </c>
      <c r="L124" s="12">
        <f>MAX(0,MIN(1,((Input!L124-Input!L$204)/(Input!L$205-Input!L$204))))</f>
        <v>0.18997143508571429</v>
      </c>
      <c r="M124" s="12">
        <f>MAX(0,MIN(1,((Input!M124-Input!M$204)/(Input!M$205-Input!M$204))))</f>
        <v>0.19294286257142856</v>
      </c>
      <c r="N124" s="12">
        <f>MAX(0,MIN(1,((Input!N124-Input!N$204)/(Input!N$205-Input!N$204))))</f>
        <v>0.19591429005714286</v>
      </c>
      <c r="O124" s="12">
        <f>MAX(0,MIN(1,((Input!O124-Input!O$204)/(Input!O$205-Input!O$204))))</f>
        <v>0.19888571754285717</v>
      </c>
      <c r="P124" s="12">
        <f>MAX(0,MIN(1,((Input!P124-Input!P$204)/(Input!P$205-Input!P$204))))</f>
        <v>0.20185714502857144</v>
      </c>
      <c r="Q124" s="12">
        <f>MAX(0,MIN(1,((Input!Q124-Input!Q$204)/(Input!Q$205-Input!Q$204))))</f>
        <v>0.20482857251428574</v>
      </c>
      <c r="R124" s="12">
        <f>MAX(0,MIN(1,((Input!R124-Input!R$204)/(Input!R$205-Input!R$204))))</f>
        <v>0.20780000000000001</v>
      </c>
      <c r="S124" s="12">
        <f>MAX(0,MIN(1,((Input!S124-Input!S$204)/(Input!S$205-Input!S$204))))</f>
        <v>0.20572200000000002</v>
      </c>
      <c r="T124" s="12">
        <f>MAX(0,MIN(1,((Input!T124-Input!T$204)/(Input!T$205-Input!T$204))))</f>
        <v>0.20364399999999999</v>
      </c>
      <c r="U124" s="12">
        <f>MAX(0,MIN(1,((Input!U124-Input!U$204)/(Input!U$205-Input!U$204))))</f>
        <v>0</v>
      </c>
      <c r="V124" s="26">
        <f>COUNT(Raw!E124:U124)</f>
        <v>8</v>
      </c>
      <c r="W124" s="27">
        <f t="shared" si="3"/>
        <v>17</v>
      </c>
      <c r="AA124">
        <v>0.20842251187532498</v>
      </c>
      <c r="AB124">
        <v>2011</v>
      </c>
      <c r="AC124">
        <v>17</v>
      </c>
    </row>
    <row r="125" spans="1:29" ht="13">
      <c r="A125" s="12"/>
      <c r="B125" s="12"/>
      <c r="C125" s="1" t="s">
        <v>205</v>
      </c>
      <c r="D125" s="1" t="s">
        <v>357</v>
      </c>
      <c r="E125" s="12">
        <f>MAX(0,MIN(1,((Input!E125-Input!E$204)/(Input!E$205-Input!E$204))))</f>
        <v>0.12100000380000001</v>
      </c>
      <c r="F125" s="12">
        <f>MAX(0,MIN(1,((Input!F125-Input!F$204)/(Input!F$205-Input!F$204))))</f>
        <v>0.12199999809999999</v>
      </c>
      <c r="G125" s="12">
        <f>MAX(0,MIN(1,((Input!G125-Input!G$204)/(Input!G$205-Input!G$204))))</f>
        <v>0.119466664</v>
      </c>
      <c r="H125" s="12">
        <f>MAX(0,MIN(1,((Input!H125-Input!H$204)/(Input!H$205-Input!H$204))))</f>
        <v>0.11693332989999999</v>
      </c>
      <c r="I125" s="12">
        <f>MAX(0,MIN(1,((Input!I125-Input!I$204)/(Input!I$205-Input!I$204))))</f>
        <v>0.1143999958</v>
      </c>
      <c r="J125" s="12">
        <f>MAX(0,MIN(1,((Input!J125-Input!J$204)/(Input!J$205-Input!J$204))))</f>
        <v>0.1143999958</v>
      </c>
      <c r="K125" s="12">
        <f>MAX(0,MIN(1,((Input!K125-Input!K$204)/(Input!K$205-Input!K$204))))</f>
        <v>0.1152199974</v>
      </c>
      <c r="L125" s="12">
        <f>MAX(0,MIN(1,((Input!L125-Input!L$204)/(Input!L$205-Input!L$204))))</f>
        <v>0.116039999</v>
      </c>
      <c r="M125" s="12">
        <f>MAX(0,MIN(1,((Input!M125-Input!M$204)/(Input!M$205-Input!M$204))))</f>
        <v>0.11686000060000001</v>
      </c>
      <c r="N125" s="12">
        <f>MAX(0,MIN(1,((Input!N125-Input!N$204)/(Input!N$205-Input!N$204))))</f>
        <v>0.11768000220000001</v>
      </c>
      <c r="O125" s="12">
        <f>MAX(0,MIN(1,((Input!O125-Input!O$204)/(Input!O$205-Input!O$204))))</f>
        <v>0.1185000038</v>
      </c>
      <c r="P125" s="12">
        <f>MAX(0,MIN(1,((Input!P125-Input!P$204)/(Input!P$205-Input!P$204))))</f>
        <v>0.11731500376200002</v>
      </c>
      <c r="Q125" s="12">
        <f>MAX(0,MIN(1,((Input!Q125-Input!Q$204)/(Input!Q$205-Input!Q$204))))</f>
        <v>0.11613000372400001</v>
      </c>
      <c r="R125" s="12">
        <f>MAX(0,MIN(1,((Input!R125-Input!R$204)/(Input!R$205-Input!R$204))))</f>
        <v>0.11494500368600001</v>
      </c>
      <c r="S125" s="12">
        <f>MAX(0,MIN(1,((Input!S125-Input!S$204)/(Input!S$205-Input!S$204))))</f>
        <v>0.113760003648</v>
      </c>
      <c r="T125" s="12">
        <f>MAX(0,MIN(1,((Input!T125-Input!T$204)/(Input!T$205-Input!T$204))))</f>
        <v>0.11257500361</v>
      </c>
      <c r="U125" s="12">
        <f>MAX(0,MIN(1,((Input!U125-Input!U$204)/(Input!U$205-Input!U$204))))</f>
        <v>0</v>
      </c>
      <c r="V125" s="26">
        <f>COUNT(Raw!E125:U125)</f>
        <v>5</v>
      </c>
      <c r="W125" s="27">
        <f t="shared" si="3"/>
        <v>17</v>
      </c>
      <c r="AA125">
        <v>0.11329871089870977</v>
      </c>
      <c r="AB125">
        <v>2011</v>
      </c>
      <c r="AC125">
        <v>17</v>
      </c>
    </row>
    <row r="126" spans="1:29" ht="13">
      <c r="A126" s="12"/>
      <c r="B126" s="12"/>
      <c r="C126" s="1" t="s">
        <v>30</v>
      </c>
      <c r="D126" s="1" t="s">
        <v>137</v>
      </c>
      <c r="E126" s="12">
        <f>MAX(0,MIN(1,((Input!E126-Input!E$204)/(Input!E$205-Input!E$204))))</f>
        <v>7.9000000949999996E-2</v>
      </c>
      <c r="F126" s="12">
        <f>MAX(0,MIN(1,((Input!F126-Input!F$204)/(Input!F$205-Input!F$204))))</f>
        <v>0.1139999962</v>
      </c>
      <c r="G126" s="12">
        <f>MAX(0,MIN(1,((Input!G126-Input!G$204)/(Input!G$205-Input!G$204))))</f>
        <v>0.13199999809999999</v>
      </c>
      <c r="H126" s="12">
        <f>MAX(0,MIN(1,((Input!H126-Input!H$204)/(Input!H$205-Input!H$204))))</f>
        <v>0.13500000000000001</v>
      </c>
      <c r="I126" s="12">
        <f>MAX(0,MIN(1,((Input!I126-Input!I$204)/(Input!I$205-Input!I$204))))</f>
        <v>0.13600000380000002</v>
      </c>
      <c r="J126" s="12">
        <f>MAX(0,MIN(1,((Input!J126-Input!J$204)/(Input!J$205-Input!J$204))))</f>
        <v>0.13333333650000001</v>
      </c>
      <c r="K126" s="12">
        <f>MAX(0,MIN(1,((Input!K126-Input!K$204)/(Input!K$205-Input!K$204))))</f>
        <v>0.1306666692</v>
      </c>
      <c r="L126" s="12">
        <f>MAX(0,MIN(1,((Input!L126-Input!L$204)/(Input!L$205-Input!L$204))))</f>
        <v>0.12800000189999999</v>
      </c>
      <c r="M126" s="12">
        <f>MAX(0,MIN(1,((Input!M126-Input!M$204)/(Input!M$205-Input!M$204))))</f>
        <v>0.12672000188099999</v>
      </c>
      <c r="N126" s="12">
        <f>MAX(0,MIN(1,((Input!N126-Input!N$204)/(Input!N$205-Input!N$204))))</f>
        <v>0.12544000186199999</v>
      </c>
      <c r="O126" s="12">
        <f>MAX(0,MIN(1,((Input!O126-Input!O$204)/(Input!O$205-Input!O$204))))</f>
        <v>0.124160001843</v>
      </c>
      <c r="P126" s="12">
        <f>MAX(0,MIN(1,((Input!P126-Input!P$204)/(Input!P$205-Input!P$204))))</f>
        <v>0.12288000182400001</v>
      </c>
      <c r="Q126" s="12">
        <f>MAX(0,MIN(1,((Input!Q126-Input!Q$204)/(Input!Q$205-Input!Q$204))))</f>
        <v>0.12160000180500001</v>
      </c>
      <c r="R126" s="12">
        <f>MAX(0,MIN(1,((Input!R126-Input!R$204)/(Input!R$205-Input!R$204))))</f>
        <v>0.12032000178600001</v>
      </c>
      <c r="S126" s="12">
        <f>MAX(0,MIN(1,((Input!S126-Input!S$204)/(Input!S$205-Input!S$204))))</f>
        <v>0.119040001767</v>
      </c>
      <c r="T126" s="12">
        <f>MAX(0,MIN(1,((Input!T126-Input!T$204)/(Input!T$205-Input!T$204))))</f>
        <v>0.117760001748</v>
      </c>
      <c r="U126" s="12">
        <f>MAX(0,MIN(1,((Input!U126-Input!U$204)/(Input!U$205-Input!U$204))))</f>
        <v>0</v>
      </c>
      <c r="V126" s="26">
        <f>COUNT(Raw!E126:U126)</f>
        <v>6</v>
      </c>
      <c r="W126" s="27">
        <f t="shared" si="3"/>
        <v>17</v>
      </c>
      <c r="AA126">
        <v>0.19397298090675805</v>
      </c>
      <c r="AB126">
        <v>2011</v>
      </c>
      <c r="AC126">
        <v>17</v>
      </c>
    </row>
    <row r="127" spans="1:29" ht="13">
      <c r="A127" s="12"/>
      <c r="B127" s="12"/>
      <c r="C127" s="1" t="s">
        <v>361</v>
      </c>
      <c r="D127" s="1" t="s">
        <v>337</v>
      </c>
      <c r="E127" s="12" t="e">
        <f>MAX(0,MIN(1,((Input!E127-Input!E$204)/(Input!E$205-Input!E$204))))</f>
        <v>#N/A</v>
      </c>
      <c r="F127" s="12" t="e">
        <f>MAX(0,MIN(1,((Input!F127-Input!F$204)/(Input!F$205-Input!F$204))))</f>
        <v>#N/A</v>
      </c>
      <c r="G127" s="12" t="e">
        <f>MAX(0,MIN(1,((Input!G127-Input!G$204)/(Input!G$205-Input!G$204))))</f>
        <v>#N/A</v>
      </c>
      <c r="H127" s="12" t="e">
        <f>MAX(0,MIN(1,((Input!H127-Input!H$204)/(Input!H$205-Input!H$204))))</f>
        <v>#N/A</v>
      </c>
      <c r="I127" s="12" t="e">
        <f>MAX(0,MIN(1,((Input!I127-Input!I$204)/(Input!I$205-Input!I$204))))</f>
        <v>#N/A</v>
      </c>
      <c r="J127" s="12" t="e">
        <f>MAX(0,MIN(1,((Input!J127-Input!J$204)/(Input!J$205-Input!J$204))))</f>
        <v>#N/A</v>
      </c>
      <c r="K127" s="12" t="e">
        <f>MAX(0,MIN(1,((Input!K127-Input!K$204)/(Input!K$205-Input!K$204))))</f>
        <v>#N/A</v>
      </c>
      <c r="L127" s="12" t="e">
        <f>MAX(0,MIN(1,((Input!L127-Input!L$204)/(Input!L$205-Input!L$204))))</f>
        <v>#N/A</v>
      </c>
      <c r="M127" s="12" t="e">
        <f>MAX(0,MIN(1,((Input!M127-Input!M$204)/(Input!M$205-Input!M$204))))</f>
        <v>#N/A</v>
      </c>
      <c r="N127" s="12" t="e">
        <f>MAX(0,MIN(1,((Input!N127-Input!N$204)/(Input!N$205-Input!N$204))))</f>
        <v>#N/A</v>
      </c>
      <c r="O127" s="12" t="e">
        <f>MAX(0,MIN(1,((Input!O127-Input!O$204)/(Input!O$205-Input!O$204))))</f>
        <v>#N/A</v>
      </c>
      <c r="P127" s="12" t="e">
        <f>MAX(0,MIN(1,((Input!P127-Input!P$204)/(Input!P$205-Input!P$204))))</f>
        <v>#N/A</v>
      </c>
      <c r="Q127" s="12" t="e">
        <f>MAX(0,MIN(1,((Input!Q127-Input!Q$204)/(Input!Q$205-Input!Q$204))))</f>
        <v>#N/A</v>
      </c>
      <c r="R127" s="12" t="e">
        <f>MAX(0,MIN(1,((Input!R127-Input!R$204)/(Input!R$205-Input!R$204))))</f>
        <v>#N/A</v>
      </c>
      <c r="S127" s="12" t="e">
        <f>MAX(0,MIN(1,((Input!S127-Input!S$204)/(Input!S$205-Input!S$204))))</f>
        <v>#N/A</v>
      </c>
      <c r="T127" s="12" t="e">
        <f>MAX(0,MIN(1,((Input!T127-Input!T$204)/(Input!T$205-Input!T$204))))</f>
        <v>#N/A</v>
      </c>
      <c r="U127" s="12">
        <f>MAX(0,MIN(1,((Input!U127-Input!U$204)/(Input!U$205-Input!U$204))))</f>
        <v>0</v>
      </c>
      <c r="V127" s="26">
        <f>COUNT(Raw!E127:U127)</f>
        <v>0</v>
      </c>
      <c r="W127" s="27">
        <f t="shared" si="3"/>
        <v>1</v>
      </c>
      <c r="AA127" t="e">
        <v>#N/A</v>
      </c>
      <c r="AC127">
        <v>0</v>
      </c>
    </row>
    <row r="128" spans="1:29" ht="13">
      <c r="A128" s="12"/>
      <c r="B128" s="12"/>
      <c r="C128" s="1" t="s">
        <v>212</v>
      </c>
      <c r="D128" s="1" t="s">
        <v>156</v>
      </c>
      <c r="E128" s="12">
        <f>MAX(0,MIN(1,((Input!E128-Input!E$204)/(Input!E$205-Input!E$204))))</f>
        <v>0.41400001529999997</v>
      </c>
      <c r="F128" s="12">
        <f>MAX(0,MIN(1,((Input!F128-Input!F$204)/(Input!F$205-Input!F$204))))</f>
        <v>0.41499999999999998</v>
      </c>
      <c r="G128" s="12">
        <f>MAX(0,MIN(1,((Input!G128-Input!G$204)/(Input!G$205-Input!G$204))))</f>
        <v>0.43271428789999999</v>
      </c>
      <c r="H128" s="12">
        <f>MAX(0,MIN(1,((Input!H128-Input!H$204)/(Input!H$205-Input!H$204))))</f>
        <v>0.45042857580000001</v>
      </c>
      <c r="I128" s="12">
        <f>MAX(0,MIN(1,((Input!I128-Input!I$204)/(Input!I$205-Input!I$204))))</f>
        <v>0.46814286369999997</v>
      </c>
      <c r="J128" s="12">
        <f>MAX(0,MIN(1,((Input!J128-Input!J$204)/(Input!J$205-Input!J$204))))</f>
        <v>0.48585715159999998</v>
      </c>
      <c r="K128" s="12">
        <f>MAX(0,MIN(1,((Input!K128-Input!K$204)/(Input!K$205-Input!K$204))))</f>
        <v>0.50357143950000005</v>
      </c>
      <c r="L128" s="12">
        <f>MAX(0,MIN(1,((Input!L128-Input!L$204)/(Input!L$205-Input!L$204))))</f>
        <v>0.52128572740000001</v>
      </c>
      <c r="M128" s="12">
        <f>MAX(0,MIN(1,((Input!M128-Input!M$204)/(Input!M$205-Input!M$204))))</f>
        <v>0.53900001529999997</v>
      </c>
      <c r="N128" s="12">
        <f>MAX(0,MIN(1,((Input!N128-Input!N$204)/(Input!N$205-Input!N$204))))</f>
        <v>0.55659999999999998</v>
      </c>
      <c r="O128" s="12">
        <f>MAX(0,MIN(1,((Input!O128-Input!O$204)/(Input!O$205-Input!O$204))))</f>
        <v>0.56069999999999998</v>
      </c>
      <c r="P128" s="12">
        <f>MAX(0,MIN(1,((Input!P128-Input!P$204)/(Input!P$205-Input!P$204))))</f>
        <v>0.5585</v>
      </c>
      <c r="Q128" s="12">
        <f>MAX(0,MIN(1,((Input!Q128-Input!Q$204)/(Input!Q$205-Input!Q$204))))</f>
        <v>0.55291500000000005</v>
      </c>
      <c r="R128" s="12">
        <f>MAX(0,MIN(1,((Input!R128-Input!R$204)/(Input!R$205-Input!R$204))))</f>
        <v>0.54733000000000009</v>
      </c>
      <c r="S128" s="12">
        <f>MAX(0,MIN(1,((Input!S128-Input!S$204)/(Input!S$205-Input!S$204))))</f>
        <v>0.54174500000000003</v>
      </c>
      <c r="T128" s="12">
        <f>MAX(0,MIN(1,((Input!T128-Input!T$204)/(Input!T$205-Input!T$204))))</f>
        <v>0.53615999999999997</v>
      </c>
      <c r="U128" s="12">
        <f>MAX(0,MIN(1,((Input!U128-Input!U$204)/(Input!U$205-Input!U$204))))</f>
        <v>0</v>
      </c>
      <c r="V128" s="26">
        <f>COUNT(Raw!E128:U128)</f>
        <v>6</v>
      </c>
      <c r="W128" s="27">
        <f t="shared" si="3"/>
        <v>17</v>
      </c>
      <c r="AA128">
        <v>0.64977488856476162</v>
      </c>
      <c r="AB128">
        <v>2011</v>
      </c>
      <c r="AC128">
        <v>17</v>
      </c>
    </row>
    <row r="129" spans="1:29" ht="13">
      <c r="A129" s="12"/>
      <c r="B129" s="12"/>
      <c r="C129" s="1" t="s">
        <v>270</v>
      </c>
      <c r="D129" s="1" t="s">
        <v>386</v>
      </c>
      <c r="E129" s="12">
        <f>MAX(0,MIN(1,((Input!E129-Input!E$204)/(Input!E$205-Input!E$204))))</f>
        <v>0.9</v>
      </c>
      <c r="F129" s="12">
        <f>MAX(0,MIN(1,((Input!F129-Input!F$204)/(Input!F$205-Input!F$204))))</f>
        <v>0.9</v>
      </c>
      <c r="G129" s="12">
        <f>MAX(0,MIN(1,((Input!G129-Input!G$204)/(Input!G$205-Input!G$204))))</f>
        <v>0.9</v>
      </c>
      <c r="H129" s="12">
        <f>MAX(0,MIN(1,((Input!H129-Input!H$204)/(Input!H$205-Input!H$204))))</f>
        <v>0.9</v>
      </c>
      <c r="I129" s="12">
        <f>MAX(0,MIN(1,((Input!I129-Input!I$204)/(Input!I$205-Input!I$204))))</f>
        <v>0.9</v>
      </c>
      <c r="J129" s="12">
        <f>MAX(0,MIN(1,((Input!J129-Input!J$204)/(Input!J$205-Input!J$204))))</f>
        <v>0.9</v>
      </c>
      <c r="K129" s="12">
        <f>MAX(0,MIN(1,((Input!K129-Input!K$204)/(Input!K$205-Input!K$204))))</f>
        <v>0.8909999999999999</v>
      </c>
      <c r="L129" s="12">
        <f>MAX(0,MIN(1,((Input!L129-Input!L$204)/(Input!L$205-Input!L$204))))</f>
        <v>0.88200000000000001</v>
      </c>
      <c r="M129" s="12">
        <f>MAX(0,MIN(1,((Input!M129-Input!M$204)/(Input!M$205-Input!M$204))))</f>
        <v>0.873</v>
      </c>
      <c r="N129" s="12">
        <f>MAX(0,MIN(1,((Input!N129-Input!N$204)/(Input!N$205-Input!N$204))))</f>
        <v>0.8640000000000001</v>
      </c>
      <c r="O129" s="12">
        <f>MAX(0,MIN(1,((Input!O129-Input!O$204)/(Input!O$205-Input!O$204))))</f>
        <v>0.85499999999999998</v>
      </c>
      <c r="P129" s="12">
        <f>MAX(0,MIN(1,((Input!P129-Input!P$204)/(Input!P$205-Input!P$204))))</f>
        <v>0.84599999999999997</v>
      </c>
      <c r="Q129" s="12">
        <f>MAX(0,MIN(1,((Input!Q129-Input!Q$204)/(Input!Q$205-Input!Q$204))))</f>
        <v>0.83700000000000008</v>
      </c>
      <c r="R129" s="12">
        <f>MAX(0,MIN(1,((Input!R129-Input!R$204)/(Input!R$205-Input!R$204))))</f>
        <v>0.82799999999999996</v>
      </c>
      <c r="S129" s="12">
        <f>MAX(0,MIN(1,((Input!S129-Input!S$204)/(Input!S$205-Input!S$204))))</f>
        <v>0.81900000000000006</v>
      </c>
      <c r="T129" s="12">
        <f>MAX(0,MIN(1,((Input!T129-Input!T$204)/(Input!T$205-Input!T$204))))</f>
        <v>0.81</v>
      </c>
      <c r="U129" s="12">
        <f>MAX(0,MIN(1,((Input!U129-Input!U$204)/(Input!U$205-Input!U$204))))</f>
        <v>0</v>
      </c>
      <c r="V129" s="26">
        <f>COUNT(Raw!E129:U129)</f>
        <v>6</v>
      </c>
      <c r="W129" s="27">
        <f t="shared" si="3"/>
        <v>17</v>
      </c>
      <c r="AA129">
        <v>0.9</v>
      </c>
      <c r="AB129">
        <v>2011</v>
      </c>
      <c r="AC129">
        <v>17</v>
      </c>
    </row>
    <row r="130" spans="1:29" ht="13">
      <c r="A130" s="12"/>
      <c r="B130" s="12"/>
      <c r="C130" s="1" t="s">
        <v>117</v>
      </c>
      <c r="D130" s="1" t="s">
        <v>220</v>
      </c>
      <c r="E130" s="12">
        <f>MAX(0,MIN(1,((Input!E130-Input!E$204)/(Input!E$205-Input!E$204))))</f>
        <v>0.60400001530000003</v>
      </c>
      <c r="F130" s="12">
        <f>MAX(0,MIN(1,((Input!F130-Input!F$204)/(Input!F$205-Input!F$204))))</f>
        <v>0.60799999240000002</v>
      </c>
      <c r="G130" s="12">
        <f>MAX(0,MIN(1,((Input!G130-Input!G$204)/(Input!G$205-Input!G$204))))</f>
        <v>0.61299999240000003</v>
      </c>
      <c r="H130" s="12">
        <f>MAX(0,MIN(1,((Input!H130-Input!H$204)/(Input!H$205-Input!H$204))))</f>
        <v>0.61299999240000003</v>
      </c>
      <c r="I130" s="12">
        <f>MAX(0,MIN(1,((Input!I130-Input!I$204)/(Input!I$205-Input!I$204))))</f>
        <v>0.61900001529999993</v>
      </c>
      <c r="J130" s="12">
        <f>MAX(0,MIN(1,((Input!J130-Input!J$204)/(Input!J$205-Input!J$204))))</f>
        <v>0.62799999239999993</v>
      </c>
      <c r="K130" s="12">
        <f>MAX(0,MIN(1,((Input!K130-Input!K$204)/(Input!K$205-Input!K$204))))</f>
        <v>0.63</v>
      </c>
      <c r="L130" s="12">
        <f>MAX(0,MIN(1,((Input!L130-Input!L$204)/(Input!L$205-Input!L$204))))</f>
        <v>0.64</v>
      </c>
      <c r="M130" s="12">
        <f>MAX(0,MIN(1,((Input!M130-Input!M$204)/(Input!M$205-Input!M$204))))</f>
        <v>0.64330001830000005</v>
      </c>
      <c r="N130" s="12">
        <f>MAX(0,MIN(1,((Input!N130-Input!N$204)/(Input!N$205-Input!N$204))))</f>
        <v>0.64500000000000002</v>
      </c>
      <c r="O130" s="12">
        <f>MAX(0,MIN(1,((Input!O130-Input!O$204)/(Input!O$205-Input!O$204))))</f>
        <v>0.64889999389999997</v>
      </c>
      <c r="P130" s="12">
        <f>MAX(0,MIN(1,((Input!P130-Input!P$204)/(Input!P$205-Input!P$204))))</f>
        <v>0.64957369929999997</v>
      </c>
      <c r="Q130" s="12">
        <f>MAX(0,MIN(1,((Input!Q130-Input!Q$204)/(Input!Q$205-Input!Q$204))))</f>
        <v>0.65406622010000004</v>
      </c>
      <c r="R130" s="12">
        <f>MAX(0,MIN(1,((Input!R130-Input!R$204)/(Input!R$205-Input!R$204))))</f>
        <v>0.65890000000000004</v>
      </c>
      <c r="S130" s="12">
        <f>MAX(0,MIN(1,((Input!S130-Input!S$204)/(Input!S$205-Input!S$204))))</f>
        <v>0.65231099999999997</v>
      </c>
      <c r="T130" s="12">
        <f>MAX(0,MIN(1,((Input!T130-Input!T$204)/(Input!T$205-Input!T$204))))</f>
        <v>0.64572199999999991</v>
      </c>
      <c r="U130" s="12">
        <f>MAX(0,MIN(1,((Input!U130-Input!U$204)/(Input!U$205-Input!U$204))))</f>
        <v>0</v>
      </c>
      <c r="V130" s="26">
        <f>COUNT(Raw!E130:U130)</f>
        <v>14</v>
      </c>
      <c r="W130" s="27">
        <f t="shared" si="3"/>
        <v>17</v>
      </c>
      <c r="AA130">
        <v>0.67396388733999968</v>
      </c>
      <c r="AB130">
        <v>2011</v>
      </c>
      <c r="AC130">
        <v>17</v>
      </c>
    </row>
    <row r="131" spans="1:29" ht="13">
      <c r="A131" s="12"/>
      <c r="B131" s="12"/>
      <c r="C131" s="1" t="s">
        <v>125</v>
      </c>
      <c r="D131" s="1" t="s">
        <v>3</v>
      </c>
      <c r="E131" s="12">
        <f>MAX(0,MIN(1,((Input!E131-Input!E$204)/(Input!E$205-Input!E$204))))</f>
        <v>0.1</v>
      </c>
      <c r="F131" s="12">
        <f>MAX(0,MIN(1,((Input!F131-Input!F$204)/(Input!F$205-Input!F$204))))</f>
        <v>0.10212000084</v>
      </c>
      <c r="G131" s="12">
        <f>MAX(0,MIN(1,((Input!G131-Input!G$204)/(Input!G$205-Input!G$204))))</f>
        <v>0.10424000167999999</v>
      </c>
      <c r="H131" s="12">
        <f>MAX(0,MIN(1,((Input!H131-Input!H$204)/(Input!H$205-Input!H$204))))</f>
        <v>0.10636000252000001</v>
      </c>
      <c r="I131" s="12">
        <f>MAX(0,MIN(1,((Input!I131-Input!I$204)/(Input!I$205-Input!I$204))))</f>
        <v>0.10848000336000001</v>
      </c>
      <c r="J131" s="12">
        <f>MAX(0,MIN(1,((Input!J131-Input!J$204)/(Input!J$205-Input!J$204))))</f>
        <v>0.11060000419999999</v>
      </c>
      <c r="K131" s="12">
        <f>MAX(0,MIN(1,((Input!K131-Input!K$204)/(Input!K$205-Input!K$204))))</f>
        <v>0.1135999966</v>
      </c>
      <c r="L131" s="12">
        <f>MAX(0,MIN(1,((Input!L131-Input!L$204)/(Input!L$205-Input!L$204))))</f>
        <v>0.1135999966</v>
      </c>
      <c r="M131" s="12">
        <f>MAX(0,MIN(1,((Input!M131-Input!M$204)/(Input!M$205-Input!M$204))))</f>
        <v>0.11487999728000001</v>
      </c>
      <c r="N131" s="12">
        <f>MAX(0,MIN(1,((Input!N131-Input!N$204)/(Input!N$205-Input!N$204))))</f>
        <v>0.11615999796000001</v>
      </c>
      <c r="O131" s="12">
        <f>MAX(0,MIN(1,((Input!O131-Input!O$204)/(Input!O$205-Input!O$204))))</f>
        <v>0.11743999863999999</v>
      </c>
      <c r="P131" s="12">
        <f>MAX(0,MIN(1,((Input!P131-Input!P$204)/(Input!P$205-Input!P$204))))</f>
        <v>0.11871999931999999</v>
      </c>
      <c r="Q131" s="12">
        <f>MAX(0,MIN(1,((Input!Q131-Input!Q$204)/(Input!Q$205-Input!Q$204))))</f>
        <v>0.12</v>
      </c>
      <c r="R131" s="12">
        <f>MAX(0,MIN(1,((Input!R131-Input!R$204)/(Input!R$205-Input!R$204))))</f>
        <v>0.1188</v>
      </c>
      <c r="S131" s="12">
        <f>MAX(0,MIN(1,((Input!S131-Input!S$204)/(Input!S$205-Input!S$204))))</f>
        <v>0.1176</v>
      </c>
      <c r="T131" s="12">
        <f>MAX(0,MIN(1,((Input!T131-Input!T$204)/(Input!T$205-Input!T$204))))</f>
        <v>0.1164</v>
      </c>
      <c r="U131" s="12">
        <f>MAX(0,MIN(1,((Input!U131-Input!U$204)/(Input!U$205-Input!U$204))))</f>
        <v>0</v>
      </c>
      <c r="V131" s="26">
        <f>COUNT(Raw!E131:U131)</f>
        <v>5</v>
      </c>
      <c r="W131" s="27">
        <f t="shared" si="3"/>
        <v>17</v>
      </c>
      <c r="AA131">
        <v>0.12818162007459422</v>
      </c>
      <c r="AB131">
        <v>2011</v>
      </c>
      <c r="AC131">
        <v>17</v>
      </c>
    </row>
    <row r="132" spans="1:29" ht="13">
      <c r="A132" s="12"/>
      <c r="B132" s="12"/>
      <c r="C132" s="1" t="s">
        <v>163</v>
      </c>
      <c r="D132" s="1" t="s">
        <v>300</v>
      </c>
      <c r="E132" s="12">
        <f>MAX(0,MIN(1,((Input!E132-Input!E$204)/(Input!E$205-Input!E$204))))</f>
        <v>0.24120399859</v>
      </c>
      <c r="F132" s="12">
        <f>MAX(0,MIN(1,((Input!F132-Input!F$204)/(Input!F$205-Input!F$204))))</f>
        <v>0.24376999857500001</v>
      </c>
      <c r="G132" s="12">
        <f>MAX(0,MIN(1,((Input!G132-Input!G$204)/(Input!G$205-Input!G$204))))</f>
        <v>0.24633599855999999</v>
      </c>
      <c r="H132" s="12">
        <f>MAX(0,MIN(1,((Input!H132-Input!H$204)/(Input!H$205-Input!H$204))))</f>
        <v>0.24890199854499998</v>
      </c>
      <c r="I132" s="12">
        <f>MAX(0,MIN(1,((Input!I132-Input!I$204)/(Input!I$205-Input!I$204))))</f>
        <v>0.25146799852999996</v>
      </c>
      <c r="J132" s="12">
        <f>MAX(0,MIN(1,((Input!J132-Input!J$204)/(Input!J$205-Input!J$204))))</f>
        <v>0.25403399851499997</v>
      </c>
      <c r="K132" s="12">
        <f>MAX(0,MIN(1,((Input!K132-Input!K$204)/(Input!K$205-Input!K$204))))</f>
        <v>0.25659999849999998</v>
      </c>
      <c r="L132" s="12">
        <f>MAX(0,MIN(1,((Input!L132-Input!L$204)/(Input!L$205-Input!L$204))))</f>
        <v>0.25659999849999998</v>
      </c>
      <c r="M132" s="12">
        <f>MAX(0,MIN(1,((Input!M132-Input!M$204)/(Input!M$205-Input!M$204))))</f>
        <v>0.24950000760000002</v>
      </c>
      <c r="N132" s="12">
        <f>MAX(0,MIN(1,((Input!N132-Input!N$204)/(Input!N$205-Input!N$204))))</f>
        <v>0.20450000760000001</v>
      </c>
      <c r="O132" s="12">
        <f>MAX(0,MIN(1,((Input!O132-Input!O$204)/(Input!O$205-Input!O$204))))</f>
        <v>0.20610000610000001</v>
      </c>
      <c r="P132" s="12">
        <f>MAX(0,MIN(1,((Input!P132-Input!P$204)/(Input!P$205-Input!P$204))))</f>
        <v>0.20499999999999999</v>
      </c>
      <c r="Q132" s="12">
        <f>MAX(0,MIN(1,((Input!Q132-Input!Q$204)/(Input!Q$205-Input!Q$204))))</f>
        <v>0.20649999999999999</v>
      </c>
      <c r="R132" s="12">
        <f>MAX(0,MIN(1,((Input!R132-Input!R$204)/(Input!R$205-Input!R$204))))</f>
        <v>0.20649999999999999</v>
      </c>
      <c r="S132" s="12">
        <f>MAX(0,MIN(1,((Input!S132-Input!S$204)/(Input!S$205-Input!S$204))))</f>
        <v>0.20443500000000001</v>
      </c>
      <c r="T132" s="12">
        <f>MAX(0,MIN(1,((Input!T132-Input!T$204)/(Input!T$205-Input!T$204))))</f>
        <v>0.20236999999999999</v>
      </c>
      <c r="U132" s="12">
        <f>MAX(0,MIN(1,((Input!U132-Input!U$204)/(Input!U$205-Input!U$204))))</f>
        <v>0</v>
      </c>
      <c r="V132" s="26">
        <f>COUNT(Raw!E132:U132)</f>
        <v>8</v>
      </c>
      <c r="W132" s="27">
        <f t="shared" si="3"/>
        <v>17</v>
      </c>
      <c r="AA132">
        <v>0.16718452560952529</v>
      </c>
      <c r="AB132">
        <v>2011</v>
      </c>
      <c r="AC132">
        <v>17</v>
      </c>
    </row>
    <row r="133" spans="1:29" ht="13">
      <c r="A133" s="12"/>
      <c r="B133" s="12"/>
      <c r="C133" s="1" t="s">
        <v>91</v>
      </c>
      <c r="D133" s="1" t="s">
        <v>51</v>
      </c>
      <c r="E133" s="12">
        <f>MAX(0,MIN(1,((Input!E133-Input!E$204)/(Input!E$205-Input!E$204))))</f>
        <v>0.13650000000000001</v>
      </c>
      <c r="F133" s="12">
        <f>MAX(0,MIN(1,((Input!F133-Input!F$204)/(Input!F$205-Input!F$204))))</f>
        <v>0.13800000000000001</v>
      </c>
      <c r="G133" s="12">
        <f>MAX(0,MIN(1,((Input!G133-Input!G$204)/(Input!G$205-Input!G$204))))</f>
        <v>0.13949999999999999</v>
      </c>
      <c r="H133" s="12">
        <f>MAX(0,MIN(1,((Input!H133-Input!H$204)/(Input!H$205-Input!H$204))))</f>
        <v>0.14099999999999999</v>
      </c>
      <c r="I133" s="12">
        <f>MAX(0,MIN(1,((Input!I133-Input!I$204)/(Input!I$205-Input!I$204))))</f>
        <v>0.14249999999999999</v>
      </c>
      <c r="J133" s="12">
        <f>MAX(0,MIN(1,((Input!J133-Input!J$204)/(Input!J$205-Input!J$204))))</f>
        <v>0.14400000000000002</v>
      </c>
      <c r="K133" s="12">
        <f>MAX(0,MIN(1,((Input!K133-Input!K$204)/(Input!K$205-Input!K$204))))</f>
        <v>0.14550000000000002</v>
      </c>
      <c r="L133" s="12">
        <f>MAX(0,MIN(1,((Input!L133-Input!L$204)/(Input!L$205-Input!L$204))))</f>
        <v>0.14699999999999999</v>
      </c>
      <c r="M133" s="12">
        <f>MAX(0,MIN(1,((Input!M133-Input!M$204)/(Input!M$205-Input!M$204))))</f>
        <v>0.14849999999999999</v>
      </c>
      <c r="N133" s="12">
        <f>MAX(0,MIN(1,((Input!N133-Input!N$204)/(Input!N$205-Input!N$204))))</f>
        <v>0.15</v>
      </c>
      <c r="O133" s="12">
        <f>MAX(0,MIN(1,((Input!O133-Input!O$204)/(Input!O$205-Input!O$204))))</f>
        <v>0.14849999999999999</v>
      </c>
      <c r="P133" s="12">
        <f>MAX(0,MIN(1,((Input!P133-Input!P$204)/(Input!P$205-Input!P$204))))</f>
        <v>0.14699999999999999</v>
      </c>
      <c r="Q133" s="12">
        <f>MAX(0,MIN(1,((Input!Q133-Input!Q$204)/(Input!Q$205-Input!Q$204))))</f>
        <v>0.14550000000000002</v>
      </c>
      <c r="R133" s="12">
        <f>MAX(0,MIN(1,((Input!R133-Input!R$204)/(Input!R$205-Input!R$204))))</f>
        <v>0.14400000000000002</v>
      </c>
      <c r="S133" s="12">
        <f>MAX(0,MIN(1,((Input!S133-Input!S$204)/(Input!S$205-Input!S$204))))</f>
        <v>0.14249999999999999</v>
      </c>
      <c r="T133" s="12">
        <f>MAX(0,MIN(1,((Input!T133-Input!T$204)/(Input!T$205-Input!T$204))))</f>
        <v>0.14099999999999999</v>
      </c>
      <c r="U133" s="12">
        <f>MAX(0,MIN(1,((Input!U133-Input!U$204)/(Input!U$205-Input!U$204))))</f>
        <v>0</v>
      </c>
      <c r="V133" s="26">
        <f>COUNT(Raw!E133:U133)</f>
        <v>1</v>
      </c>
      <c r="W133" s="27">
        <f t="shared" si="3"/>
        <v>17</v>
      </c>
      <c r="AA133">
        <v>0.11849999999999909</v>
      </c>
      <c r="AB133">
        <v>2011</v>
      </c>
      <c r="AC133">
        <v>17</v>
      </c>
    </row>
    <row r="134" spans="1:29" ht="13">
      <c r="A134" s="12"/>
      <c r="B134" s="12"/>
      <c r="C134" s="1" t="s">
        <v>181</v>
      </c>
      <c r="D134" s="1" t="s">
        <v>123</v>
      </c>
      <c r="E134" s="12">
        <f>MAX(0,MIN(1,((Input!E134-Input!E$204)/(Input!E$205-Input!E$204))))</f>
        <v>0.73499999999999999</v>
      </c>
      <c r="F134" s="12">
        <f>MAX(0,MIN(1,((Input!F134-Input!F$204)/(Input!F$205-Input!F$204))))</f>
        <v>0.72</v>
      </c>
      <c r="G134" s="12">
        <f>MAX(0,MIN(1,((Input!G134-Input!G$204)/(Input!G$205-Input!G$204))))</f>
        <v>0.74</v>
      </c>
      <c r="H134" s="12">
        <f>MAX(0,MIN(1,((Input!H134-Input!H$204)/(Input!H$205-Input!H$204))))</f>
        <v>0.745</v>
      </c>
      <c r="I134" s="12">
        <f>MAX(0,MIN(1,((Input!I134-Input!I$204)/(Input!I$205-Input!I$204))))</f>
        <v>0.755</v>
      </c>
      <c r="J134" s="12">
        <f>MAX(0,MIN(1,((Input!J134-Input!J$204)/(Input!J$205-Input!J$204))))</f>
        <v>0.76</v>
      </c>
      <c r="K134" s="12">
        <f>MAX(0,MIN(1,((Input!K134-Input!K$204)/(Input!K$205-Input!K$204))))</f>
        <v>0.77</v>
      </c>
      <c r="L134" s="12">
        <f>MAX(0,MIN(1,((Input!L134-Input!L$204)/(Input!L$205-Input!L$204))))</f>
        <v>0.77500000000000002</v>
      </c>
      <c r="M134" s="12">
        <f>MAX(0,MIN(1,((Input!M134-Input!M$204)/(Input!M$205-Input!M$204))))</f>
        <v>0.78022761514999994</v>
      </c>
      <c r="N134" s="12">
        <f>MAX(0,MIN(1,((Input!N134-Input!N$204)/(Input!N$205-Input!N$204))))</f>
        <v>0.78545523029999997</v>
      </c>
      <c r="O134" s="12">
        <f>MAX(0,MIN(1,((Input!O134-Input!O$204)/(Input!O$205-Input!O$204))))</f>
        <v>0.79068284545</v>
      </c>
      <c r="P134" s="12">
        <f>MAX(0,MIN(1,((Input!P134-Input!P$204)/(Input!P$205-Input!P$204))))</f>
        <v>0.79591046059999992</v>
      </c>
      <c r="Q134" s="12">
        <f>MAX(0,MIN(1,((Input!Q134-Input!Q$204)/(Input!Q$205-Input!Q$204))))</f>
        <v>0.80449999999999999</v>
      </c>
      <c r="R134" s="12">
        <f>MAX(0,MIN(1,((Input!R134-Input!R$204)/(Input!R$205-Input!R$204))))</f>
        <v>0.79645500000000002</v>
      </c>
      <c r="S134" s="12">
        <f>MAX(0,MIN(1,((Input!S134-Input!S$204)/(Input!S$205-Input!S$204))))</f>
        <v>0.78841000000000006</v>
      </c>
      <c r="T134" s="12">
        <f>MAX(0,MIN(1,((Input!T134-Input!T$204)/(Input!T$205-Input!T$204))))</f>
        <v>0.78036500000000009</v>
      </c>
      <c r="U134" s="12">
        <f>MAX(0,MIN(1,((Input!U134-Input!U$204)/(Input!U$205-Input!U$204))))</f>
        <v>0</v>
      </c>
      <c r="V134" s="26">
        <f>COUNT(Raw!E134:U134)</f>
        <v>10</v>
      </c>
      <c r="W134" s="27">
        <f t="shared" ref="W134:W165" si="4">COUNT(E134:U134)</f>
        <v>17</v>
      </c>
      <c r="AA134">
        <v>0.83127256242429437</v>
      </c>
      <c r="AB134">
        <v>2011</v>
      </c>
      <c r="AC134">
        <v>17</v>
      </c>
    </row>
    <row r="135" spans="1:29" ht="13">
      <c r="A135" s="12"/>
      <c r="B135" s="12"/>
      <c r="C135" s="1" t="s">
        <v>329</v>
      </c>
      <c r="D135" s="1" t="s">
        <v>295</v>
      </c>
      <c r="E135" s="12">
        <f>MAX(0,MIN(1,((Input!E135-Input!E$204)/(Input!E$205-Input!E$204))))</f>
        <v>0.20399999619999998</v>
      </c>
      <c r="F135" s="12">
        <f>MAX(0,MIN(1,((Input!F135-Input!F$204)/(Input!F$205-Input!F$204))))</f>
        <v>0.3</v>
      </c>
      <c r="G135" s="12">
        <f>MAX(0,MIN(1,((Input!G135-Input!G$204)/(Input!G$205-Input!G$204))))</f>
        <v>0.3</v>
      </c>
      <c r="H135" s="12">
        <f>MAX(0,MIN(1,((Input!H135-Input!H$204)/(Input!H$205-Input!H$204))))</f>
        <v>0.3</v>
      </c>
      <c r="I135" s="12">
        <f>MAX(0,MIN(1,((Input!I135-Input!I$204)/(Input!I$205-Input!I$204))))</f>
        <v>0.3</v>
      </c>
      <c r="J135" s="12">
        <f>MAX(0,MIN(1,((Input!J135-Input!J$204)/(Input!J$205-Input!J$204))))</f>
        <v>0.3</v>
      </c>
      <c r="K135" s="12">
        <f>MAX(0,MIN(1,((Input!K135-Input!K$204)/(Input!K$205-Input!K$204))))</f>
        <v>0.2765999985</v>
      </c>
      <c r="L135" s="12">
        <f>MAX(0,MIN(1,((Input!L135-Input!L$204)/(Input!L$205-Input!L$204))))</f>
        <v>0.304375697</v>
      </c>
      <c r="M135" s="12">
        <f>MAX(0,MIN(1,((Input!M135-Input!M$204)/(Input!M$205-Input!M$204))))</f>
        <v>0.33215139550000006</v>
      </c>
      <c r="N135" s="12">
        <f>MAX(0,MIN(1,((Input!N135-Input!N$204)/(Input!N$205-Input!N$204))))</f>
        <v>0.36707495569999998</v>
      </c>
      <c r="O135" s="12">
        <f>MAX(0,MIN(1,((Input!O135-Input!O$204)/(Input!O$205-Input!O$204))))</f>
        <v>0.39656244559999998</v>
      </c>
      <c r="P135" s="12">
        <f>MAX(0,MIN(1,((Input!P135-Input!P$204)/(Input!P$205-Input!P$204))))</f>
        <v>0.42112215980000001</v>
      </c>
      <c r="Q135" s="12">
        <f>MAX(0,MIN(1,((Input!Q135-Input!Q$204)/(Input!Q$205-Input!Q$204))))</f>
        <v>0.41250971890000004</v>
      </c>
      <c r="R135" s="12">
        <f>MAX(0,MIN(1,((Input!R135-Input!R$204)/(Input!R$205-Input!R$204))))</f>
        <v>0.43459999999999999</v>
      </c>
      <c r="S135" s="12">
        <f>MAX(0,MIN(1,((Input!S135-Input!S$204)/(Input!S$205-Input!S$204))))</f>
        <v>0.43025400000000003</v>
      </c>
      <c r="T135" s="12">
        <f>MAX(0,MIN(1,((Input!T135-Input!T$204)/(Input!T$205-Input!T$204))))</f>
        <v>0.42590800000000001</v>
      </c>
      <c r="U135" s="12">
        <f>MAX(0,MIN(1,((Input!U135-Input!U$204)/(Input!U$205-Input!U$204))))</f>
        <v>0</v>
      </c>
      <c r="V135" s="26">
        <f>COUNT(Raw!E135:U135)</f>
        <v>13</v>
      </c>
      <c r="W135" s="27">
        <f t="shared" si="4"/>
        <v>17</v>
      </c>
      <c r="AA135">
        <v>0.47043523673689835</v>
      </c>
      <c r="AB135">
        <v>2011</v>
      </c>
      <c r="AC135">
        <v>17</v>
      </c>
    </row>
    <row r="136" spans="1:29" ht="13">
      <c r="A136" s="12"/>
      <c r="B136" s="12"/>
      <c r="C136" s="1" t="s">
        <v>99</v>
      </c>
      <c r="D136" s="1" t="s">
        <v>239</v>
      </c>
      <c r="E136" s="12">
        <f>MAX(0,MIN(1,((Input!E136-Input!E$204)/(Input!E$205-Input!E$204))))</f>
        <v>0.45</v>
      </c>
      <c r="F136" s="12">
        <f>MAX(0,MIN(1,((Input!F136-Input!F$204)/(Input!F$205-Input!F$204))))</f>
        <v>0.44</v>
      </c>
      <c r="G136" s="12">
        <f>MAX(0,MIN(1,((Input!G136-Input!G$204)/(Input!G$205-Input!G$204))))</f>
        <v>0.44</v>
      </c>
      <c r="H136" s="12">
        <f>MAX(0,MIN(1,((Input!H136-Input!H$204)/(Input!H$205-Input!H$204))))</f>
        <v>0.53</v>
      </c>
      <c r="I136" s="12">
        <f>MAX(0,MIN(1,((Input!I136-Input!I$204)/(Input!I$205-Input!I$204))))</f>
        <v>0.55000000000000004</v>
      </c>
      <c r="J136" s="12">
        <f>MAX(0,MIN(1,((Input!J136-Input!J$204)/(Input!J$205-Input!J$204))))</f>
        <v>0.56000000000000005</v>
      </c>
      <c r="K136" s="12">
        <f>MAX(0,MIN(1,((Input!K136-Input!K$204)/(Input!K$205-Input!K$204))))</f>
        <v>0.59</v>
      </c>
      <c r="L136" s="12">
        <f>MAX(0,MIN(1,((Input!L136-Input!L$204)/(Input!L$205-Input!L$204))))</f>
        <v>0.59499999999999997</v>
      </c>
      <c r="M136" s="12">
        <f>MAX(0,MIN(1,((Input!M136-Input!M$204)/(Input!M$205-Input!M$204))))</f>
        <v>0.6</v>
      </c>
      <c r="N136" s="12">
        <f>MAX(0,MIN(1,((Input!N136-Input!N$204)/(Input!N$205-Input!N$204))))</f>
        <v>0.64699996949999994</v>
      </c>
      <c r="O136" s="12">
        <f>MAX(0,MIN(1,((Input!O136-Input!O$204)/(Input!O$205-Input!O$204))))</f>
        <v>0.65030090335000001</v>
      </c>
      <c r="P136" s="12">
        <f>MAX(0,MIN(1,((Input!P136-Input!P$204)/(Input!P$205-Input!P$204))))</f>
        <v>0.65360183719999998</v>
      </c>
      <c r="Q136" s="12">
        <f>MAX(0,MIN(1,((Input!Q136-Input!Q$204)/(Input!Q$205-Input!Q$204))))</f>
        <v>0.64706581882799996</v>
      </c>
      <c r="R136" s="12">
        <f>MAX(0,MIN(1,((Input!R136-Input!R$204)/(Input!R$205-Input!R$204))))</f>
        <v>0.64052980045599994</v>
      </c>
      <c r="S136" s="12">
        <f>MAX(0,MIN(1,((Input!S136-Input!S$204)/(Input!S$205-Input!S$204))))</f>
        <v>0.63399378208399992</v>
      </c>
      <c r="T136" s="12">
        <f>MAX(0,MIN(1,((Input!T136-Input!T$204)/(Input!T$205-Input!T$204))))</f>
        <v>0.62745776371199991</v>
      </c>
      <c r="U136" s="12">
        <f>MAX(0,MIN(1,((Input!U136-Input!U$204)/(Input!U$205-Input!U$204))))</f>
        <v>0</v>
      </c>
      <c r="V136" s="26">
        <f>COUNT(Raw!E136:U136)</f>
        <v>10</v>
      </c>
      <c r="W136" s="27">
        <f t="shared" si="4"/>
        <v>17</v>
      </c>
      <c r="AA136">
        <v>0.78398104473121744</v>
      </c>
      <c r="AB136">
        <v>2011</v>
      </c>
      <c r="AC136">
        <v>17</v>
      </c>
    </row>
    <row r="137" spans="1:29" ht="13">
      <c r="A137" s="12"/>
      <c r="B137" s="12"/>
      <c r="C137" s="1" t="s">
        <v>72</v>
      </c>
      <c r="D137" s="1" t="s">
        <v>374</v>
      </c>
      <c r="E137" s="12" t="e">
        <f>MAX(0,MIN(1,((Input!E137-Input!E$204)/(Input!E$205-Input!E$204))))</f>
        <v>#N/A</v>
      </c>
      <c r="F137" s="12" t="e">
        <f>MAX(0,MIN(1,((Input!F137-Input!F$204)/(Input!F$205-Input!F$204))))</f>
        <v>#N/A</v>
      </c>
      <c r="G137" s="12" t="e">
        <f>MAX(0,MIN(1,((Input!G137-Input!G$204)/(Input!G$205-Input!G$204))))</f>
        <v>#N/A</v>
      </c>
      <c r="H137" s="12" t="e">
        <f>MAX(0,MIN(1,((Input!H137-Input!H$204)/(Input!H$205-Input!H$204))))</f>
        <v>#N/A</v>
      </c>
      <c r="I137" s="12" t="e">
        <f>MAX(0,MIN(1,((Input!I137-Input!I$204)/(Input!I$205-Input!I$204))))</f>
        <v>#N/A</v>
      </c>
      <c r="J137" s="12" t="e">
        <f>MAX(0,MIN(1,((Input!J137-Input!J$204)/(Input!J$205-Input!J$204))))</f>
        <v>#N/A</v>
      </c>
      <c r="K137" s="12" t="e">
        <f>MAX(0,MIN(1,((Input!K137-Input!K$204)/(Input!K$205-Input!K$204))))</f>
        <v>#N/A</v>
      </c>
      <c r="L137" s="12" t="e">
        <f>MAX(0,MIN(1,((Input!L137-Input!L$204)/(Input!L$205-Input!L$204))))</f>
        <v>#N/A</v>
      </c>
      <c r="M137" s="12" t="e">
        <f>MAX(0,MIN(1,((Input!M137-Input!M$204)/(Input!M$205-Input!M$204))))</f>
        <v>#N/A</v>
      </c>
      <c r="N137" s="12" t="e">
        <f>MAX(0,MIN(1,((Input!N137-Input!N$204)/(Input!N$205-Input!N$204))))</f>
        <v>#N/A</v>
      </c>
      <c r="O137" s="12" t="e">
        <f>MAX(0,MIN(1,((Input!O137-Input!O$204)/(Input!O$205-Input!O$204))))</f>
        <v>#N/A</v>
      </c>
      <c r="P137" s="12" t="e">
        <f>MAX(0,MIN(1,((Input!P137-Input!P$204)/(Input!P$205-Input!P$204))))</f>
        <v>#N/A</v>
      </c>
      <c r="Q137" s="12" t="e">
        <f>MAX(0,MIN(1,((Input!Q137-Input!Q$204)/(Input!Q$205-Input!Q$204))))</f>
        <v>#N/A</v>
      </c>
      <c r="R137" s="12" t="e">
        <f>MAX(0,MIN(1,((Input!R137-Input!R$204)/(Input!R$205-Input!R$204))))</f>
        <v>#N/A</v>
      </c>
      <c r="S137" s="12" t="e">
        <f>MAX(0,MIN(1,((Input!S137-Input!S$204)/(Input!S$205-Input!S$204))))</f>
        <v>#N/A</v>
      </c>
      <c r="T137" s="12" t="e">
        <f>MAX(0,MIN(1,((Input!T137-Input!T$204)/(Input!T$205-Input!T$204))))</f>
        <v>#N/A</v>
      </c>
      <c r="U137" s="12">
        <f>MAX(0,MIN(1,((Input!U137-Input!U$204)/(Input!U$205-Input!U$204))))</f>
        <v>0</v>
      </c>
      <c r="V137" s="26">
        <f>COUNT(Raw!E137:U137)</f>
        <v>0</v>
      </c>
      <c r="W137" s="27">
        <f t="shared" si="4"/>
        <v>1</v>
      </c>
      <c r="AA137" t="e">
        <v>#N/A</v>
      </c>
      <c r="AC137">
        <v>0</v>
      </c>
    </row>
    <row r="138" spans="1:29" ht="13">
      <c r="A138" s="12"/>
      <c r="B138" s="12"/>
      <c r="C138" s="1" t="s">
        <v>94</v>
      </c>
      <c r="D138" s="1" t="s">
        <v>187</v>
      </c>
      <c r="E138" s="12">
        <f>MAX(0,MIN(1,((Input!E138-Input!E$204)/(Input!E$205-Input!E$204))))</f>
        <v>0.33500000000000002</v>
      </c>
      <c r="F138" s="12">
        <f>MAX(0,MIN(1,((Input!F138-Input!F$204)/(Input!F$205-Input!F$204))))</f>
        <v>0.33599998470000003</v>
      </c>
      <c r="G138" s="12">
        <f>MAX(0,MIN(1,((Input!G138-Input!G$204)/(Input!G$205-Input!G$204))))</f>
        <v>0.2939999962</v>
      </c>
      <c r="H138" s="12">
        <f>MAX(0,MIN(1,((Input!H138-Input!H$204)/(Input!H$205-Input!H$204))))</f>
        <v>0.28100000380000001</v>
      </c>
      <c r="I138" s="12">
        <f>MAX(0,MIN(1,((Input!I138-Input!I$204)/(Input!I$205-Input!I$204))))</f>
        <v>0.34599998470000004</v>
      </c>
      <c r="J138" s="12">
        <f>MAX(0,MIN(1,((Input!J138-Input!J$204)/(Input!J$205-Input!J$204))))</f>
        <v>0.34599998470000004</v>
      </c>
      <c r="K138" s="12">
        <f>MAX(0,MIN(1,((Input!K138-Input!K$204)/(Input!K$205-Input!K$204))))</f>
        <v>0.34599998470000004</v>
      </c>
      <c r="L138" s="12">
        <f>MAX(0,MIN(1,((Input!L138-Input!L$204)/(Input!L$205-Input!L$204))))</f>
        <v>0.34504525669999997</v>
      </c>
      <c r="M138" s="12">
        <f>MAX(0,MIN(1,((Input!M138-Input!M$204)/(Input!M$205-Input!M$204))))</f>
        <v>0.34409052870000001</v>
      </c>
      <c r="N138" s="12">
        <f>MAX(0,MIN(1,((Input!N138-Input!N$204)/(Input!N$205-Input!N$204))))</f>
        <v>0.34313580069999999</v>
      </c>
      <c r="O138" s="12">
        <f>MAX(0,MIN(1,((Input!O138-Input!O$204)/(Input!O$205-Input!O$204))))</f>
        <v>0.34218107270000003</v>
      </c>
      <c r="P138" s="12">
        <f>MAX(0,MIN(1,((Input!P138-Input!P$204)/(Input!P$205-Input!P$204))))</f>
        <v>0.34122634470000002</v>
      </c>
      <c r="Q138" s="12">
        <f>MAX(0,MIN(1,((Input!Q138-Input!Q$204)/(Input!Q$205-Input!Q$204))))</f>
        <v>0.36649999999999999</v>
      </c>
      <c r="R138" s="12">
        <f>MAX(0,MIN(1,((Input!R138-Input!R$204)/(Input!R$205-Input!R$204))))</f>
        <v>0.38140000000000002</v>
      </c>
      <c r="S138" s="12">
        <f>MAX(0,MIN(1,((Input!S138-Input!S$204)/(Input!S$205-Input!S$204))))</f>
        <v>0.37758600000000003</v>
      </c>
      <c r="T138" s="12">
        <f>MAX(0,MIN(1,((Input!T138-Input!T$204)/(Input!T$205-Input!T$204))))</f>
        <v>0.37377199999999999</v>
      </c>
      <c r="U138" s="12">
        <f>MAX(0,MIN(1,((Input!U138-Input!U$204)/(Input!U$205-Input!U$204))))</f>
        <v>0</v>
      </c>
      <c r="V138" s="26">
        <f>COUNT(Raw!E138:U138)</f>
        <v>10</v>
      </c>
      <c r="W138" s="27">
        <f t="shared" si="4"/>
        <v>17</v>
      </c>
      <c r="AA138">
        <v>0.38054430385187288</v>
      </c>
      <c r="AB138">
        <v>2011</v>
      </c>
      <c r="AC138">
        <v>17</v>
      </c>
    </row>
    <row r="139" spans="1:29" ht="13">
      <c r="A139" s="12"/>
      <c r="B139" s="12"/>
      <c r="C139" s="1" t="s">
        <v>289</v>
      </c>
      <c r="D139" s="1" t="s">
        <v>38</v>
      </c>
      <c r="E139" s="12">
        <f>MAX(0,MIN(1,((Input!E139-Input!E$204)/(Input!E$205-Input!E$204))))</f>
        <v>3.4000000950000005E-2</v>
      </c>
      <c r="F139" s="12">
        <f>MAX(0,MIN(1,((Input!F139-Input!F$204)/(Input!F$205-Input!F$204))))</f>
        <v>3.5000000000000003E-2</v>
      </c>
      <c r="G139" s="12">
        <f>MAX(0,MIN(1,((Input!G139-Input!G$204)/(Input!G$205-Input!G$204))))</f>
        <v>3.5000000000000003E-2</v>
      </c>
      <c r="H139" s="12">
        <f>MAX(0,MIN(1,((Input!H139-Input!H$204)/(Input!H$205-Input!H$204))))</f>
        <v>3.5000000000000003E-2</v>
      </c>
      <c r="I139" s="12">
        <f>MAX(0,MIN(1,((Input!I139-Input!I$204)/(Input!I$205-Input!I$204))))</f>
        <v>3.5000000000000003E-2</v>
      </c>
      <c r="J139" s="12">
        <f>MAX(0,MIN(1,((Input!J139-Input!J$204)/(Input!J$205-Input!J$204))))</f>
        <v>3.5000000000000003E-2</v>
      </c>
      <c r="K139" s="12">
        <f>MAX(0,MIN(1,((Input!K139-Input!K$204)/(Input!K$205-Input!K$204))))</f>
        <v>3.5000000000000003E-2</v>
      </c>
      <c r="L139" s="12">
        <f>MAX(0,MIN(1,((Input!L139-Input!L$204)/(Input!L$205-Input!L$204))))</f>
        <v>3.465E-2</v>
      </c>
      <c r="M139" s="12">
        <f>MAX(0,MIN(1,((Input!M139-Input!M$204)/(Input!M$205-Input!M$204))))</f>
        <v>3.4300000000000004E-2</v>
      </c>
      <c r="N139" s="12">
        <f>MAX(0,MIN(1,((Input!N139-Input!N$204)/(Input!N$205-Input!N$204))))</f>
        <v>3.3950000000000001E-2</v>
      </c>
      <c r="O139" s="12">
        <f>MAX(0,MIN(1,((Input!O139-Input!O$204)/(Input!O$205-Input!O$204))))</f>
        <v>3.3599999999999998E-2</v>
      </c>
      <c r="P139" s="12">
        <f>MAX(0,MIN(1,((Input!P139-Input!P$204)/(Input!P$205-Input!P$204))))</f>
        <v>3.3250000000000002E-2</v>
      </c>
      <c r="Q139" s="12">
        <f>MAX(0,MIN(1,((Input!Q139-Input!Q$204)/(Input!Q$205-Input!Q$204))))</f>
        <v>3.2899999999999999E-2</v>
      </c>
      <c r="R139" s="12">
        <f>MAX(0,MIN(1,((Input!R139-Input!R$204)/(Input!R$205-Input!R$204))))</f>
        <v>3.2549999999999996E-2</v>
      </c>
      <c r="S139" s="12">
        <f>MAX(0,MIN(1,((Input!S139-Input!S$204)/(Input!S$205-Input!S$204))))</f>
        <v>3.2199999999999999E-2</v>
      </c>
      <c r="T139" s="12">
        <f>MAX(0,MIN(1,((Input!T139-Input!T$204)/(Input!T$205-Input!T$204))))</f>
        <v>3.1850000000000003E-2</v>
      </c>
      <c r="U139" s="12">
        <f>MAX(0,MIN(1,((Input!U139-Input!U$204)/(Input!U$205-Input!U$204))))</f>
        <v>0</v>
      </c>
      <c r="V139" s="26">
        <f>COUNT(Raw!E139:U139)</f>
        <v>7</v>
      </c>
      <c r="W139" s="27">
        <f t="shared" si="4"/>
        <v>17</v>
      </c>
      <c r="AA139">
        <v>3.6249998812499983E-2</v>
      </c>
      <c r="AB139">
        <v>2011</v>
      </c>
      <c r="AC139">
        <v>17</v>
      </c>
    </row>
    <row r="140" spans="1:29" ht="13">
      <c r="A140" s="12"/>
      <c r="B140" s="12"/>
      <c r="C140" s="1" t="s">
        <v>338</v>
      </c>
      <c r="D140" s="1" t="s">
        <v>97</v>
      </c>
      <c r="E140" s="12">
        <f>MAX(0,MIN(1,((Input!E140-Input!E$204)/(Input!E$205-Input!E$204))))</f>
        <v>0.48259999277999993</v>
      </c>
      <c r="F140" s="12">
        <f>MAX(0,MIN(1,((Input!F140-Input!F$204)/(Input!F$205-Input!F$204))))</f>
        <v>0.48767999270399998</v>
      </c>
      <c r="G140" s="12">
        <f>MAX(0,MIN(1,((Input!G140-Input!G$204)/(Input!G$205-Input!G$204))))</f>
        <v>0.49275999262799997</v>
      </c>
      <c r="H140" s="12">
        <f>MAX(0,MIN(1,((Input!H140-Input!H$204)/(Input!H$205-Input!H$204))))</f>
        <v>0.49783999255200001</v>
      </c>
      <c r="I140" s="12">
        <f>MAX(0,MIN(1,((Input!I140-Input!I$204)/(Input!I$205-Input!I$204))))</f>
        <v>0.50291999247599994</v>
      </c>
      <c r="J140" s="12">
        <f>MAX(0,MIN(1,((Input!J140-Input!J$204)/(Input!J$205-Input!J$204))))</f>
        <v>0.50799999239999993</v>
      </c>
      <c r="K140" s="12">
        <f>MAX(0,MIN(1,((Input!K140-Input!K$204)/(Input!K$205-Input!K$204))))</f>
        <v>0.50799999239999993</v>
      </c>
      <c r="L140" s="12">
        <f>MAX(0,MIN(1,((Input!L140-Input!L$204)/(Input!L$205-Input!L$204))))</f>
        <v>0.50291999247599994</v>
      </c>
      <c r="M140" s="12">
        <f>MAX(0,MIN(1,((Input!M140-Input!M$204)/(Input!M$205-Input!M$204))))</f>
        <v>0.49783999255200001</v>
      </c>
      <c r="N140" s="12">
        <f>MAX(0,MIN(1,((Input!N140-Input!N$204)/(Input!N$205-Input!N$204))))</f>
        <v>0.49275999262799997</v>
      </c>
      <c r="O140" s="12">
        <f>MAX(0,MIN(1,((Input!O140-Input!O$204)/(Input!O$205-Input!O$204))))</f>
        <v>0.48767999270399998</v>
      </c>
      <c r="P140" s="12">
        <f>MAX(0,MIN(1,((Input!P140-Input!P$204)/(Input!P$205-Input!P$204))))</f>
        <v>0.48259999278000004</v>
      </c>
      <c r="Q140" s="12">
        <f>MAX(0,MIN(1,((Input!Q140-Input!Q$204)/(Input!Q$205-Input!Q$204))))</f>
        <v>0.477519992856</v>
      </c>
      <c r="R140" s="12">
        <f>MAX(0,MIN(1,((Input!R140-Input!R$204)/(Input!R$205-Input!R$204))))</f>
        <v>0.47243999293200001</v>
      </c>
      <c r="S140" s="12">
        <f>MAX(0,MIN(1,((Input!S140-Input!S$204)/(Input!S$205-Input!S$204))))</f>
        <v>0.46735999300800002</v>
      </c>
      <c r="T140" s="12">
        <f>MAX(0,MIN(1,((Input!T140-Input!T$204)/(Input!T$205-Input!T$204))))</f>
        <v>0.46227999308400003</v>
      </c>
      <c r="U140" s="12">
        <f>MAX(0,MIN(1,((Input!U140-Input!U$204)/(Input!U$205-Input!U$204))))</f>
        <v>0</v>
      </c>
      <c r="V140" s="26">
        <f>COUNT(Raw!E140:U140)</f>
        <v>2</v>
      </c>
      <c r="W140" s="27">
        <f t="shared" si="4"/>
        <v>17</v>
      </c>
      <c r="AA140">
        <v>0.50799999239999993</v>
      </c>
      <c r="AB140">
        <v>2011</v>
      </c>
      <c r="AC140">
        <v>17</v>
      </c>
    </row>
    <row r="141" spans="1:29" ht="13">
      <c r="A141" s="12"/>
      <c r="B141" s="12"/>
      <c r="C141" s="1" t="s">
        <v>153</v>
      </c>
      <c r="D141" s="1" t="s">
        <v>55</v>
      </c>
      <c r="E141" s="12">
        <f>MAX(0,MIN(1,((Input!E141-Input!E$204)/(Input!E$205-Input!E$204))))</f>
        <v>0.1139999962</v>
      </c>
      <c r="F141" s="12">
        <f>MAX(0,MIN(1,((Input!F141-Input!F$204)/(Input!F$205-Input!F$204))))</f>
        <v>0.11600000380000001</v>
      </c>
      <c r="G141" s="12">
        <f>MAX(0,MIN(1,((Input!G141-Input!G$204)/(Input!G$205-Input!G$204))))</f>
        <v>0.1180000019</v>
      </c>
      <c r="H141" s="12">
        <f>MAX(0,MIN(1,((Input!H141-Input!H$204)/(Input!H$205-Input!H$204))))</f>
        <v>0.12970000270000001</v>
      </c>
      <c r="I141" s="12">
        <f>MAX(0,MIN(1,((Input!I141-Input!I$204)/(Input!I$205-Input!I$204))))</f>
        <v>0.13039999959999998</v>
      </c>
      <c r="J141" s="12">
        <f>MAX(0,MIN(1,((Input!J141-Input!J$204)/(Input!J$205-Input!J$204))))</f>
        <v>0.13350000380000002</v>
      </c>
      <c r="K141" s="12">
        <f>MAX(0,MIN(1,((Input!K141-Input!K$204)/(Input!K$205-Input!K$204))))</f>
        <v>0.13359999659999999</v>
      </c>
      <c r="L141" s="12">
        <f>MAX(0,MIN(1,((Input!L141-Input!L$204)/(Input!L$205-Input!L$204))))</f>
        <v>0.14399999619999998</v>
      </c>
      <c r="M141" s="12">
        <f>MAX(0,MIN(1,((Input!M141-Input!M$204)/(Input!M$205-Input!M$204))))</f>
        <v>0.13109999659999999</v>
      </c>
      <c r="N141" s="12">
        <f>MAX(0,MIN(1,((Input!N141-Input!N$204)/(Input!N$205-Input!N$204))))</f>
        <v>0.14399999619999998</v>
      </c>
      <c r="O141" s="12">
        <f>MAX(0,MIN(1,((Input!O141-Input!O$204)/(Input!O$205-Input!O$204))))</f>
        <v>0.14140470274999997</v>
      </c>
      <c r="P141" s="12">
        <f>MAX(0,MIN(1,((Input!P141-Input!P$204)/(Input!P$205-Input!P$204))))</f>
        <v>0.13880940929999999</v>
      </c>
      <c r="Q141" s="12">
        <f>MAX(0,MIN(1,((Input!Q141-Input!Q$204)/(Input!Q$205-Input!Q$204))))</f>
        <v>0.13742131520699999</v>
      </c>
      <c r="R141" s="12">
        <f>MAX(0,MIN(1,((Input!R141-Input!R$204)/(Input!R$205-Input!R$204))))</f>
        <v>0.13603322111399999</v>
      </c>
      <c r="S141" s="12">
        <f>MAX(0,MIN(1,((Input!S141-Input!S$204)/(Input!S$205-Input!S$204))))</f>
        <v>0.13464512702099998</v>
      </c>
      <c r="T141" s="12">
        <f>MAX(0,MIN(1,((Input!T141-Input!T$204)/(Input!T$205-Input!T$204))))</f>
        <v>0.13325703292799998</v>
      </c>
      <c r="U141" s="12">
        <f>MAX(0,MIN(1,((Input!U141-Input!U$204)/(Input!U$205-Input!U$204))))</f>
        <v>0</v>
      </c>
      <c r="V141" s="26">
        <f>COUNT(Raw!E141:U141)</f>
        <v>11</v>
      </c>
      <c r="W141" s="27">
        <f t="shared" si="4"/>
        <v>17</v>
      </c>
      <c r="AA141">
        <v>0.15876451414962389</v>
      </c>
      <c r="AB141">
        <v>2011</v>
      </c>
      <c r="AC141">
        <v>17</v>
      </c>
    </row>
    <row r="142" spans="1:29" ht="13">
      <c r="A142" s="12"/>
      <c r="B142" s="12"/>
      <c r="C142" s="1" t="s">
        <v>28</v>
      </c>
      <c r="D142" s="1" t="s">
        <v>171</v>
      </c>
      <c r="E142" s="12">
        <f>MAX(0,MIN(1,((Input!E142-Input!E$204)/(Input!E$205-Input!E$204))))</f>
        <v>0.16700000760000003</v>
      </c>
      <c r="F142" s="12">
        <f>MAX(0,MIN(1,((Input!F142-Input!F$204)/(Input!F$205-Input!F$204))))</f>
        <v>0.17399999619999998</v>
      </c>
      <c r="G142" s="12">
        <f>MAX(0,MIN(1,((Input!G142-Input!G$204)/(Input!G$205-Input!G$204))))</f>
        <v>0.17700000760000001</v>
      </c>
      <c r="H142" s="12">
        <f>MAX(0,MIN(1,((Input!H142-Input!H$204)/(Input!H$205-Input!H$204))))</f>
        <v>0.19799999239999999</v>
      </c>
      <c r="I142" s="12">
        <f>MAX(0,MIN(1,((Input!I142-Input!I$204)/(Input!I$205-Input!I$204))))</f>
        <v>0.2</v>
      </c>
      <c r="J142" s="12">
        <f>MAX(0,MIN(1,((Input!J142-Input!J$204)/(Input!J$205-Input!J$204))))</f>
        <v>0.16500000000000001</v>
      </c>
      <c r="K142" s="12">
        <f>MAX(0,MIN(1,((Input!K142-Input!K$204)/(Input!K$205-Input!K$204))))</f>
        <v>0.13</v>
      </c>
      <c r="L142" s="12">
        <f>MAX(0,MIN(1,((Input!L142-Input!L$204)/(Input!L$205-Input!L$204))))</f>
        <v>9.5000000000000001E-2</v>
      </c>
      <c r="M142" s="12">
        <f>MAX(0,MIN(1,((Input!M142-Input!M$204)/(Input!M$205-Input!M$204))))</f>
        <v>9.8999996190000009E-2</v>
      </c>
      <c r="N142" s="12">
        <f>MAX(0,MIN(1,((Input!N142-Input!N$204)/(Input!N$205-Input!N$204))))</f>
        <v>9.8009996228099999E-2</v>
      </c>
      <c r="O142" s="12">
        <f>MAX(0,MIN(1,((Input!O142-Input!O$204)/(Input!O$205-Input!O$204))))</f>
        <v>9.7019996266200004E-2</v>
      </c>
      <c r="P142" s="12">
        <f>MAX(0,MIN(1,((Input!P142-Input!P$204)/(Input!P$205-Input!P$204))))</f>
        <v>9.6029996304300008E-2</v>
      </c>
      <c r="Q142" s="12">
        <f>MAX(0,MIN(1,((Input!Q142-Input!Q$204)/(Input!Q$205-Input!Q$204))))</f>
        <v>9.5039996342400013E-2</v>
      </c>
      <c r="R142" s="12">
        <f>MAX(0,MIN(1,((Input!R142-Input!R$204)/(Input!R$205-Input!R$204))))</f>
        <v>9.4049996380500003E-2</v>
      </c>
      <c r="S142" s="12">
        <f>MAX(0,MIN(1,((Input!S142-Input!S$204)/(Input!S$205-Input!S$204))))</f>
        <v>9.3059996418600022E-2</v>
      </c>
      <c r="T142" s="12">
        <f>MAX(0,MIN(1,((Input!T142-Input!T$204)/(Input!T$205-Input!T$204))))</f>
        <v>9.2069996456700012E-2</v>
      </c>
      <c r="U142" s="12">
        <f>MAX(0,MIN(1,((Input!U142-Input!U$204)/(Input!U$205-Input!U$204))))</f>
        <v>0</v>
      </c>
      <c r="V142" s="26">
        <f>COUNT(Raw!E142:U142)</f>
        <v>7</v>
      </c>
      <c r="W142" s="27">
        <f t="shared" si="4"/>
        <v>17</v>
      </c>
      <c r="AA142">
        <v>2.3146266912262944E-2</v>
      </c>
      <c r="AB142">
        <v>2011</v>
      </c>
      <c r="AC142">
        <v>17</v>
      </c>
    </row>
    <row r="143" spans="1:29" ht="13">
      <c r="A143" s="12"/>
      <c r="B143" s="12"/>
      <c r="C143" s="1" t="s">
        <v>302</v>
      </c>
      <c r="D143" s="1" t="s">
        <v>119</v>
      </c>
      <c r="E143" s="12">
        <f>MAX(0,MIN(1,((Input!E143-Input!E$204)/(Input!E$205-Input!E$204))))</f>
        <v>0.65300003049999999</v>
      </c>
      <c r="F143" s="12">
        <f>MAX(0,MIN(1,((Input!F143-Input!F$204)/(Input!F$205-Input!F$204))))</f>
        <v>0.65400001529999996</v>
      </c>
      <c r="G143" s="12">
        <f>MAX(0,MIN(1,((Input!G143-Input!G$204)/(Input!G$205-Input!G$204))))</f>
        <v>0.65699996949999995</v>
      </c>
      <c r="H143" s="12">
        <f>MAX(0,MIN(1,((Input!H143-Input!H$204)/(Input!H$205-Input!H$204))))</f>
        <v>0.65599998469999998</v>
      </c>
      <c r="I143" s="12">
        <f>MAX(0,MIN(1,((Input!I143-Input!I$204)/(Input!I$205-Input!I$204))))</f>
        <v>0.65599998469999998</v>
      </c>
      <c r="J143" s="12">
        <f>MAX(0,MIN(1,((Input!J143-Input!J$204)/(Input!J$205-Input!J$204))))</f>
        <v>0.68300003050000002</v>
      </c>
      <c r="K143" s="12">
        <f>MAX(0,MIN(1,((Input!K143-Input!K$204)/(Input!K$205-Input!K$204))))</f>
        <v>0.68300003050000002</v>
      </c>
      <c r="L143" s="12">
        <f>MAX(0,MIN(1,((Input!L143-Input!L$204)/(Input!L$205-Input!L$204))))</f>
        <v>0.68980003355000008</v>
      </c>
      <c r="M143" s="12">
        <f>MAX(0,MIN(1,((Input!M143-Input!M$204)/(Input!M$205-Input!M$204))))</f>
        <v>0.69660003660000003</v>
      </c>
      <c r="N143" s="12">
        <f>MAX(0,MIN(1,((Input!N143-Input!N$204)/(Input!N$205-Input!N$204))))</f>
        <v>0.68094241490000007</v>
      </c>
      <c r="O143" s="12">
        <f>MAX(0,MIN(1,((Input!O143-Input!O$204)/(Input!O$205-Input!O$204))))</f>
        <v>0.6652847932</v>
      </c>
      <c r="P143" s="12">
        <f>MAX(0,MIN(1,((Input!P143-Input!P$204)/(Input!P$205-Input!P$204))))</f>
        <v>0.66788346730000003</v>
      </c>
      <c r="Q143" s="12">
        <f>MAX(0,MIN(1,((Input!Q143-Input!Q$204)/(Input!Q$205-Input!Q$204))))</f>
        <v>0.67591072880000003</v>
      </c>
      <c r="R143" s="12">
        <f>MAX(0,MIN(1,((Input!R143-Input!R$204)/(Input!R$205-Input!R$204))))</f>
        <v>0.68151292470000002</v>
      </c>
      <c r="S143" s="12">
        <f>MAX(0,MIN(1,((Input!S143-Input!S$204)/(Input!S$205-Input!S$204))))</f>
        <v>0.67469779545300002</v>
      </c>
      <c r="T143" s="12">
        <f>MAX(0,MIN(1,((Input!T143-Input!T$204)/(Input!T$205-Input!T$204))))</f>
        <v>0.66788266620600001</v>
      </c>
      <c r="U143" s="12">
        <f>MAX(0,MIN(1,((Input!U143-Input!U$204)/(Input!U$205-Input!U$204))))</f>
        <v>0</v>
      </c>
      <c r="V143" s="26">
        <f>COUNT(Raw!E143:U143)</f>
        <v>12</v>
      </c>
      <c r="W143" s="27">
        <f t="shared" si="4"/>
        <v>17</v>
      </c>
      <c r="AA143">
        <v>0.6882900483114639</v>
      </c>
      <c r="AB143">
        <v>2011</v>
      </c>
      <c r="AC143">
        <v>17</v>
      </c>
    </row>
    <row r="144" spans="1:29" ht="13">
      <c r="A144" s="12"/>
      <c r="B144" s="12"/>
      <c r="C144" s="1" t="s">
        <v>340</v>
      </c>
      <c r="D144" s="1" t="s">
        <v>73</v>
      </c>
      <c r="E144" s="12">
        <f>MAX(0,MIN(1,((Input!E144-Input!E$204)/(Input!E$205-Input!E$204))))</f>
        <v>0.8256</v>
      </c>
      <c r="F144" s="12">
        <f>MAX(0,MIN(1,((Input!F144-Input!F$204)/(Input!F$205-Input!F$204))))</f>
        <v>0.83420000000000005</v>
      </c>
      <c r="G144" s="12">
        <f>MAX(0,MIN(1,((Input!G144-Input!G$204)/(Input!G$205-Input!G$204))))</f>
        <v>0.84279999999999999</v>
      </c>
      <c r="H144" s="12">
        <f>MAX(0,MIN(1,((Input!H144-Input!H$204)/(Input!H$205-Input!H$204))))</f>
        <v>0.85140000000000005</v>
      </c>
      <c r="I144" s="12">
        <f>MAX(0,MIN(1,((Input!I144-Input!I$204)/(Input!I$205-Input!I$204))))</f>
        <v>0.86</v>
      </c>
      <c r="J144" s="12">
        <f>MAX(0,MIN(1,((Input!J144-Input!J$204)/(Input!J$205-Input!J$204))))</f>
        <v>0.86</v>
      </c>
      <c r="K144" s="12">
        <f>MAX(0,MIN(1,((Input!K144-Input!K$204)/(Input!K$205-Input!K$204))))</f>
        <v>0.86</v>
      </c>
      <c r="L144" s="12">
        <f>MAX(0,MIN(1,((Input!L144-Input!L$204)/(Input!L$205-Input!L$204))))</f>
        <v>0.86</v>
      </c>
      <c r="M144" s="12">
        <f>MAX(0,MIN(1,((Input!M144-Input!M$204)/(Input!M$205-Input!M$204))))</f>
        <v>0.86</v>
      </c>
      <c r="N144" s="12">
        <f>MAX(0,MIN(1,((Input!N144-Input!N$204)/(Input!N$205-Input!N$204))))</f>
        <v>0.86</v>
      </c>
      <c r="O144" s="12">
        <f>MAX(0,MIN(1,((Input!O144-Input!O$204)/(Input!O$205-Input!O$204))))</f>
        <v>0.85140000000000005</v>
      </c>
      <c r="P144" s="12">
        <f>MAX(0,MIN(1,((Input!P144-Input!P$204)/(Input!P$205-Input!P$204))))</f>
        <v>0.84279999999999999</v>
      </c>
      <c r="Q144" s="12">
        <f>MAX(0,MIN(1,((Input!Q144-Input!Q$204)/(Input!Q$205-Input!Q$204))))</f>
        <v>0.83419999999999983</v>
      </c>
      <c r="R144" s="12">
        <f>MAX(0,MIN(1,((Input!R144-Input!R$204)/(Input!R$205-Input!R$204))))</f>
        <v>0.82559999999999989</v>
      </c>
      <c r="S144" s="12">
        <f>MAX(0,MIN(1,((Input!S144-Input!S$204)/(Input!S$205-Input!S$204))))</f>
        <v>0.81699999999999984</v>
      </c>
      <c r="T144" s="12">
        <f>MAX(0,MIN(1,((Input!T144-Input!T$204)/(Input!T$205-Input!T$204))))</f>
        <v>0.8083999999999999</v>
      </c>
      <c r="U144" s="12">
        <f>MAX(0,MIN(1,((Input!U144-Input!U$204)/(Input!U$205-Input!U$204))))</f>
        <v>0</v>
      </c>
      <c r="V144" s="26">
        <f>COUNT(Raw!E144:U144)</f>
        <v>3</v>
      </c>
      <c r="W144" s="27">
        <f t="shared" si="4"/>
        <v>17</v>
      </c>
      <c r="AA144">
        <v>0.86</v>
      </c>
      <c r="AB144">
        <v>2011</v>
      </c>
      <c r="AC144">
        <v>17</v>
      </c>
    </row>
    <row r="145" spans="1:29" ht="13">
      <c r="A145" s="12"/>
      <c r="B145" s="12"/>
      <c r="C145" s="1" t="s">
        <v>142</v>
      </c>
      <c r="D145" s="1" t="s">
        <v>372</v>
      </c>
      <c r="E145" s="12">
        <f>MAX(0,MIN(1,((Input!E145-Input!E$204)/(Input!E$205-Input!E$204))))</f>
        <v>0.9</v>
      </c>
      <c r="F145" s="12">
        <f>MAX(0,MIN(1,((Input!F145-Input!F$204)/(Input!F$205-Input!F$204))))</f>
        <v>0.9</v>
      </c>
      <c r="G145" s="12">
        <f>MAX(0,MIN(1,((Input!G145-Input!G$204)/(Input!G$205-Input!G$204))))</f>
        <v>0.9</v>
      </c>
      <c r="H145" s="12">
        <f>MAX(0,MIN(1,((Input!H145-Input!H$204)/(Input!H$205-Input!H$204))))</f>
        <v>0.9</v>
      </c>
      <c r="I145" s="12">
        <f>MAX(0,MIN(1,((Input!I145-Input!I$204)/(Input!I$205-Input!I$204))))</f>
        <v>0.9</v>
      </c>
      <c r="J145" s="12">
        <f>MAX(0,MIN(1,((Input!J145-Input!J$204)/(Input!J$205-Input!J$204))))</f>
        <v>0.9</v>
      </c>
      <c r="K145" s="12">
        <f>MAX(0,MIN(1,((Input!K145-Input!K$204)/(Input!K$205-Input!K$204))))</f>
        <v>0.8909999999999999</v>
      </c>
      <c r="L145" s="12">
        <f>MAX(0,MIN(1,((Input!L145-Input!L$204)/(Input!L$205-Input!L$204))))</f>
        <v>0.88200000000000001</v>
      </c>
      <c r="M145" s="12">
        <f>MAX(0,MIN(1,((Input!M145-Input!M$204)/(Input!M$205-Input!M$204))))</f>
        <v>0.873</v>
      </c>
      <c r="N145" s="12">
        <f>MAX(0,MIN(1,((Input!N145-Input!N$204)/(Input!N$205-Input!N$204))))</f>
        <v>0.8640000000000001</v>
      </c>
      <c r="O145" s="12">
        <f>MAX(0,MIN(1,((Input!O145-Input!O$204)/(Input!O$205-Input!O$204))))</f>
        <v>0.85499999999999998</v>
      </c>
      <c r="P145" s="12">
        <f>MAX(0,MIN(1,((Input!P145-Input!P$204)/(Input!P$205-Input!P$204))))</f>
        <v>0.84599999999999997</v>
      </c>
      <c r="Q145" s="12">
        <f>MAX(0,MIN(1,((Input!Q145-Input!Q$204)/(Input!Q$205-Input!Q$204))))</f>
        <v>0.83700000000000008</v>
      </c>
      <c r="R145" s="12">
        <f>MAX(0,MIN(1,((Input!R145-Input!R$204)/(Input!R$205-Input!R$204))))</f>
        <v>0.82799999999999996</v>
      </c>
      <c r="S145" s="12">
        <f>MAX(0,MIN(1,((Input!S145-Input!S$204)/(Input!S$205-Input!S$204))))</f>
        <v>0.81900000000000006</v>
      </c>
      <c r="T145" s="12">
        <f>MAX(0,MIN(1,((Input!T145-Input!T$204)/(Input!T$205-Input!T$204))))</f>
        <v>0.81</v>
      </c>
      <c r="U145" s="12">
        <f>MAX(0,MIN(1,((Input!U145-Input!U$204)/(Input!U$205-Input!U$204))))</f>
        <v>0</v>
      </c>
      <c r="V145" s="26">
        <f>COUNT(Raw!E145:U145)</f>
        <v>6</v>
      </c>
      <c r="W145" s="27">
        <f t="shared" si="4"/>
        <v>17</v>
      </c>
      <c r="AA145">
        <v>0.9</v>
      </c>
      <c r="AB145">
        <v>2011</v>
      </c>
      <c r="AC145">
        <v>17</v>
      </c>
    </row>
    <row r="146" spans="1:29" ht="13">
      <c r="A146" s="12"/>
      <c r="B146" s="12"/>
      <c r="C146" s="1" t="s">
        <v>1</v>
      </c>
      <c r="D146" s="1" t="s">
        <v>90</v>
      </c>
      <c r="E146" s="12">
        <f>MAX(0,MIN(1,((Input!E146-Input!E$204)/(Input!E$205-Input!E$204))))</f>
        <v>0.51</v>
      </c>
      <c r="F146" s="12">
        <f>MAX(0,MIN(1,((Input!F146-Input!F$204)/(Input!F$205-Input!F$204))))</f>
        <v>0.52299999239999995</v>
      </c>
      <c r="G146" s="12">
        <f>MAX(0,MIN(1,((Input!G146-Input!G$204)/(Input!G$205-Input!G$204))))</f>
        <v>0.52799999239999995</v>
      </c>
      <c r="H146" s="12">
        <f>MAX(0,MIN(1,((Input!H146-Input!H$204)/(Input!H$205-Input!H$204))))</f>
        <v>0.53099998469999998</v>
      </c>
      <c r="I146" s="12">
        <f>MAX(0,MIN(1,((Input!I146-Input!I$204)/(Input!I$205-Input!I$204))))</f>
        <v>0.53</v>
      </c>
      <c r="J146" s="12">
        <f>MAX(0,MIN(1,((Input!J146-Input!J$204)/(Input!J$205-Input!J$204))))</f>
        <v>0.495</v>
      </c>
      <c r="K146" s="12">
        <f>MAX(0,MIN(1,((Input!K146-Input!K$204)/(Input!K$205-Input!K$204))))</f>
        <v>0.505</v>
      </c>
      <c r="L146" s="12">
        <f>MAX(0,MIN(1,((Input!L146-Input!L$204)/(Input!L$205-Input!L$204))))</f>
        <v>0.50400001529999994</v>
      </c>
      <c r="M146" s="12">
        <f>MAX(0,MIN(1,((Input!M146-Input!M$204)/(Input!M$205-Input!M$204))))</f>
        <v>0.30200000760000001</v>
      </c>
      <c r="N146" s="12">
        <f>MAX(0,MIN(1,((Input!N146-Input!N$204)/(Input!N$205-Input!N$204))))</f>
        <v>0.30200000760000001</v>
      </c>
      <c r="O146" s="12">
        <f>MAX(0,MIN(1,((Input!O146-Input!O$204)/(Input!O$205-Input!O$204))))</f>
        <v>0.298980007524</v>
      </c>
      <c r="P146" s="12">
        <f>MAX(0,MIN(1,((Input!P146-Input!P$204)/(Input!P$205-Input!P$204))))</f>
        <v>0.295960007448</v>
      </c>
      <c r="Q146" s="12">
        <f>MAX(0,MIN(1,((Input!Q146-Input!Q$204)/(Input!Q$205-Input!Q$204))))</f>
        <v>0.29294000737199999</v>
      </c>
      <c r="R146" s="12">
        <f>MAX(0,MIN(1,((Input!R146-Input!R$204)/(Input!R$205-Input!R$204))))</f>
        <v>0.28992000729599998</v>
      </c>
      <c r="S146" s="12">
        <f>MAX(0,MIN(1,((Input!S146-Input!S$204)/(Input!S$205-Input!S$204))))</f>
        <v>0.28690000722000003</v>
      </c>
      <c r="T146" s="12">
        <f>MAX(0,MIN(1,((Input!T146-Input!T$204)/(Input!T$205-Input!T$204))))</f>
        <v>0.28388000714400002</v>
      </c>
      <c r="U146" s="12">
        <f>MAX(0,MIN(1,((Input!U146-Input!U$204)/(Input!U$205-Input!U$204))))</f>
        <v>0</v>
      </c>
      <c r="V146" s="26">
        <f>COUNT(Raw!E146:U146)</f>
        <v>10</v>
      </c>
      <c r="W146" s="27">
        <f t="shared" si="4"/>
        <v>17</v>
      </c>
      <c r="AA146">
        <v>0.21846669002909039</v>
      </c>
      <c r="AB146">
        <v>2011</v>
      </c>
      <c r="AC146">
        <v>17</v>
      </c>
    </row>
    <row r="147" spans="1:29" ht="13">
      <c r="A147" s="12"/>
      <c r="B147" s="12"/>
      <c r="C147" s="1" t="s">
        <v>398</v>
      </c>
      <c r="D147" s="1" t="s">
        <v>103</v>
      </c>
      <c r="E147" s="12">
        <f>MAX(0,MIN(1,((Input!E147-Input!E$204)/(Input!E$205-Input!E$204))))</f>
        <v>0.65183997041499997</v>
      </c>
      <c r="F147" s="12">
        <f>MAX(0,MIN(1,((Input!F147-Input!F$204)/(Input!F$205-Input!F$204))))</f>
        <v>0.65855997011</v>
      </c>
      <c r="G147" s="12">
        <f>MAX(0,MIN(1,((Input!G147-Input!G$204)/(Input!G$205-Input!G$204))))</f>
        <v>0.66527996980499993</v>
      </c>
      <c r="H147" s="12">
        <f>MAX(0,MIN(1,((Input!H147-Input!H$204)/(Input!H$205-Input!H$204))))</f>
        <v>0.67199996949999996</v>
      </c>
      <c r="I147" s="12">
        <f>MAX(0,MIN(1,((Input!I147-Input!I$204)/(Input!I$205-Input!I$204))))</f>
        <v>0.67400001529999998</v>
      </c>
      <c r="J147" s="12">
        <f>MAX(0,MIN(1,((Input!J147-Input!J$204)/(Input!J$205-Input!J$204))))</f>
        <v>0.7023333486333333</v>
      </c>
      <c r="K147" s="12">
        <f>MAX(0,MIN(1,((Input!K147-Input!K$204)/(Input!K$205-Input!K$204))))</f>
        <v>0.73066668196666673</v>
      </c>
      <c r="L147" s="12">
        <f>MAX(0,MIN(1,((Input!L147-Input!L$204)/(Input!L$205-Input!L$204))))</f>
        <v>0.75900001529999994</v>
      </c>
      <c r="M147" s="12">
        <f>MAX(0,MIN(1,((Input!M147-Input!M$204)/(Input!M$205-Input!M$204))))</f>
        <v>0.78733334863333326</v>
      </c>
      <c r="N147" s="12">
        <f>MAX(0,MIN(1,((Input!N147-Input!N$204)/(Input!N$205-Input!N$204))))</f>
        <v>0.8156666819666667</v>
      </c>
      <c r="O147" s="12">
        <f>MAX(0,MIN(1,((Input!O147-Input!O$204)/(Input!O$205-Input!O$204))))</f>
        <v>0.84400001530000002</v>
      </c>
      <c r="P147" s="12">
        <f>MAX(0,MIN(1,((Input!P147-Input!P$204)/(Input!P$205-Input!P$204))))</f>
        <v>0.80919998169999996</v>
      </c>
      <c r="Q147" s="12">
        <f>MAX(0,MIN(1,((Input!Q147-Input!Q$204)/(Input!Q$205-Input!Q$204))))</f>
        <v>0.80059999999999998</v>
      </c>
      <c r="R147" s="12">
        <f>MAX(0,MIN(1,((Input!R147-Input!R$204)/(Input!R$205-Input!R$204))))</f>
        <v>0.79259400000000002</v>
      </c>
      <c r="S147" s="12">
        <f>MAX(0,MIN(1,((Input!S147-Input!S$204)/(Input!S$205-Input!S$204))))</f>
        <v>0.78458799999999995</v>
      </c>
      <c r="T147" s="12">
        <f>MAX(0,MIN(1,((Input!T147-Input!T$204)/(Input!T$205-Input!T$204))))</f>
        <v>0.77658199999999988</v>
      </c>
      <c r="U147" s="12">
        <f>MAX(0,MIN(1,((Input!U147-Input!U$204)/(Input!U$205-Input!U$204))))</f>
        <v>0</v>
      </c>
      <c r="V147" s="26">
        <f>COUNT(Raw!E147:U147)</f>
        <v>5</v>
      </c>
      <c r="W147" s="27">
        <f t="shared" si="4"/>
        <v>17</v>
      </c>
      <c r="AA147">
        <v>0.90418857544570985</v>
      </c>
      <c r="AB147">
        <v>2011</v>
      </c>
      <c r="AC147">
        <v>17</v>
      </c>
    </row>
    <row r="148" spans="1:29" ht="13">
      <c r="A148" s="12"/>
      <c r="B148" s="12"/>
      <c r="C148" s="1" t="s">
        <v>290</v>
      </c>
      <c r="D148" s="1" t="s">
        <v>363</v>
      </c>
      <c r="E148" s="12">
        <f>MAX(0,MIN(1,((Input!E148-Input!E$204)/(Input!E$205-Input!E$204))))</f>
        <v>9.8999996190000009E-2</v>
      </c>
      <c r="F148" s="12">
        <f>MAX(0,MIN(1,((Input!F148-Input!F$204)/(Input!F$205-Input!F$204))))</f>
        <v>0.10911110772444445</v>
      </c>
      <c r="G148" s="12">
        <f>MAX(0,MIN(1,((Input!G148-Input!G$204)/(Input!G$205-Input!G$204))))</f>
        <v>0.1192222192588889</v>
      </c>
      <c r="H148" s="12">
        <f>MAX(0,MIN(1,((Input!H148-Input!H$204)/(Input!H$205-Input!H$204))))</f>
        <v>0.12933333079333334</v>
      </c>
      <c r="I148" s="12">
        <f>MAX(0,MIN(1,((Input!I148-Input!I$204)/(Input!I$205-Input!I$204))))</f>
        <v>0.13944444232777778</v>
      </c>
      <c r="J148" s="12">
        <f>MAX(0,MIN(1,((Input!J148-Input!J$204)/(Input!J$205-Input!J$204))))</f>
        <v>0.14955555386222222</v>
      </c>
      <c r="K148" s="12">
        <f>MAX(0,MIN(1,((Input!K148-Input!K$204)/(Input!K$205-Input!K$204))))</f>
        <v>0.15966666539666666</v>
      </c>
      <c r="L148" s="12">
        <f>MAX(0,MIN(1,((Input!L148-Input!L$204)/(Input!L$205-Input!L$204))))</f>
        <v>0.16977777693111112</v>
      </c>
      <c r="M148" s="12">
        <f>MAX(0,MIN(1,((Input!M148-Input!M$204)/(Input!M$205-Input!M$204))))</f>
        <v>0.17988888846555554</v>
      </c>
      <c r="N148" s="12">
        <f>MAX(0,MIN(1,((Input!N148-Input!N$204)/(Input!N$205-Input!N$204))))</f>
        <v>0.19</v>
      </c>
      <c r="O148" s="12">
        <f>MAX(0,MIN(1,((Input!O148-Input!O$204)/(Input!O$205-Input!O$204))))</f>
        <v>0.18809999999999999</v>
      </c>
      <c r="P148" s="12">
        <f>MAX(0,MIN(1,((Input!P148-Input!P$204)/(Input!P$205-Input!P$204))))</f>
        <v>0.1862</v>
      </c>
      <c r="Q148" s="12">
        <f>MAX(0,MIN(1,((Input!Q148-Input!Q$204)/(Input!Q$205-Input!Q$204))))</f>
        <v>0.18429999999999999</v>
      </c>
      <c r="R148" s="12">
        <f>MAX(0,MIN(1,((Input!R148-Input!R$204)/(Input!R$205-Input!R$204))))</f>
        <v>0.18239999999999998</v>
      </c>
      <c r="S148" s="12">
        <f>MAX(0,MIN(1,((Input!S148-Input!S$204)/(Input!S$205-Input!S$204))))</f>
        <v>0.18049999999999999</v>
      </c>
      <c r="T148" s="12">
        <f>MAX(0,MIN(1,((Input!T148-Input!T$204)/(Input!T$205-Input!T$204))))</f>
        <v>0.17859999999999998</v>
      </c>
      <c r="U148" s="12">
        <f>MAX(0,MIN(1,((Input!U148-Input!U$204)/(Input!U$205-Input!U$204))))</f>
        <v>0</v>
      </c>
      <c r="V148" s="26">
        <f>COUNT(Raw!E148:U148)</f>
        <v>2</v>
      </c>
      <c r="W148" s="27">
        <f t="shared" si="4"/>
        <v>17</v>
      </c>
      <c r="AA148">
        <v>0.26077778074111163</v>
      </c>
      <c r="AB148">
        <v>2011</v>
      </c>
      <c r="AC148">
        <v>17</v>
      </c>
    </row>
    <row r="149" spans="1:29" ht="13">
      <c r="A149" s="12"/>
      <c r="B149" s="12"/>
      <c r="C149" s="1" t="s">
        <v>325</v>
      </c>
      <c r="D149" s="1" t="s">
        <v>364</v>
      </c>
      <c r="E149" s="12">
        <f>MAX(0,MIN(1,((Input!E149-Input!E$204)/(Input!E$205-Input!E$204))))</f>
        <v>0.42499999999999999</v>
      </c>
      <c r="F149" s="12">
        <f>MAX(0,MIN(1,((Input!F149-Input!F$204)/(Input!F$205-Input!F$204))))</f>
        <v>0.42499999999999999</v>
      </c>
      <c r="G149" s="12">
        <f>MAX(0,MIN(1,((Input!G149-Input!G$204)/(Input!G$205-Input!G$204))))</f>
        <v>0.42499999999999999</v>
      </c>
      <c r="H149" s="12">
        <f>MAX(0,MIN(1,((Input!H149-Input!H$204)/(Input!H$205-Input!H$204))))</f>
        <v>0.42499999999999999</v>
      </c>
      <c r="I149" s="12">
        <f>MAX(0,MIN(1,((Input!I149-Input!I$204)/(Input!I$205-Input!I$204))))</f>
        <v>0.42499999999999999</v>
      </c>
      <c r="J149" s="12">
        <f>MAX(0,MIN(1,((Input!J149-Input!J$204)/(Input!J$205-Input!J$204))))</f>
        <v>0.42075000000000001</v>
      </c>
      <c r="K149" s="12">
        <f>MAX(0,MIN(1,((Input!K149-Input!K$204)/(Input!K$205-Input!K$204))))</f>
        <v>0.41649999999999998</v>
      </c>
      <c r="L149" s="12">
        <f>MAX(0,MIN(1,((Input!L149-Input!L$204)/(Input!L$205-Input!L$204))))</f>
        <v>0.41225000000000001</v>
      </c>
      <c r="M149" s="12">
        <f>MAX(0,MIN(1,((Input!M149-Input!M$204)/(Input!M$205-Input!M$204))))</f>
        <v>0.40800000000000003</v>
      </c>
      <c r="N149" s="12">
        <f>MAX(0,MIN(1,((Input!N149-Input!N$204)/(Input!N$205-Input!N$204))))</f>
        <v>0.40375</v>
      </c>
      <c r="O149" s="12">
        <f>MAX(0,MIN(1,((Input!O149-Input!O$204)/(Input!O$205-Input!O$204))))</f>
        <v>0.39950000000000002</v>
      </c>
      <c r="P149" s="12">
        <f>MAX(0,MIN(1,((Input!P149-Input!P$204)/(Input!P$205-Input!P$204))))</f>
        <v>0.39524999999999999</v>
      </c>
      <c r="Q149" s="12">
        <f>MAX(0,MIN(1,((Input!Q149-Input!Q$204)/(Input!Q$205-Input!Q$204))))</f>
        <v>0.39100000000000001</v>
      </c>
      <c r="R149" s="12">
        <f>MAX(0,MIN(1,((Input!R149-Input!R$204)/(Input!R$205-Input!R$204))))</f>
        <v>0.38675000000000004</v>
      </c>
      <c r="S149" s="12">
        <f>MAX(0,MIN(1,((Input!S149-Input!S$204)/(Input!S$205-Input!S$204))))</f>
        <v>0.38250000000000001</v>
      </c>
      <c r="T149" s="12">
        <f>MAX(0,MIN(1,((Input!T149-Input!T$204)/(Input!T$205-Input!T$204))))</f>
        <v>0.37825000000000003</v>
      </c>
      <c r="U149" s="12">
        <f>MAX(0,MIN(1,((Input!U149-Input!U$204)/(Input!U$205-Input!U$204))))</f>
        <v>0</v>
      </c>
      <c r="V149" s="26">
        <f>COUNT(Raw!E149:U149)</f>
        <v>5</v>
      </c>
      <c r="W149" s="27">
        <f t="shared" si="4"/>
        <v>17</v>
      </c>
      <c r="AA149">
        <v>0.42499999999999999</v>
      </c>
      <c r="AB149">
        <v>2011</v>
      </c>
      <c r="AC149">
        <v>17</v>
      </c>
    </row>
    <row r="150" spans="1:29" ht="13">
      <c r="A150" s="12"/>
      <c r="B150" s="12"/>
      <c r="C150" s="1" t="s">
        <v>143</v>
      </c>
      <c r="D150" s="1" t="s">
        <v>147</v>
      </c>
      <c r="E150" s="12" t="e">
        <f>MAX(0,MIN(1,((Input!E150-Input!E$204)/(Input!E$205-Input!E$204))))</f>
        <v>#N/A</v>
      </c>
      <c r="F150" s="12" t="e">
        <f>MAX(0,MIN(1,((Input!F150-Input!F$204)/(Input!F$205-Input!F$204))))</f>
        <v>#N/A</v>
      </c>
      <c r="G150" s="12" t="e">
        <f>MAX(0,MIN(1,((Input!G150-Input!G$204)/(Input!G$205-Input!G$204))))</f>
        <v>#N/A</v>
      </c>
      <c r="H150" s="12" t="e">
        <f>MAX(0,MIN(1,((Input!H150-Input!H$204)/(Input!H$205-Input!H$204))))</f>
        <v>#N/A</v>
      </c>
      <c r="I150" s="12" t="e">
        <f>MAX(0,MIN(1,((Input!I150-Input!I$204)/(Input!I$205-Input!I$204))))</f>
        <v>#N/A</v>
      </c>
      <c r="J150" s="12" t="e">
        <f>MAX(0,MIN(1,((Input!J150-Input!J$204)/(Input!J$205-Input!J$204))))</f>
        <v>#N/A</v>
      </c>
      <c r="K150" s="12" t="e">
        <f>MAX(0,MIN(1,((Input!K150-Input!K$204)/(Input!K$205-Input!K$204))))</f>
        <v>#N/A</v>
      </c>
      <c r="L150" s="12" t="e">
        <f>MAX(0,MIN(1,((Input!L150-Input!L$204)/(Input!L$205-Input!L$204))))</f>
        <v>#N/A</v>
      </c>
      <c r="M150" s="12" t="e">
        <f>MAX(0,MIN(1,((Input!M150-Input!M$204)/(Input!M$205-Input!M$204))))</f>
        <v>#N/A</v>
      </c>
      <c r="N150" s="12" t="e">
        <f>MAX(0,MIN(1,((Input!N150-Input!N$204)/(Input!N$205-Input!N$204))))</f>
        <v>#N/A</v>
      </c>
      <c r="O150" s="12" t="e">
        <f>MAX(0,MIN(1,((Input!O150-Input!O$204)/(Input!O$205-Input!O$204))))</f>
        <v>#N/A</v>
      </c>
      <c r="P150" s="12" t="e">
        <f>MAX(0,MIN(1,((Input!P150-Input!P$204)/(Input!P$205-Input!P$204))))</f>
        <v>#N/A</v>
      </c>
      <c r="Q150" s="12" t="e">
        <f>MAX(0,MIN(1,((Input!Q150-Input!Q$204)/(Input!Q$205-Input!Q$204))))</f>
        <v>#N/A</v>
      </c>
      <c r="R150" s="12" t="e">
        <f>MAX(0,MIN(1,((Input!R150-Input!R$204)/(Input!R$205-Input!R$204))))</f>
        <v>#N/A</v>
      </c>
      <c r="S150" s="12" t="e">
        <f>MAX(0,MIN(1,((Input!S150-Input!S$204)/(Input!S$205-Input!S$204))))</f>
        <v>#N/A</v>
      </c>
      <c r="T150" s="12" t="e">
        <f>MAX(0,MIN(1,((Input!T150-Input!T$204)/(Input!T$205-Input!T$204))))</f>
        <v>#N/A</v>
      </c>
      <c r="U150" s="12">
        <f>MAX(0,MIN(1,((Input!U150-Input!U$204)/(Input!U$205-Input!U$204))))</f>
        <v>0</v>
      </c>
      <c r="V150" s="26">
        <f>COUNT(Raw!E150:U150)</f>
        <v>0</v>
      </c>
      <c r="W150" s="27">
        <f t="shared" si="4"/>
        <v>1</v>
      </c>
      <c r="AA150" t="e">
        <v>#N/A</v>
      </c>
      <c r="AC150">
        <v>0</v>
      </c>
    </row>
    <row r="151" spans="1:29" ht="13">
      <c r="A151" s="12"/>
      <c r="B151" s="12"/>
      <c r="C151" s="1" t="s">
        <v>115</v>
      </c>
      <c r="D151" s="1" t="s">
        <v>250</v>
      </c>
      <c r="E151" s="12">
        <f>MAX(0,MIN(1,((Input!E151-Input!E$204)/(Input!E$205-Input!E$204))))</f>
        <v>0.61109999999999998</v>
      </c>
      <c r="F151" s="12">
        <f>MAX(0,MIN(1,((Input!F151-Input!F$204)/(Input!F$205-Input!F$204))))</f>
        <v>0.61740000000000006</v>
      </c>
      <c r="G151" s="12">
        <f>MAX(0,MIN(1,((Input!G151-Input!G$204)/(Input!G$205-Input!G$204))))</f>
        <v>0.62369999999999992</v>
      </c>
      <c r="H151" s="12">
        <f>MAX(0,MIN(1,((Input!H151-Input!H$204)/(Input!H$205-Input!H$204))))</f>
        <v>0.63</v>
      </c>
      <c r="I151" s="12">
        <f>MAX(0,MIN(1,((Input!I151-Input!I$204)/(Input!I$205-Input!I$204))))</f>
        <v>0.65</v>
      </c>
      <c r="J151" s="12">
        <f>MAX(0,MIN(1,((Input!J151-Input!J$204)/(Input!J$205-Input!J$204))))</f>
        <v>0.68</v>
      </c>
      <c r="K151" s="12">
        <f>MAX(0,MIN(1,((Input!K151-Input!K$204)/(Input!K$205-Input!K$204))))</f>
        <v>0.7</v>
      </c>
      <c r="L151" s="12">
        <f>MAX(0,MIN(1,((Input!L151-Input!L$204)/(Input!L$205-Input!L$204))))</f>
        <v>0.7</v>
      </c>
      <c r="M151" s="12">
        <f>MAX(0,MIN(1,((Input!M151-Input!M$204)/(Input!M$205-Input!M$204))))</f>
        <v>0.7</v>
      </c>
      <c r="N151" s="12">
        <f>MAX(0,MIN(1,((Input!N151-Input!N$204)/(Input!N$205-Input!N$204))))</f>
        <v>0.69299999999999995</v>
      </c>
      <c r="O151" s="12">
        <f>MAX(0,MIN(1,((Input!O151-Input!O$204)/(Input!O$205-Input!O$204))))</f>
        <v>0.68599999999999994</v>
      </c>
      <c r="P151" s="12">
        <f>MAX(0,MIN(1,((Input!P151-Input!P$204)/(Input!P$205-Input!P$204))))</f>
        <v>0.67899999999999994</v>
      </c>
      <c r="Q151" s="12">
        <f>MAX(0,MIN(1,((Input!Q151-Input!Q$204)/(Input!Q$205-Input!Q$204))))</f>
        <v>0.67200000000000004</v>
      </c>
      <c r="R151" s="12">
        <f>MAX(0,MIN(1,((Input!R151-Input!R$204)/(Input!R$205-Input!R$204))))</f>
        <v>0.66500000000000004</v>
      </c>
      <c r="S151" s="12">
        <f>MAX(0,MIN(1,((Input!S151-Input!S$204)/(Input!S$205-Input!S$204))))</f>
        <v>0.65799999999999992</v>
      </c>
      <c r="T151" s="12">
        <f>MAX(0,MIN(1,((Input!T151-Input!T$204)/(Input!T$205-Input!T$204))))</f>
        <v>0.65099999999999991</v>
      </c>
      <c r="U151" s="12">
        <f>MAX(0,MIN(1,((Input!U151-Input!U$204)/(Input!U$205-Input!U$204))))</f>
        <v>0</v>
      </c>
      <c r="V151" s="26">
        <f>COUNT(Raw!E151:U151)</f>
        <v>6</v>
      </c>
      <c r="W151" s="27">
        <f t="shared" si="4"/>
        <v>17</v>
      </c>
      <c r="AA151">
        <v>0.83266666666666422</v>
      </c>
      <c r="AB151">
        <v>2011</v>
      </c>
      <c r="AC151">
        <v>17</v>
      </c>
    </row>
    <row r="152" spans="1:29" ht="13">
      <c r="A152" s="12"/>
      <c r="B152" s="12"/>
      <c r="C152" s="1" t="s">
        <v>314</v>
      </c>
      <c r="D152" s="1" t="s">
        <v>85</v>
      </c>
      <c r="E152" s="12">
        <f>MAX(0,MIN(1,((Input!E152-Input!E$204)/(Input!E$205-Input!E$204))))</f>
        <v>0.13357400037600001</v>
      </c>
      <c r="F152" s="12">
        <f>MAX(0,MIN(1,((Input!F152-Input!F$204)/(Input!F$205-Input!F$204))))</f>
        <v>0.13499500038000001</v>
      </c>
      <c r="G152" s="12">
        <f>MAX(0,MIN(1,((Input!G152-Input!G$204)/(Input!G$205-Input!G$204))))</f>
        <v>0.13641600038400001</v>
      </c>
      <c r="H152" s="12">
        <f>MAX(0,MIN(1,((Input!H152-Input!H$204)/(Input!H$205-Input!H$204))))</f>
        <v>0.13783700038800001</v>
      </c>
      <c r="I152" s="12">
        <f>MAX(0,MIN(1,((Input!I152-Input!I$204)/(Input!I$205-Input!I$204))))</f>
        <v>0.13925800039200001</v>
      </c>
      <c r="J152" s="12">
        <f>MAX(0,MIN(1,((Input!J152-Input!J$204)/(Input!J$205-Input!J$204))))</f>
        <v>0.14067900039600001</v>
      </c>
      <c r="K152" s="12">
        <f>MAX(0,MIN(1,((Input!K152-Input!K$204)/(Input!K$205-Input!K$204))))</f>
        <v>0.14210000040000001</v>
      </c>
      <c r="L152" s="12">
        <f>MAX(0,MIN(1,((Input!L152-Input!L$204)/(Input!L$205-Input!L$204))))</f>
        <v>0.14067900039600001</v>
      </c>
      <c r="M152" s="12">
        <f>MAX(0,MIN(1,((Input!M152-Input!M$204)/(Input!M$205-Input!M$204))))</f>
        <v>0.13925800039200001</v>
      </c>
      <c r="N152" s="12">
        <f>MAX(0,MIN(1,((Input!N152-Input!N$204)/(Input!N$205-Input!N$204))))</f>
        <v>0.13783700038800001</v>
      </c>
      <c r="O152" s="12">
        <f>MAX(0,MIN(1,((Input!O152-Input!O$204)/(Input!O$205-Input!O$204))))</f>
        <v>0.13641600038400001</v>
      </c>
      <c r="P152" s="12">
        <f>MAX(0,MIN(1,((Input!P152-Input!P$204)/(Input!P$205-Input!P$204))))</f>
        <v>0.13499500038000001</v>
      </c>
      <c r="Q152" s="12">
        <f>MAX(0,MIN(1,((Input!Q152-Input!Q$204)/(Input!Q$205-Input!Q$204))))</f>
        <v>0.13357400037600001</v>
      </c>
      <c r="R152" s="12">
        <f>MAX(0,MIN(1,((Input!R152-Input!R$204)/(Input!R$205-Input!R$204))))</f>
        <v>0.13215300037200001</v>
      </c>
      <c r="S152" s="12">
        <f>MAX(0,MIN(1,((Input!S152-Input!S$204)/(Input!S$205-Input!S$204))))</f>
        <v>0.13073200036800001</v>
      </c>
      <c r="T152" s="12">
        <f>MAX(0,MIN(1,((Input!T152-Input!T$204)/(Input!T$205-Input!T$204))))</f>
        <v>0.12931100036400001</v>
      </c>
      <c r="U152" s="12">
        <f>MAX(0,MIN(1,((Input!U152-Input!U$204)/(Input!U$205-Input!U$204))))</f>
        <v>0</v>
      </c>
      <c r="V152" s="26">
        <f>COUNT(Raw!E152:U152)</f>
        <v>1</v>
      </c>
      <c r="W152" s="27">
        <f t="shared" si="4"/>
        <v>17</v>
      </c>
      <c r="AA152">
        <v>9.9470000279999998E-2</v>
      </c>
      <c r="AB152">
        <v>2011</v>
      </c>
      <c r="AC152">
        <v>17</v>
      </c>
    </row>
    <row r="153" spans="1:29" ht="13">
      <c r="A153" s="12"/>
      <c r="B153" s="12"/>
      <c r="C153" s="1" t="s">
        <v>369</v>
      </c>
      <c r="D153" s="1" t="s">
        <v>110</v>
      </c>
      <c r="E153" s="12" t="e">
        <f>MAX(0,MIN(1,((Input!E153-Input!E$204)/(Input!E$205-Input!E$204))))</f>
        <v>#N/A</v>
      </c>
      <c r="F153" s="12" t="e">
        <f>MAX(0,MIN(1,((Input!F153-Input!F$204)/(Input!F$205-Input!F$204))))</f>
        <v>#N/A</v>
      </c>
      <c r="G153" s="12" t="e">
        <f>MAX(0,MIN(1,((Input!G153-Input!G$204)/(Input!G$205-Input!G$204))))</f>
        <v>#N/A</v>
      </c>
      <c r="H153" s="12" t="e">
        <f>MAX(0,MIN(1,((Input!H153-Input!H$204)/(Input!H$205-Input!H$204))))</f>
        <v>#N/A</v>
      </c>
      <c r="I153" s="12" t="e">
        <f>MAX(0,MIN(1,((Input!I153-Input!I$204)/(Input!I$205-Input!I$204))))</f>
        <v>#N/A</v>
      </c>
      <c r="J153" s="12" t="e">
        <f>MAX(0,MIN(1,((Input!J153-Input!J$204)/(Input!J$205-Input!J$204))))</f>
        <v>#N/A</v>
      </c>
      <c r="K153" s="12" t="e">
        <f>MAX(0,MIN(1,((Input!K153-Input!K$204)/(Input!K$205-Input!K$204))))</f>
        <v>#N/A</v>
      </c>
      <c r="L153" s="12" t="e">
        <f>MAX(0,MIN(1,((Input!L153-Input!L$204)/(Input!L$205-Input!L$204))))</f>
        <v>#N/A</v>
      </c>
      <c r="M153" s="12" t="e">
        <f>MAX(0,MIN(1,((Input!M153-Input!M$204)/(Input!M$205-Input!M$204))))</f>
        <v>#N/A</v>
      </c>
      <c r="N153" s="12" t="e">
        <f>MAX(0,MIN(1,((Input!N153-Input!N$204)/(Input!N$205-Input!N$204))))</f>
        <v>#N/A</v>
      </c>
      <c r="O153" s="12" t="e">
        <f>MAX(0,MIN(1,((Input!O153-Input!O$204)/(Input!O$205-Input!O$204))))</f>
        <v>#N/A</v>
      </c>
      <c r="P153" s="12" t="e">
        <f>MAX(0,MIN(1,((Input!P153-Input!P$204)/(Input!P$205-Input!P$204))))</f>
        <v>#N/A</v>
      </c>
      <c r="Q153" s="12" t="e">
        <f>MAX(0,MIN(1,((Input!Q153-Input!Q$204)/(Input!Q$205-Input!Q$204))))</f>
        <v>#N/A</v>
      </c>
      <c r="R153" s="12" t="e">
        <f>MAX(0,MIN(1,((Input!R153-Input!R$204)/(Input!R$205-Input!R$204))))</f>
        <v>#N/A</v>
      </c>
      <c r="S153" s="12" t="e">
        <f>MAX(0,MIN(1,((Input!S153-Input!S$204)/(Input!S$205-Input!S$204))))</f>
        <v>#N/A</v>
      </c>
      <c r="T153" s="12" t="e">
        <f>MAX(0,MIN(1,((Input!T153-Input!T$204)/(Input!T$205-Input!T$204))))</f>
        <v>#N/A</v>
      </c>
      <c r="U153" s="12">
        <f>MAX(0,MIN(1,((Input!U153-Input!U$204)/(Input!U$205-Input!U$204))))</f>
        <v>0</v>
      </c>
      <c r="V153" s="26">
        <f>COUNT(Raw!E153:U153)</f>
        <v>0</v>
      </c>
      <c r="W153" s="27">
        <f t="shared" si="4"/>
        <v>1</v>
      </c>
      <c r="AA153" t="e">
        <v>#N/A</v>
      </c>
      <c r="AC153">
        <v>0</v>
      </c>
    </row>
    <row r="154" spans="1:29" ht="13">
      <c r="A154" s="12"/>
      <c r="B154" s="12"/>
      <c r="C154" s="1" t="s">
        <v>48</v>
      </c>
      <c r="D154" s="1" t="s">
        <v>56</v>
      </c>
      <c r="E154" s="12">
        <f>MAX(0,MIN(1,((Input!E154-Input!E$204)/(Input!E$205-Input!E$204))))</f>
        <v>0.68</v>
      </c>
      <c r="F154" s="12">
        <f>MAX(0,MIN(1,((Input!F154-Input!F$204)/(Input!F$205-Input!F$204))))</f>
        <v>0.68099998470000001</v>
      </c>
      <c r="G154" s="12">
        <f>MAX(0,MIN(1,((Input!G154-Input!G$204)/(Input!G$205-Input!G$204))))</f>
        <v>0.68099998470000001</v>
      </c>
      <c r="H154" s="12">
        <f>MAX(0,MIN(1,((Input!H154-Input!H$204)/(Input!H$205-Input!H$204))))</f>
        <v>0.68099998470000001</v>
      </c>
      <c r="I154" s="12">
        <f>MAX(0,MIN(1,((Input!I154-Input!I$204)/(Input!I$205-Input!I$204))))</f>
        <v>0.68099998470000001</v>
      </c>
      <c r="J154" s="12">
        <f>MAX(0,MIN(1,((Input!J154-Input!J$204)/(Input!J$205-Input!J$204))))</f>
        <v>0.68099998470000001</v>
      </c>
      <c r="K154" s="12">
        <f>MAX(0,MIN(1,((Input!K154-Input!K$204)/(Input!K$205-Input!K$204))))</f>
        <v>0.68099998470000001</v>
      </c>
      <c r="L154" s="12">
        <f>MAX(0,MIN(1,((Input!L154-Input!L$204)/(Input!L$205-Input!L$204))))</f>
        <v>0.67418998485300008</v>
      </c>
      <c r="M154" s="12">
        <f>MAX(0,MIN(1,((Input!M154-Input!M$204)/(Input!M$205-Input!M$204))))</f>
        <v>0.66737998500600004</v>
      </c>
      <c r="N154" s="12">
        <f>MAX(0,MIN(1,((Input!N154-Input!N$204)/(Input!N$205-Input!N$204))))</f>
        <v>0.66056998515900001</v>
      </c>
      <c r="O154" s="12">
        <f>MAX(0,MIN(1,((Input!O154-Input!O$204)/(Input!O$205-Input!O$204))))</f>
        <v>0.65375998531199997</v>
      </c>
      <c r="P154" s="12">
        <f>MAX(0,MIN(1,((Input!P154-Input!P$204)/(Input!P$205-Input!P$204))))</f>
        <v>0.64694998546500004</v>
      </c>
      <c r="Q154" s="12">
        <f>MAX(0,MIN(1,((Input!Q154-Input!Q$204)/(Input!Q$205-Input!Q$204))))</f>
        <v>0.64013998561800012</v>
      </c>
      <c r="R154" s="12">
        <f>MAX(0,MIN(1,((Input!R154-Input!R$204)/(Input!R$205-Input!R$204))))</f>
        <v>0.63332998577100008</v>
      </c>
      <c r="S154" s="12">
        <f>MAX(0,MIN(1,((Input!S154-Input!S$204)/(Input!S$205-Input!S$204))))</f>
        <v>0.62651998592400004</v>
      </c>
      <c r="T154" s="12">
        <f>MAX(0,MIN(1,((Input!T154-Input!T$204)/(Input!T$205-Input!T$204))))</f>
        <v>0.61970998607700001</v>
      </c>
      <c r="U154" s="12">
        <f>MAX(0,MIN(1,((Input!U154-Input!U$204)/(Input!U$205-Input!U$204))))</f>
        <v>0</v>
      </c>
      <c r="V154" s="26">
        <f>COUNT(Raw!E154:U154)</f>
        <v>7</v>
      </c>
      <c r="W154" s="27">
        <f t="shared" si="4"/>
        <v>17</v>
      </c>
      <c r="AA154">
        <v>0.68224996557500006</v>
      </c>
      <c r="AB154">
        <v>2011</v>
      </c>
      <c r="AC154">
        <v>17</v>
      </c>
    </row>
    <row r="155" spans="1:29" ht="13">
      <c r="A155" s="12"/>
      <c r="B155" s="12"/>
      <c r="C155" s="1" t="s">
        <v>204</v>
      </c>
      <c r="D155" s="1" t="s">
        <v>96</v>
      </c>
      <c r="E155" s="12">
        <f>MAX(0,MIN(1,((Input!E155-Input!E$204)/(Input!E$205-Input!E$204))))</f>
        <v>0.30100000380000003</v>
      </c>
      <c r="F155" s="12">
        <f>MAX(0,MIN(1,((Input!F155-Input!F$204)/(Input!F$205-Input!F$204))))</f>
        <v>0.29799999239999997</v>
      </c>
      <c r="G155" s="12">
        <f>MAX(0,MIN(1,((Input!G155-Input!G$204)/(Input!G$205-Input!G$204))))</f>
        <v>0.30100000380000003</v>
      </c>
      <c r="H155" s="12">
        <f>MAX(0,MIN(1,((Input!H155-Input!H$204)/(Input!H$205-Input!H$204))))</f>
        <v>0.3003333346</v>
      </c>
      <c r="I155" s="12">
        <f>MAX(0,MIN(1,((Input!I155-Input!I$204)/(Input!I$205-Input!I$204))))</f>
        <v>0.29966666539999998</v>
      </c>
      <c r="J155" s="12">
        <f>MAX(0,MIN(1,((Input!J155-Input!J$204)/(Input!J$205-Input!J$204))))</f>
        <v>0.29899999620000001</v>
      </c>
      <c r="K155" s="12">
        <f>MAX(0,MIN(1,((Input!K155-Input!K$204)/(Input!K$205-Input!K$204))))</f>
        <v>0.28213999557999997</v>
      </c>
      <c r="L155" s="12">
        <f>MAX(0,MIN(1,((Input!L155-Input!L$204)/(Input!L$205-Input!L$204))))</f>
        <v>0.26527999495999999</v>
      </c>
      <c r="M155" s="12">
        <f>MAX(0,MIN(1,((Input!M155-Input!M$204)/(Input!M$205-Input!M$204))))</f>
        <v>0.24841999433999998</v>
      </c>
      <c r="N155" s="12">
        <f>MAX(0,MIN(1,((Input!N155-Input!N$204)/(Input!N$205-Input!N$204))))</f>
        <v>0.23155999372</v>
      </c>
      <c r="O155" s="12">
        <f>MAX(0,MIN(1,((Input!O155-Input!O$204)/(Input!O$205-Input!O$204))))</f>
        <v>0.21469999309999999</v>
      </c>
      <c r="P155" s="12">
        <f>MAX(0,MIN(1,((Input!P155-Input!P$204)/(Input!P$205-Input!P$204))))</f>
        <v>0.21255299316899998</v>
      </c>
      <c r="Q155" s="12">
        <f>MAX(0,MIN(1,((Input!Q155-Input!Q$204)/(Input!Q$205-Input!Q$204))))</f>
        <v>0.21040599323799999</v>
      </c>
      <c r="R155" s="12">
        <f>MAX(0,MIN(1,((Input!R155-Input!R$204)/(Input!R$205-Input!R$204))))</f>
        <v>0.20825899330699996</v>
      </c>
      <c r="S155" s="12">
        <f>MAX(0,MIN(1,((Input!S155-Input!S$204)/(Input!S$205-Input!S$204))))</f>
        <v>0.20611199337599997</v>
      </c>
      <c r="T155" s="12">
        <f>MAX(0,MIN(1,((Input!T155-Input!T$204)/(Input!T$205-Input!T$204))))</f>
        <v>0.20396499344499996</v>
      </c>
      <c r="U155" s="12">
        <f>MAX(0,MIN(1,((Input!U155-Input!U$204)/(Input!U$205-Input!U$204))))</f>
        <v>0</v>
      </c>
      <c r="V155" s="26">
        <f>COUNT(Raw!E155:U155)</f>
        <v>5</v>
      </c>
      <c r="W155" s="27">
        <f t="shared" si="4"/>
        <v>17</v>
      </c>
      <c r="AA155">
        <v>0.17864845470736326</v>
      </c>
      <c r="AB155">
        <v>2011</v>
      </c>
      <c r="AC155">
        <v>17</v>
      </c>
    </row>
    <row r="156" spans="1:29" ht="13">
      <c r="A156" s="12"/>
      <c r="B156" s="12"/>
      <c r="C156" s="1" t="s">
        <v>241</v>
      </c>
      <c r="D156" s="1" t="s">
        <v>134</v>
      </c>
      <c r="E156" s="12">
        <f>MAX(0,MIN(1,((Input!E156-Input!E$204)/(Input!E$205-Input!E$204))))</f>
        <v>0.28499999999999998</v>
      </c>
      <c r="F156" s="12">
        <f>MAX(0,MIN(1,((Input!F156-Input!F$204)/(Input!F$205-Input!F$204))))</f>
        <v>0.29299999239999996</v>
      </c>
      <c r="G156" s="12">
        <f>MAX(0,MIN(1,((Input!G156-Input!G$204)/(Input!G$205-Input!G$204))))</f>
        <v>0.29299999239999996</v>
      </c>
      <c r="H156" s="12">
        <f>MAX(0,MIN(1,((Input!H156-Input!H$204)/(Input!H$205-Input!H$204))))</f>
        <v>0.29299999239999996</v>
      </c>
      <c r="I156" s="12">
        <f>MAX(0,MIN(1,((Input!I156-Input!I$204)/(Input!I$205-Input!I$204))))</f>
        <v>0.29299999239999996</v>
      </c>
      <c r="J156" s="12">
        <f>MAX(0,MIN(1,((Input!J156-Input!J$204)/(Input!J$205-Input!J$204))))</f>
        <v>0.29299999239999996</v>
      </c>
      <c r="K156" s="12">
        <f>MAX(0,MIN(1,((Input!K156-Input!K$204)/(Input!K$205-Input!K$204))))</f>
        <v>0.29286666236666664</v>
      </c>
      <c r="L156" s="12">
        <f>MAX(0,MIN(1,((Input!L156-Input!L$204)/(Input!L$205-Input!L$204))))</f>
        <v>0.29273333233333332</v>
      </c>
      <c r="M156" s="12">
        <f>MAX(0,MIN(1,((Input!M156-Input!M$204)/(Input!M$205-Input!M$204))))</f>
        <v>0.29260000229999999</v>
      </c>
      <c r="N156" s="12">
        <f>MAX(0,MIN(1,((Input!N156-Input!N$204)/(Input!N$205-Input!N$204))))</f>
        <v>0.28967400227699996</v>
      </c>
      <c r="O156" s="12">
        <f>MAX(0,MIN(1,((Input!O156-Input!O$204)/(Input!O$205-Input!O$204))))</f>
        <v>0.28674800225399999</v>
      </c>
      <c r="P156" s="12">
        <f>MAX(0,MIN(1,((Input!P156-Input!P$204)/(Input!P$205-Input!P$204))))</f>
        <v>0.28382200223100001</v>
      </c>
      <c r="Q156" s="12">
        <f>MAX(0,MIN(1,((Input!Q156-Input!Q$204)/(Input!Q$205-Input!Q$204))))</f>
        <v>0.28089600220799998</v>
      </c>
      <c r="R156" s="12">
        <f>MAX(0,MIN(1,((Input!R156-Input!R$204)/(Input!R$205-Input!R$204))))</f>
        <v>0.27797000218500001</v>
      </c>
      <c r="S156" s="12">
        <f>MAX(0,MIN(1,((Input!S156-Input!S$204)/(Input!S$205-Input!S$204))))</f>
        <v>0.27504400216199998</v>
      </c>
      <c r="T156" s="12">
        <f>MAX(0,MIN(1,((Input!T156-Input!T$204)/(Input!T$205-Input!T$204))))</f>
        <v>0.272118002139</v>
      </c>
      <c r="U156" s="12">
        <f>MAX(0,MIN(1,((Input!U156-Input!U$204)/(Input!U$205-Input!U$204))))</f>
        <v>0</v>
      </c>
      <c r="V156" s="26">
        <f>COUNT(Raw!E156:U156)</f>
        <v>7</v>
      </c>
      <c r="W156" s="27">
        <f t="shared" si="4"/>
        <v>17</v>
      </c>
      <c r="AA156">
        <v>0.29894342230559218</v>
      </c>
      <c r="AB156">
        <v>2011</v>
      </c>
      <c r="AC156">
        <v>17</v>
      </c>
    </row>
    <row r="157" spans="1:29" ht="13">
      <c r="A157" s="12"/>
      <c r="B157" s="12"/>
      <c r="C157" s="1" t="s">
        <v>313</v>
      </c>
      <c r="D157" s="1" t="s">
        <v>246</v>
      </c>
      <c r="E157" s="12">
        <f>MAX(0,MIN(1,((Input!E157-Input!E$204)/(Input!E$205-Input!E$204))))</f>
        <v>0.59565000722000006</v>
      </c>
      <c r="F157" s="12">
        <f>MAX(0,MIN(1,((Input!F157-Input!F$204)/(Input!F$205-Input!F$204))))</f>
        <v>0.60192000729600004</v>
      </c>
      <c r="G157" s="12">
        <f>MAX(0,MIN(1,((Input!G157-Input!G$204)/(Input!G$205-Input!G$204))))</f>
        <v>0.60819000737200002</v>
      </c>
      <c r="H157" s="12">
        <f>MAX(0,MIN(1,((Input!H157-Input!H$204)/(Input!H$205-Input!H$204))))</f>
        <v>0.614460007448</v>
      </c>
      <c r="I157" s="12">
        <f>MAX(0,MIN(1,((Input!I157-Input!I$204)/(Input!I$205-Input!I$204))))</f>
        <v>0.62073000752399998</v>
      </c>
      <c r="J157" s="12">
        <f>MAX(0,MIN(1,((Input!J157-Input!J$204)/(Input!J$205-Input!J$204))))</f>
        <v>0.62700000759999996</v>
      </c>
      <c r="K157" s="12">
        <f>MAX(0,MIN(1,((Input!K157-Input!K$204)/(Input!K$205-Input!K$204))))</f>
        <v>0.60830000664999995</v>
      </c>
      <c r="L157" s="12">
        <f>MAX(0,MIN(1,((Input!L157-Input!L$204)/(Input!L$205-Input!L$204))))</f>
        <v>0.58960000570000004</v>
      </c>
      <c r="M157" s="12">
        <f>MAX(0,MIN(1,((Input!M157-Input!M$204)/(Input!M$205-Input!M$204))))</f>
        <v>0.57090000475000002</v>
      </c>
      <c r="N157" s="12">
        <f>MAX(0,MIN(1,((Input!N157-Input!N$204)/(Input!N$205-Input!N$204))))</f>
        <v>0.55220000380000001</v>
      </c>
      <c r="O157" s="12">
        <f>MAX(0,MIN(1,((Input!O157-Input!O$204)/(Input!O$205-Input!O$204))))</f>
        <v>0.53350000284999999</v>
      </c>
      <c r="P157" s="12">
        <f>MAX(0,MIN(1,((Input!P157-Input!P$204)/(Input!P$205-Input!P$204))))</f>
        <v>0.51480000189999997</v>
      </c>
      <c r="Q157" s="12">
        <f>MAX(0,MIN(1,((Input!Q157-Input!Q$204)/(Input!Q$205-Input!Q$204))))</f>
        <v>0.49610000095000006</v>
      </c>
      <c r="R157" s="12">
        <f>MAX(0,MIN(1,((Input!R157-Input!R$204)/(Input!R$205-Input!R$204))))</f>
        <v>0.47740000000000005</v>
      </c>
      <c r="S157" s="12">
        <f>MAX(0,MIN(1,((Input!S157-Input!S$204)/(Input!S$205-Input!S$204))))</f>
        <v>0.47262600000000005</v>
      </c>
      <c r="T157" s="12">
        <f>MAX(0,MIN(1,((Input!T157-Input!T$204)/(Input!T$205-Input!T$204))))</f>
        <v>0.46785200000000005</v>
      </c>
      <c r="U157" s="12">
        <f>MAX(0,MIN(1,((Input!U157-Input!U$204)/(Input!U$205-Input!U$204))))</f>
        <v>0</v>
      </c>
      <c r="V157" s="26">
        <f>COUNT(Raw!E157:U157)</f>
        <v>2</v>
      </c>
      <c r="W157" s="27">
        <f t="shared" si="4"/>
        <v>17</v>
      </c>
      <c r="AA157">
        <v>0.42129999714999938</v>
      </c>
      <c r="AB157">
        <v>2011</v>
      </c>
      <c r="AC157">
        <v>17</v>
      </c>
    </row>
    <row r="158" spans="1:29" ht="13">
      <c r="A158" s="12"/>
      <c r="B158" s="12"/>
      <c r="C158" s="1" t="s">
        <v>9</v>
      </c>
      <c r="D158" s="1" t="s">
        <v>58</v>
      </c>
      <c r="E158" s="12">
        <f>MAX(0,MIN(1,((Input!E158-Input!E$204)/(Input!E$205-Input!E$204))))</f>
        <v>0.62799999239999993</v>
      </c>
      <c r="F158" s="12">
        <f>MAX(0,MIN(1,((Input!F158-Input!F$204)/(Input!F$205-Input!F$204))))</f>
        <v>0.80300003050000002</v>
      </c>
      <c r="G158" s="12">
        <f>MAX(0,MIN(1,((Input!G158-Input!G$204)/(Input!G$205-Input!G$204))))</f>
        <v>0.84499999999999997</v>
      </c>
      <c r="H158" s="12">
        <f>MAX(0,MIN(1,((Input!H158-Input!H$204)/(Input!H$205-Input!H$204))))</f>
        <v>0.86416666666666675</v>
      </c>
      <c r="I158" s="12">
        <f>MAX(0,MIN(1,((Input!I158-Input!I$204)/(Input!I$205-Input!I$204))))</f>
        <v>0.8833333333333333</v>
      </c>
      <c r="J158" s="12">
        <f>MAX(0,MIN(1,((Input!J158-Input!J$204)/(Input!J$205-Input!J$204))))</f>
        <v>0.90249999999999997</v>
      </c>
      <c r="K158" s="12">
        <f>MAX(0,MIN(1,((Input!K158-Input!K$204)/(Input!K$205-Input!K$204))))</f>
        <v>0.92166666666666675</v>
      </c>
      <c r="L158" s="12">
        <f>MAX(0,MIN(1,((Input!L158-Input!L$204)/(Input!L$205-Input!L$204))))</f>
        <v>0.9408333333333333</v>
      </c>
      <c r="M158" s="12">
        <f>MAX(0,MIN(1,((Input!M158-Input!M$204)/(Input!M$205-Input!M$204))))</f>
        <v>0.96</v>
      </c>
      <c r="N158" s="12">
        <f>MAX(0,MIN(1,((Input!N158-Input!N$204)/(Input!N$205-Input!N$204))))</f>
        <v>0.95991967869999995</v>
      </c>
      <c r="O158" s="12">
        <f>MAX(0,MIN(1,((Input!O158-Input!O$204)/(Input!O$205-Input!O$204))))</f>
        <v>0.95983935740000004</v>
      </c>
      <c r="P158" s="12">
        <f>MAX(0,MIN(1,((Input!P158-Input!P$204)/(Input!P$205-Input!P$204))))</f>
        <v>0.9601593625</v>
      </c>
      <c r="Q158" s="12">
        <f>MAX(0,MIN(1,((Input!Q158-Input!Q$204)/(Input!Q$205-Input!Q$204))))</f>
        <v>0.96456692909999997</v>
      </c>
      <c r="R158" s="12">
        <f>MAX(0,MIN(1,((Input!R158-Input!R$204)/(Input!R$205-Input!R$204))))</f>
        <v>0.96456692909999997</v>
      </c>
      <c r="S158" s="12">
        <f>MAX(0,MIN(1,((Input!S158-Input!S$204)/(Input!S$205-Input!S$204))))</f>
        <v>0.954921259809</v>
      </c>
      <c r="T158" s="12">
        <f>MAX(0,MIN(1,((Input!T158-Input!T$204)/(Input!T$205-Input!T$204))))</f>
        <v>0.94527559051799992</v>
      </c>
      <c r="U158" s="12">
        <f>MAX(0,MIN(1,((Input!U158-Input!U$204)/(Input!U$205-Input!U$204))))</f>
        <v>0</v>
      </c>
      <c r="V158" s="26">
        <f>COUNT(Raw!E158:U158)</f>
        <v>8</v>
      </c>
      <c r="W158" s="27">
        <f t="shared" si="4"/>
        <v>17</v>
      </c>
      <c r="AA158">
        <v>1</v>
      </c>
      <c r="AB158">
        <v>2011</v>
      </c>
      <c r="AC158">
        <v>17</v>
      </c>
    </row>
    <row r="159" spans="1:29" ht="13">
      <c r="A159" s="12"/>
      <c r="B159" s="12"/>
      <c r="C159" s="1" t="s">
        <v>342</v>
      </c>
      <c r="D159" s="1" t="s">
        <v>80</v>
      </c>
      <c r="E159" s="12">
        <f>MAX(0,MIN(1,((Input!E159-Input!E$204)/(Input!E$205-Input!E$204))))</f>
        <v>0.08</v>
      </c>
      <c r="F159" s="12">
        <f>MAX(0,MIN(1,((Input!F159-Input!F$204)/(Input!F$205-Input!F$204))))</f>
        <v>0.08</v>
      </c>
      <c r="G159" s="12">
        <f>MAX(0,MIN(1,((Input!G159-Input!G$204)/(Input!G$205-Input!G$204))))</f>
        <v>0.08</v>
      </c>
      <c r="H159" s="12">
        <f>MAX(0,MIN(1,((Input!H159-Input!H$204)/(Input!H$205-Input!H$204))))</f>
        <v>0.08</v>
      </c>
      <c r="I159" s="12">
        <f>MAX(0,MIN(1,((Input!I159-Input!I$204)/(Input!I$205-Input!I$204))))</f>
        <v>7.9000000949999996E-2</v>
      </c>
      <c r="J159" s="12">
        <f>MAX(0,MIN(1,((Input!J159-Input!J$204)/(Input!J$205-Input!J$204))))</f>
        <v>7.9000000949999996E-2</v>
      </c>
      <c r="K159" s="12">
        <f>MAX(0,MIN(1,((Input!K159-Input!K$204)/(Input!K$205-Input!K$204))))</f>
        <v>7.9500000474999999E-2</v>
      </c>
      <c r="L159" s="12">
        <f>MAX(0,MIN(1,((Input!L159-Input!L$204)/(Input!L$205-Input!L$204))))</f>
        <v>0.08</v>
      </c>
      <c r="M159" s="12">
        <f>MAX(0,MIN(1,((Input!M159-Input!M$204)/(Input!M$205-Input!M$204))))</f>
        <v>7.9199999999999993E-2</v>
      </c>
      <c r="N159" s="12">
        <f>MAX(0,MIN(1,((Input!N159-Input!N$204)/(Input!N$205-Input!N$204))))</f>
        <v>7.8399999999999997E-2</v>
      </c>
      <c r="O159" s="12">
        <f>MAX(0,MIN(1,((Input!O159-Input!O$204)/(Input!O$205-Input!O$204))))</f>
        <v>7.7600000000000002E-2</v>
      </c>
      <c r="P159" s="12">
        <f>MAX(0,MIN(1,((Input!P159-Input!P$204)/(Input!P$205-Input!P$204))))</f>
        <v>7.6799999999999993E-2</v>
      </c>
      <c r="Q159" s="12">
        <f>MAX(0,MIN(1,((Input!Q159-Input!Q$204)/(Input!Q$205-Input!Q$204))))</f>
        <v>7.6000000000000012E-2</v>
      </c>
      <c r="R159" s="12">
        <f>MAX(0,MIN(1,((Input!R159-Input!R$204)/(Input!R$205-Input!R$204))))</f>
        <v>7.5200000000000003E-2</v>
      </c>
      <c r="S159" s="12">
        <f>MAX(0,MIN(1,((Input!S159-Input!S$204)/(Input!S$205-Input!S$204))))</f>
        <v>7.4400000000000008E-2</v>
      </c>
      <c r="T159" s="12">
        <f>MAX(0,MIN(1,((Input!T159-Input!T$204)/(Input!T$205-Input!T$204))))</f>
        <v>7.3599999999999999E-2</v>
      </c>
      <c r="U159" s="12">
        <f>MAX(0,MIN(1,((Input!U159-Input!U$204)/(Input!U$205-Input!U$204))))</f>
        <v>0</v>
      </c>
      <c r="V159" s="26">
        <f>COUNT(Raw!E159:U159)</f>
        <v>7</v>
      </c>
      <c r="W159" s="27">
        <f t="shared" si="4"/>
        <v>17</v>
      </c>
      <c r="AA159">
        <v>7.8713115976639353E-2</v>
      </c>
      <c r="AB159">
        <v>2011</v>
      </c>
      <c r="AC159">
        <v>17</v>
      </c>
    </row>
    <row r="160" spans="1:29" ht="13">
      <c r="A160" s="12"/>
      <c r="B160" s="12"/>
      <c r="C160" s="1" t="s">
        <v>271</v>
      </c>
      <c r="D160" s="1" t="s">
        <v>396</v>
      </c>
      <c r="E160" s="12">
        <f>MAX(0,MIN(1,((Input!E160-Input!E$204)/(Input!E$205-Input!E$204))))</f>
        <v>0.97300003050000006</v>
      </c>
      <c r="F160" s="12">
        <f>MAX(0,MIN(1,((Input!F160-Input!F$204)/(Input!F$205-Input!F$204))))</f>
        <v>0.97300003050000006</v>
      </c>
      <c r="G160" s="12">
        <f>MAX(0,MIN(1,((Input!G160-Input!G$204)/(Input!G$205-Input!G$204))))</f>
        <v>0.97300003050000006</v>
      </c>
      <c r="H160" s="12">
        <f>MAX(0,MIN(1,((Input!H160-Input!H$204)/(Input!H$205-Input!H$204))))</f>
        <v>1</v>
      </c>
      <c r="I160" s="12">
        <f>MAX(0,MIN(1,((Input!I160-Input!I$204)/(Input!I$205-Input!I$204))))</f>
        <v>1</v>
      </c>
      <c r="J160" s="12">
        <f>MAX(0,MIN(1,((Input!J160-Input!J$204)/(Input!J$205-Input!J$204))))</f>
        <v>1</v>
      </c>
      <c r="K160" s="12">
        <f>MAX(0,MIN(1,((Input!K160-Input!K$204)/(Input!K$205-Input!K$204))))</f>
        <v>1</v>
      </c>
      <c r="L160" s="12">
        <f>MAX(0,MIN(1,((Input!L160-Input!L$204)/(Input!L$205-Input!L$204))))</f>
        <v>1</v>
      </c>
      <c r="M160" s="12">
        <f>MAX(0,MIN(1,((Input!M160-Input!M$204)/(Input!M$205-Input!M$204))))</f>
        <v>1</v>
      </c>
      <c r="N160" s="12">
        <f>MAX(0,MIN(1,((Input!N160-Input!N$204)/(Input!N$205-Input!N$204))))</f>
        <v>1</v>
      </c>
      <c r="O160" s="12">
        <f>MAX(0,MIN(1,((Input!O160-Input!O$204)/(Input!O$205-Input!O$204))))</f>
        <v>1</v>
      </c>
      <c r="P160" s="12">
        <f>MAX(0,MIN(1,((Input!P160-Input!P$204)/(Input!P$205-Input!P$204))))</f>
        <v>1</v>
      </c>
      <c r="Q160" s="12">
        <f>MAX(0,MIN(1,((Input!Q160-Input!Q$204)/(Input!Q$205-Input!Q$204))))</f>
        <v>1</v>
      </c>
      <c r="R160" s="12">
        <f>MAX(0,MIN(1,((Input!R160-Input!R$204)/(Input!R$205-Input!R$204))))</f>
        <v>1</v>
      </c>
      <c r="S160" s="12">
        <f>MAX(0,MIN(1,((Input!S160-Input!S$204)/(Input!S$205-Input!S$204))))</f>
        <v>0.99</v>
      </c>
      <c r="T160" s="12">
        <f>MAX(0,MIN(1,((Input!T160-Input!T$204)/(Input!T$205-Input!T$204))))</f>
        <v>0.98</v>
      </c>
      <c r="U160" s="12">
        <f>MAX(0,MIN(1,((Input!U160-Input!U$204)/(Input!U$205-Input!U$204))))</f>
        <v>0</v>
      </c>
      <c r="V160" s="26">
        <f>COUNT(Raw!E160:U160)</f>
        <v>14</v>
      </c>
      <c r="W160" s="27">
        <f t="shared" si="4"/>
        <v>17</v>
      </c>
      <c r="AA160">
        <v>1</v>
      </c>
      <c r="AB160">
        <v>2011</v>
      </c>
      <c r="AC160">
        <v>17</v>
      </c>
    </row>
    <row r="161" spans="1:29" ht="13">
      <c r="A161" s="12"/>
      <c r="B161" s="12"/>
      <c r="C161" s="1" t="s">
        <v>69</v>
      </c>
      <c r="D161" s="1" t="s">
        <v>223</v>
      </c>
      <c r="E161" s="12">
        <f>MAX(0,MIN(1,((Input!E161-Input!E$204)/(Input!E$205-Input!E$204))))</f>
        <v>0.85800003049999995</v>
      </c>
      <c r="F161" s="12">
        <f>MAX(0,MIN(1,((Input!F161-Input!F$204)/(Input!F$205-Input!F$204))))</f>
        <v>0.85800003049999995</v>
      </c>
      <c r="G161" s="12">
        <f>MAX(0,MIN(1,((Input!G161-Input!G$204)/(Input!G$205-Input!G$204))))</f>
        <v>0.86599998470000006</v>
      </c>
      <c r="H161" s="12">
        <f>MAX(0,MIN(1,((Input!H161-Input!H$204)/(Input!H$205-Input!H$204))))</f>
        <v>0.86699996950000002</v>
      </c>
      <c r="I161" s="12">
        <f>MAX(0,MIN(1,((Input!I161-Input!I$204)/(Input!I$205-Input!I$204))))</f>
        <v>0.86849998475000012</v>
      </c>
      <c r="J161" s="12">
        <f>MAX(0,MIN(1,((Input!J161-Input!J$204)/(Input!J$205-Input!J$204))))</f>
        <v>0.87</v>
      </c>
      <c r="K161" s="12">
        <f>MAX(0,MIN(1,((Input!K161-Input!K$204)/(Input!K$205-Input!K$204))))</f>
        <v>0.87</v>
      </c>
      <c r="L161" s="12">
        <f>MAX(0,MIN(1,((Input!L161-Input!L$204)/(Input!L$205-Input!L$204))))</f>
        <v>0.87300003049999997</v>
      </c>
      <c r="M161" s="12">
        <f>MAX(0,MIN(1,((Input!M161-Input!M$204)/(Input!M$205-Input!M$204))))</f>
        <v>0.87309997559999997</v>
      </c>
      <c r="N161" s="12">
        <f>MAX(0,MIN(1,((Input!N161-Input!N$204)/(Input!N$205-Input!N$204))))</f>
        <v>0.87309997559999997</v>
      </c>
      <c r="O161" s="12">
        <f>MAX(0,MIN(1,((Input!O161-Input!O$204)/(Input!O$205-Input!O$204))))</f>
        <v>0.87019996639999997</v>
      </c>
      <c r="P161" s="12">
        <f>MAX(0,MIN(1,((Input!P161-Input!P$204)/(Input!P$205-Input!P$204))))</f>
        <v>0.87029998779999995</v>
      </c>
      <c r="Q161" s="12">
        <f>MAX(0,MIN(1,((Input!Q161-Input!Q$204)/(Input!Q$205-Input!Q$204))))</f>
        <v>0.86159698792200001</v>
      </c>
      <c r="R161" s="12">
        <f>MAX(0,MIN(1,((Input!R161-Input!R$204)/(Input!R$205-Input!R$204))))</f>
        <v>0.85289398804400007</v>
      </c>
      <c r="S161" s="12">
        <f>MAX(0,MIN(1,((Input!S161-Input!S$204)/(Input!S$205-Input!S$204))))</f>
        <v>0.84419098816600002</v>
      </c>
      <c r="T161" s="12">
        <f>MAX(0,MIN(1,((Input!T161-Input!T$204)/(Input!T$205-Input!T$204))))</f>
        <v>0.83548798828799997</v>
      </c>
      <c r="U161" s="12">
        <f>MAX(0,MIN(1,((Input!U161-Input!U$204)/(Input!U$205-Input!U$204))))</f>
        <v>0</v>
      </c>
      <c r="V161" s="26">
        <f>COUNT(Raw!E161:U161)</f>
        <v>11</v>
      </c>
      <c r="W161" s="27">
        <f t="shared" si="4"/>
        <v>17</v>
      </c>
      <c r="AA161">
        <v>0.8806031937609311</v>
      </c>
      <c r="AB161">
        <v>2011</v>
      </c>
      <c r="AC161">
        <v>17</v>
      </c>
    </row>
    <row r="162" spans="1:29" ht="13">
      <c r="A162" s="12"/>
      <c r="B162" s="12"/>
      <c r="C162" s="1" t="s">
        <v>71</v>
      </c>
      <c r="D162" s="1" t="s">
        <v>207</v>
      </c>
      <c r="E162" s="12">
        <f>MAX(0,MIN(1,((Input!E162-Input!E$204)/(Input!E$205-Input!E$204))))</f>
        <v>0.80199996949999997</v>
      </c>
      <c r="F162" s="12">
        <f>MAX(0,MIN(1,((Input!F162-Input!F$204)/(Input!F$205-Input!F$204))))</f>
        <v>0.81199996949999997</v>
      </c>
      <c r="G162" s="12">
        <f>MAX(0,MIN(1,((Input!G162-Input!G$204)/(Input!G$205-Input!G$204))))</f>
        <v>0.81699996949999998</v>
      </c>
      <c r="H162" s="12">
        <f>MAX(0,MIN(1,((Input!H162-Input!H$204)/(Input!H$205-Input!H$204))))</f>
        <v>1</v>
      </c>
      <c r="I162" s="12">
        <f>MAX(0,MIN(1,((Input!I162-Input!I$204)/(Input!I$205-Input!I$204))))</f>
        <v>1</v>
      </c>
      <c r="J162" s="12">
        <f>MAX(0,MIN(1,((Input!J162-Input!J$204)/(Input!J$205-Input!J$204))))</f>
        <v>1</v>
      </c>
      <c r="K162" s="12">
        <f>MAX(0,MIN(1,((Input!K162-Input!K$204)/(Input!K$205-Input!K$204))))</f>
        <v>1</v>
      </c>
      <c r="L162" s="12">
        <f>MAX(0,MIN(1,((Input!L162-Input!L$204)/(Input!L$205-Input!L$204))))</f>
        <v>1</v>
      </c>
      <c r="M162" s="12">
        <f>MAX(0,MIN(1,((Input!M162-Input!M$204)/(Input!M$205-Input!M$204))))</f>
        <v>1</v>
      </c>
      <c r="N162" s="12">
        <f>MAX(0,MIN(1,((Input!N162-Input!N$204)/(Input!N$205-Input!N$204))))</f>
        <v>1</v>
      </c>
      <c r="O162" s="12">
        <f>MAX(0,MIN(1,((Input!O162-Input!O$204)/(Input!O$205-Input!O$204))))</f>
        <v>1</v>
      </c>
      <c r="P162" s="12">
        <f>MAX(0,MIN(1,((Input!P162-Input!P$204)/(Input!P$205-Input!P$204))))</f>
        <v>1</v>
      </c>
      <c r="Q162" s="12">
        <f>MAX(0,MIN(1,((Input!Q162-Input!Q$204)/(Input!Q$205-Input!Q$204))))</f>
        <v>1</v>
      </c>
      <c r="R162" s="12">
        <f>MAX(0,MIN(1,((Input!R162-Input!R$204)/(Input!R$205-Input!R$204))))</f>
        <v>1</v>
      </c>
      <c r="S162" s="12">
        <f>MAX(0,MIN(1,((Input!S162-Input!S$204)/(Input!S$205-Input!S$204))))</f>
        <v>0.99</v>
      </c>
      <c r="T162" s="12">
        <f>MAX(0,MIN(1,((Input!T162-Input!T$204)/(Input!T$205-Input!T$204))))</f>
        <v>0.98</v>
      </c>
      <c r="U162" s="12">
        <f>MAX(0,MIN(1,((Input!U162-Input!U$204)/(Input!U$205-Input!U$204))))</f>
        <v>0</v>
      </c>
      <c r="V162" s="26">
        <f>COUNT(Raw!E162:U162)</f>
        <v>13</v>
      </c>
      <c r="W162" s="27">
        <f t="shared" si="4"/>
        <v>17</v>
      </c>
      <c r="AA162">
        <v>1</v>
      </c>
      <c r="AB162">
        <v>2011</v>
      </c>
      <c r="AC162">
        <v>17</v>
      </c>
    </row>
    <row r="163" spans="1:29" ht="13">
      <c r="A163" s="12"/>
      <c r="B163" s="12"/>
      <c r="C163" s="1" t="s">
        <v>346</v>
      </c>
      <c r="D163" s="1" t="s">
        <v>251</v>
      </c>
      <c r="E163" s="12">
        <f>MAX(0,MIN(1,((Input!E163-Input!E$204)/(Input!E$205-Input!E$204))))</f>
        <v>2.4000000950000003E-2</v>
      </c>
      <c r="F163" s="12">
        <f>MAX(0,MIN(1,((Input!F163-Input!F$204)/(Input!F$205-Input!F$204))))</f>
        <v>2.5000000000000001E-2</v>
      </c>
      <c r="G163" s="12">
        <f>MAX(0,MIN(1,((Input!G163-Input!G$204)/(Input!G$205-Input!G$204))))</f>
        <v>2.5000000000000001E-2</v>
      </c>
      <c r="H163" s="12">
        <f>MAX(0,MIN(1,((Input!H163-Input!H$204)/(Input!H$205-Input!H$204))))</f>
        <v>2.5000000000000001E-2</v>
      </c>
      <c r="I163" s="12">
        <f>MAX(0,MIN(1,((Input!I163-Input!I$204)/(Input!I$205-Input!I$204))))</f>
        <v>2.4400000570000004E-2</v>
      </c>
      <c r="J163" s="12">
        <f>MAX(0,MIN(1,((Input!J163-Input!J$204)/(Input!J$205-Input!J$204))))</f>
        <v>2.4400000570000004E-2</v>
      </c>
      <c r="K163" s="12">
        <f>MAX(0,MIN(1,((Input!K163-Input!K$204)/(Input!K$205-Input!K$204))))</f>
        <v>2.4400000570000004E-2</v>
      </c>
      <c r="L163" s="12">
        <f>MAX(0,MIN(1,((Input!L163-Input!L$204)/(Input!L$205-Input!L$204))))</f>
        <v>2.4156000564300003E-2</v>
      </c>
      <c r="M163" s="12">
        <f>MAX(0,MIN(1,((Input!M163-Input!M$204)/(Input!M$205-Input!M$204))))</f>
        <v>2.3912000558600002E-2</v>
      </c>
      <c r="N163" s="12">
        <f>MAX(0,MIN(1,((Input!N163-Input!N$204)/(Input!N$205-Input!N$204))))</f>
        <v>2.3668000552900002E-2</v>
      </c>
      <c r="O163" s="12">
        <f>MAX(0,MIN(1,((Input!O163-Input!O$204)/(Input!O$205-Input!O$204))))</f>
        <v>2.3424000547200001E-2</v>
      </c>
      <c r="P163" s="12">
        <f>MAX(0,MIN(1,((Input!P163-Input!P$204)/(Input!P$205-Input!P$204))))</f>
        <v>2.3180000541500004E-2</v>
      </c>
      <c r="Q163" s="12">
        <f>MAX(0,MIN(1,((Input!Q163-Input!Q$204)/(Input!Q$205-Input!Q$204))))</f>
        <v>2.2936000535800007E-2</v>
      </c>
      <c r="R163" s="12">
        <f>MAX(0,MIN(1,((Input!R163-Input!R$204)/(Input!R$205-Input!R$204))))</f>
        <v>2.2692000530100006E-2</v>
      </c>
      <c r="S163" s="12">
        <f>MAX(0,MIN(1,((Input!S163-Input!S$204)/(Input!S$205-Input!S$204))))</f>
        <v>2.2448000524400005E-2</v>
      </c>
      <c r="T163" s="12">
        <f>MAX(0,MIN(1,((Input!T163-Input!T$204)/(Input!T$205-Input!T$204))))</f>
        <v>2.2204000518700005E-2</v>
      </c>
      <c r="U163" s="12">
        <f>MAX(0,MIN(1,((Input!U163-Input!U$204)/(Input!U$205-Input!U$204))))</f>
        <v>0</v>
      </c>
      <c r="V163" s="26">
        <f>COUNT(Raw!E163:U163)</f>
        <v>7</v>
      </c>
      <c r="W163" s="27">
        <f t="shared" si="4"/>
        <v>17</v>
      </c>
      <c r="AA163">
        <v>2.4321429216071423E-2</v>
      </c>
      <c r="AB163">
        <v>2011</v>
      </c>
      <c r="AC163">
        <v>17</v>
      </c>
    </row>
    <row r="164" spans="1:29" ht="13">
      <c r="A164" s="12"/>
      <c r="B164" s="12"/>
      <c r="C164" s="1" t="s">
        <v>394</v>
      </c>
      <c r="D164" s="1" t="s">
        <v>161</v>
      </c>
      <c r="E164" s="12">
        <f>MAX(0,MIN(1,((Input!E164-Input!E$204)/(Input!E$205-Input!E$204))))</f>
        <v>0.1180000019</v>
      </c>
      <c r="F164" s="12">
        <f>MAX(0,MIN(1,((Input!F164-Input!F$204)/(Input!F$205-Input!F$204))))</f>
        <v>0.1180000019</v>
      </c>
      <c r="G164" s="12">
        <f>MAX(0,MIN(1,((Input!G164-Input!G$204)/(Input!G$205-Input!G$204))))</f>
        <v>0.1180000019</v>
      </c>
      <c r="H164" s="12">
        <f>MAX(0,MIN(1,((Input!H164-Input!H$204)/(Input!H$205-Input!H$204))))</f>
        <v>0.1180000019</v>
      </c>
      <c r="I164" s="12">
        <f>MAX(0,MIN(1,((Input!I164-Input!I$204)/(Input!I$205-Input!I$204))))</f>
        <v>0.1180000019</v>
      </c>
      <c r="J164" s="12">
        <f>MAX(0,MIN(1,((Input!J164-Input!J$204)/(Input!J$205-Input!J$204))))</f>
        <v>0.1180000019</v>
      </c>
      <c r="K164" s="12">
        <f>MAX(0,MIN(1,((Input!K164-Input!K$204)/(Input!K$205-Input!K$204))))</f>
        <v>0.1180000019</v>
      </c>
      <c r="L164" s="12">
        <f>MAX(0,MIN(1,((Input!L164-Input!L$204)/(Input!L$205-Input!L$204))))</f>
        <v>0.116820001881</v>
      </c>
      <c r="M164" s="12">
        <f>MAX(0,MIN(1,((Input!M164-Input!M$204)/(Input!M$205-Input!M$204))))</f>
        <v>0.11564000186200002</v>
      </c>
      <c r="N164" s="12">
        <f>MAX(0,MIN(1,((Input!N164-Input!N$204)/(Input!N$205-Input!N$204))))</f>
        <v>0.11446000184300001</v>
      </c>
      <c r="O164" s="12">
        <f>MAX(0,MIN(1,((Input!O164-Input!O$204)/(Input!O$205-Input!O$204))))</f>
        <v>0.113280001824</v>
      </c>
      <c r="P164" s="12">
        <f>MAX(0,MIN(1,((Input!P164-Input!P$204)/(Input!P$205-Input!P$204))))</f>
        <v>0.11210000180500002</v>
      </c>
      <c r="Q164" s="12">
        <f>MAX(0,MIN(1,((Input!Q164-Input!Q$204)/(Input!Q$205-Input!Q$204))))</f>
        <v>0.11092000178600001</v>
      </c>
      <c r="R164" s="12">
        <f>MAX(0,MIN(1,((Input!R164-Input!R$204)/(Input!R$205-Input!R$204))))</f>
        <v>0.10974000176700001</v>
      </c>
      <c r="S164" s="12">
        <f>MAX(0,MIN(1,((Input!S164-Input!S$204)/(Input!S$205-Input!S$204))))</f>
        <v>0.10856000174800001</v>
      </c>
      <c r="T164" s="12">
        <f>MAX(0,MIN(1,((Input!T164-Input!T$204)/(Input!T$205-Input!T$204))))</f>
        <v>0.10738000172900002</v>
      </c>
      <c r="U164" s="12">
        <f>MAX(0,MIN(1,((Input!U164-Input!U$204)/(Input!U$205-Input!U$204))))</f>
        <v>0</v>
      </c>
      <c r="V164" s="26">
        <f>COUNT(Raw!E164:U164)</f>
        <v>7</v>
      </c>
      <c r="W164" s="27">
        <f t="shared" si="4"/>
        <v>17</v>
      </c>
      <c r="AA164">
        <v>0.11800000190000003</v>
      </c>
      <c r="AB164">
        <v>2011</v>
      </c>
      <c r="AC164">
        <v>17</v>
      </c>
    </row>
    <row r="165" spans="1:29" ht="13">
      <c r="A165" s="12"/>
      <c r="B165" s="12"/>
      <c r="C165" s="1" t="s">
        <v>248</v>
      </c>
      <c r="D165" s="1" t="s">
        <v>109</v>
      </c>
      <c r="E165" s="12">
        <f>MAX(0,MIN(1,((Input!E165-Input!E$204)/(Input!E$205-Input!E$204))))</f>
        <v>0.19503000752400002</v>
      </c>
      <c r="F165" s="12">
        <f>MAX(0,MIN(1,((Input!F165-Input!F$204)/(Input!F$205-Input!F$204))))</f>
        <v>0.19700000760000003</v>
      </c>
      <c r="G165" s="12">
        <f>MAX(0,MIN(1,((Input!G165-Input!G$204)/(Input!G$205-Input!G$204))))</f>
        <v>0.19700000760000003</v>
      </c>
      <c r="H165" s="12">
        <f>MAX(0,MIN(1,((Input!H165-Input!H$204)/(Input!H$205-Input!H$204))))</f>
        <v>0.19700000760000003</v>
      </c>
      <c r="I165" s="12">
        <f>MAX(0,MIN(1,((Input!I165-Input!I$204)/(Input!I$205-Input!I$204))))</f>
        <v>0.2029999924</v>
      </c>
      <c r="J165" s="12">
        <f>MAX(0,MIN(1,((Input!J165-Input!J$204)/(Input!J$205-Input!J$204))))</f>
        <v>0.2029999924</v>
      </c>
      <c r="K165" s="12">
        <f>MAX(0,MIN(1,((Input!K165-Input!K$204)/(Input!K$205-Input!K$204))))</f>
        <v>0.17299999239999997</v>
      </c>
      <c r="L165" s="12">
        <f>MAX(0,MIN(1,((Input!L165-Input!L$204)/(Input!L$205-Input!L$204))))</f>
        <v>0.17126999247599997</v>
      </c>
      <c r="M165" s="12">
        <f>MAX(0,MIN(1,((Input!M165-Input!M$204)/(Input!M$205-Input!M$204))))</f>
        <v>0.169539992552</v>
      </c>
      <c r="N165" s="12">
        <f>MAX(0,MIN(1,((Input!N165-Input!N$204)/(Input!N$205-Input!N$204))))</f>
        <v>0.16780999262799998</v>
      </c>
      <c r="O165" s="12">
        <f>MAX(0,MIN(1,((Input!O165-Input!O$204)/(Input!O$205-Input!O$204))))</f>
        <v>0.16607999270399998</v>
      </c>
      <c r="P165" s="12">
        <f>MAX(0,MIN(1,((Input!P165-Input!P$204)/(Input!P$205-Input!P$204))))</f>
        <v>0.16434999277999998</v>
      </c>
      <c r="Q165" s="12">
        <f>MAX(0,MIN(1,((Input!Q165-Input!Q$204)/(Input!Q$205-Input!Q$204))))</f>
        <v>0.16261999285599998</v>
      </c>
      <c r="R165" s="12">
        <f>MAX(0,MIN(1,((Input!R165-Input!R$204)/(Input!R$205-Input!R$204))))</f>
        <v>0.16088999293199996</v>
      </c>
      <c r="S165" s="12">
        <f>MAX(0,MIN(1,((Input!S165-Input!S$204)/(Input!S$205-Input!S$204))))</f>
        <v>0.15915999300799999</v>
      </c>
      <c r="T165" s="12">
        <f>MAX(0,MIN(1,((Input!T165-Input!T$204)/(Input!T$205-Input!T$204))))</f>
        <v>0.15742999308399999</v>
      </c>
      <c r="U165" s="12">
        <f>MAX(0,MIN(1,((Input!U165-Input!U$204)/(Input!U$205-Input!U$204))))</f>
        <v>0</v>
      </c>
      <c r="V165" s="26">
        <f>COUNT(Raw!E165:U165)</f>
        <v>6</v>
      </c>
      <c r="W165" s="27">
        <f t="shared" si="4"/>
        <v>17</v>
      </c>
      <c r="AA165">
        <v>0.16071423685714309</v>
      </c>
      <c r="AB165">
        <v>2011</v>
      </c>
      <c r="AC165">
        <v>17</v>
      </c>
    </row>
    <row r="166" spans="1:29" ht="13">
      <c r="A166" s="12"/>
      <c r="B166" s="12"/>
      <c r="C166" s="1" t="s">
        <v>371</v>
      </c>
      <c r="D166" s="1" t="s">
        <v>151</v>
      </c>
      <c r="E166" s="12">
        <f>MAX(0,MIN(1,((Input!E166-Input!E$204)/(Input!E$205-Input!E$204))))</f>
        <v>0.99</v>
      </c>
      <c r="F166" s="12">
        <f>MAX(0,MIN(1,((Input!F166-Input!F$204)/(Input!F$205-Input!F$204))))</f>
        <v>0.99</v>
      </c>
      <c r="G166" s="12">
        <f>MAX(0,MIN(1,((Input!G166-Input!G$204)/(Input!G$205-Input!G$204))))</f>
        <v>0.99</v>
      </c>
      <c r="H166" s="12">
        <f>MAX(0,MIN(1,((Input!H166-Input!H$204)/(Input!H$205-Input!H$204))))</f>
        <v>0.99</v>
      </c>
      <c r="I166" s="12">
        <f>MAX(0,MIN(1,((Input!I166-Input!I$204)/(Input!I$205-Input!I$204))))</f>
        <v>0.99</v>
      </c>
      <c r="J166" s="12">
        <f>MAX(0,MIN(1,((Input!J166-Input!J$204)/(Input!J$205-Input!J$204))))</f>
        <v>0.99</v>
      </c>
      <c r="K166" s="12">
        <f>MAX(0,MIN(1,((Input!K166-Input!K$204)/(Input!K$205-Input!K$204))))</f>
        <v>0.99</v>
      </c>
      <c r="L166" s="12">
        <f>MAX(0,MIN(1,((Input!L166-Input!L$204)/(Input!L$205-Input!L$204))))</f>
        <v>0.99</v>
      </c>
      <c r="M166" s="12">
        <f>MAX(0,MIN(1,((Input!M166-Input!M$204)/(Input!M$205-Input!M$204))))</f>
        <v>0.99</v>
      </c>
      <c r="N166" s="12">
        <f>MAX(0,MIN(1,((Input!N166-Input!N$204)/(Input!N$205-Input!N$204))))</f>
        <v>0.98010000000000008</v>
      </c>
      <c r="O166" s="12">
        <f>MAX(0,MIN(1,((Input!O166-Input!O$204)/(Input!O$205-Input!O$204))))</f>
        <v>0.97019999999999995</v>
      </c>
      <c r="P166" s="12">
        <f>MAX(0,MIN(1,((Input!P166-Input!P$204)/(Input!P$205-Input!P$204))))</f>
        <v>0.96030000000000004</v>
      </c>
      <c r="Q166" s="12">
        <f>MAX(0,MIN(1,((Input!Q166-Input!Q$204)/(Input!Q$205-Input!Q$204))))</f>
        <v>0.95039999999999991</v>
      </c>
      <c r="R166" s="12">
        <f>MAX(0,MIN(1,((Input!R166-Input!R$204)/(Input!R$205-Input!R$204))))</f>
        <v>0.9405</v>
      </c>
      <c r="S166" s="12">
        <f>MAX(0,MIN(1,((Input!S166-Input!S$204)/(Input!S$205-Input!S$204))))</f>
        <v>0.93059999999999987</v>
      </c>
      <c r="T166" s="12">
        <f>MAX(0,MIN(1,((Input!T166-Input!T$204)/(Input!T$205-Input!T$204))))</f>
        <v>0.92069999999999996</v>
      </c>
      <c r="U166" s="12">
        <f>MAX(0,MIN(1,((Input!U166-Input!U$204)/(Input!U$205-Input!U$204))))</f>
        <v>0</v>
      </c>
      <c r="V166" s="26">
        <f>COUNT(Raw!E166:U166)</f>
        <v>8</v>
      </c>
      <c r="W166" s="27">
        <f t="shared" ref="W166:W197" si="5">COUNT(E166:U166)</f>
        <v>17</v>
      </c>
      <c r="AA166">
        <v>0.99</v>
      </c>
      <c r="AB166">
        <v>2011</v>
      </c>
      <c r="AC166">
        <v>17</v>
      </c>
    </row>
    <row r="167" spans="1:29" ht="13">
      <c r="A167" s="12"/>
      <c r="B167" s="12"/>
      <c r="C167" s="1" t="s">
        <v>233</v>
      </c>
      <c r="D167" s="1" t="s">
        <v>344</v>
      </c>
      <c r="E167" s="12">
        <f>MAX(0,MIN(1,((Input!E167-Input!E$204)/(Input!E$205-Input!E$204))))</f>
        <v>0.79831196596200005</v>
      </c>
      <c r="F167" s="12">
        <f>MAX(0,MIN(1,((Input!F167-Input!F$204)/(Input!F$205-Input!F$204))))</f>
        <v>0.80689596559600008</v>
      </c>
      <c r="G167" s="12">
        <f>MAX(0,MIN(1,((Input!G167-Input!G$204)/(Input!G$205-Input!G$204))))</f>
        <v>0.81547996522999999</v>
      </c>
      <c r="H167" s="12">
        <f>MAX(0,MIN(1,((Input!H167-Input!H$204)/(Input!H$205-Input!H$204))))</f>
        <v>0.82406396486400002</v>
      </c>
      <c r="I167" s="12">
        <f>MAX(0,MIN(1,((Input!I167-Input!I$204)/(Input!I$205-Input!I$204))))</f>
        <v>0.83264796449800005</v>
      </c>
      <c r="J167" s="12">
        <f>MAX(0,MIN(1,((Input!J167-Input!J$204)/(Input!J$205-Input!J$204))))</f>
        <v>0.84123196413200008</v>
      </c>
      <c r="K167" s="12">
        <f>MAX(0,MIN(1,((Input!K167-Input!K$204)/(Input!K$205-Input!K$204))))</f>
        <v>0.84981596376599999</v>
      </c>
      <c r="L167" s="12">
        <f>MAX(0,MIN(1,((Input!L167-Input!L$204)/(Input!L$205-Input!L$204))))</f>
        <v>0.85839996340000002</v>
      </c>
      <c r="M167" s="12">
        <f>MAX(0,MIN(1,((Input!M167-Input!M$204)/(Input!M$205-Input!M$204))))</f>
        <v>0.81</v>
      </c>
      <c r="N167" s="12">
        <f>MAX(0,MIN(1,((Input!N167-Input!N$204)/(Input!N$205-Input!N$204))))</f>
        <v>0.80189999999999995</v>
      </c>
      <c r="O167" s="12">
        <f>MAX(0,MIN(1,((Input!O167-Input!O$204)/(Input!O$205-Input!O$204))))</f>
        <v>0.79379999999999995</v>
      </c>
      <c r="P167" s="12">
        <f>MAX(0,MIN(1,((Input!P167-Input!P$204)/(Input!P$205-Input!P$204))))</f>
        <v>0.78569999999999995</v>
      </c>
      <c r="Q167" s="12">
        <f>MAX(0,MIN(1,((Input!Q167-Input!Q$204)/(Input!Q$205-Input!Q$204))))</f>
        <v>0.77760000000000007</v>
      </c>
      <c r="R167" s="12">
        <f>MAX(0,MIN(1,((Input!R167-Input!R$204)/(Input!R$205-Input!R$204))))</f>
        <v>0.76950000000000007</v>
      </c>
      <c r="S167" s="12">
        <f>MAX(0,MIN(1,((Input!S167-Input!S$204)/(Input!S$205-Input!S$204))))</f>
        <v>0.76139999999999997</v>
      </c>
      <c r="T167" s="12">
        <f>MAX(0,MIN(1,((Input!T167-Input!T$204)/(Input!T$205-Input!T$204))))</f>
        <v>0.75329999999999997</v>
      </c>
      <c r="U167" s="12">
        <f>MAX(0,MIN(1,((Input!U167-Input!U$204)/(Input!U$205-Input!U$204))))</f>
        <v>0</v>
      </c>
      <c r="V167" s="26">
        <f>COUNT(Raw!E167:U167)</f>
        <v>2</v>
      </c>
      <c r="W167" s="27">
        <f t="shared" si="5"/>
        <v>17</v>
      </c>
      <c r="AA167">
        <v>0.42280029280000236</v>
      </c>
      <c r="AB167">
        <v>2011</v>
      </c>
      <c r="AC167">
        <v>17</v>
      </c>
    </row>
    <row r="168" spans="1:29" ht="13">
      <c r="A168" s="12"/>
      <c r="B168" s="12"/>
      <c r="C168" s="1" t="s">
        <v>228</v>
      </c>
      <c r="D168" s="1" t="s">
        <v>61</v>
      </c>
      <c r="E168" s="12">
        <f>MAX(0,MIN(1,((Input!E168-Input!E$204)/(Input!E$205-Input!E$204))))</f>
        <v>0.36200000760000001</v>
      </c>
      <c r="F168" s="12">
        <f>MAX(0,MIN(1,((Input!F168-Input!F$204)/(Input!F$205-Input!F$204))))</f>
        <v>0.36299999239999997</v>
      </c>
      <c r="G168" s="12">
        <f>MAX(0,MIN(1,((Input!G168-Input!G$204)/(Input!G$205-Input!G$204))))</f>
        <v>0.36299999239999997</v>
      </c>
      <c r="H168" s="12">
        <f>MAX(0,MIN(1,((Input!H168-Input!H$204)/(Input!H$205-Input!H$204))))</f>
        <v>0.36299999239999997</v>
      </c>
      <c r="I168" s="12">
        <f>MAX(0,MIN(1,((Input!I168-Input!I$204)/(Input!I$205-Input!I$204))))</f>
        <v>0.36299999239999997</v>
      </c>
      <c r="J168" s="12">
        <f>MAX(0,MIN(1,((Input!J168-Input!J$204)/(Input!J$205-Input!J$204))))</f>
        <v>0.36299999239999997</v>
      </c>
      <c r="K168" s="12">
        <f>MAX(0,MIN(1,((Input!K168-Input!K$204)/(Input!K$205-Input!K$204))))</f>
        <v>0.36299999239999997</v>
      </c>
      <c r="L168" s="12">
        <f>MAX(0,MIN(1,((Input!L168-Input!L$204)/(Input!L$205-Input!L$204))))</f>
        <v>0.35936999247599999</v>
      </c>
      <c r="M168" s="12">
        <f>MAX(0,MIN(1,((Input!M168-Input!M$204)/(Input!M$205-Input!M$204))))</f>
        <v>0.35573999255200001</v>
      </c>
      <c r="N168" s="12">
        <f>MAX(0,MIN(1,((Input!N168-Input!N$204)/(Input!N$205-Input!N$204))))</f>
        <v>0.35210999262800002</v>
      </c>
      <c r="O168" s="12">
        <f>MAX(0,MIN(1,((Input!O168-Input!O$204)/(Input!O$205-Input!O$204))))</f>
        <v>0.34847999270400004</v>
      </c>
      <c r="P168" s="12">
        <f>MAX(0,MIN(1,((Input!P168-Input!P$204)/(Input!P$205-Input!P$204))))</f>
        <v>0.34484999277999995</v>
      </c>
      <c r="Q168" s="12">
        <f>MAX(0,MIN(1,((Input!Q168-Input!Q$204)/(Input!Q$205-Input!Q$204))))</f>
        <v>0.34121999285599997</v>
      </c>
      <c r="R168" s="12">
        <f>MAX(0,MIN(1,((Input!R168-Input!R$204)/(Input!R$205-Input!R$204))))</f>
        <v>0.33758999293199998</v>
      </c>
      <c r="S168" s="12">
        <f>MAX(0,MIN(1,((Input!S168-Input!S$204)/(Input!S$205-Input!S$204))))</f>
        <v>0.333959993008</v>
      </c>
      <c r="T168" s="12">
        <f>MAX(0,MIN(1,((Input!T168-Input!T$204)/(Input!T$205-Input!T$204))))</f>
        <v>0.33032999308400002</v>
      </c>
      <c r="U168" s="12">
        <f>MAX(0,MIN(1,((Input!U168-Input!U$204)/(Input!U$205-Input!U$204))))</f>
        <v>0</v>
      </c>
      <c r="V168" s="26">
        <f>COUNT(Raw!E168:U168)</f>
        <v>7</v>
      </c>
      <c r="W168" s="27">
        <f t="shared" si="5"/>
        <v>17</v>
      </c>
      <c r="AA168">
        <v>0.36424997339999998</v>
      </c>
      <c r="AB168">
        <v>2011</v>
      </c>
      <c r="AC168">
        <v>17</v>
      </c>
    </row>
    <row r="169" spans="1:29" ht="13">
      <c r="A169" s="12"/>
      <c r="B169" s="12"/>
      <c r="C169" s="1" t="s">
        <v>31</v>
      </c>
      <c r="D169" s="1" t="s">
        <v>390</v>
      </c>
      <c r="E169" s="12">
        <f>MAX(0,MIN(1,((Input!E169-Input!E$204)/(Input!E$205-Input!E$204))))</f>
        <v>0.26</v>
      </c>
      <c r="F169" s="12">
        <f>MAX(0,MIN(1,((Input!F169-Input!F$204)/(Input!F$205-Input!F$204))))</f>
        <v>0.26</v>
      </c>
      <c r="G169" s="12">
        <f>MAX(0,MIN(1,((Input!G169-Input!G$204)/(Input!G$205-Input!G$204))))</f>
        <v>0.26</v>
      </c>
      <c r="H169" s="12">
        <f>MAX(0,MIN(1,((Input!H169-Input!H$204)/(Input!H$205-Input!H$204))))</f>
        <v>0.26</v>
      </c>
      <c r="I169" s="12">
        <f>MAX(0,MIN(1,((Input!I169-Input!I$204)/(Input!I$205-Input!I$204))))</f>
        <v>0.26</v>
      </c>
      <c r="J169" s="12">
        <f>MAX(0,MIN(1,((Input!J169-Input!J$204)/(Input!J$205-Input!J$204))))</f>
        <v>0.26</v>
      </c>
      <c r="K169" s="12">
        <f>MAX(0,MIN(1,((Input!K169-Input!K$204)/(Input!K$205-Input!K$204))))</f>
        <v>0.26</v>
      </c>
      <c r="L169" s="12">
        <f>MAX(0,MIN(1,((Input!L169-Input!L$204)/(Input!L$205-Input!L$204))))</f>
        <v>0.26</v>
      </c>
      <c r="M169" s="12">
        <f>MAX(0,MIN(1,((Input!M169-Input!M$204)/(Input!M$205-Input!M$204))))</f>
        <v>0.26250000000000001</v>
      </c>
      <c r="N169" s="12">
        <f>MAX(0,MIN(1,((Input!N169-Input!N$204)/(Input!N$205-Input!N$204))))</f>
        <v>0.25987500000000002</v>
      </c>
      <c r="O169" s="12">
        <f>MAX(0,MIN(1,((Input!O169-Input!O$204)/(Input!O$205-Input!O$204))))</f>
        <v>0.25724999999999998</v>
      </c>
      <c r="P169" s="12">
        <f>MAX(0,MIN(1,((Input!P169-Input!P$204)/(Input!P$205-Input!P$204))))</f>
        <v>0.25462499999999999</v>
      </c>
      <c r="Q169" s="12">
        <f>MAX(0,MIN(1,((Input!Q169-Input!Q$204)/(Input!Q$205-Input!Q$204))))</f>
        <v>0.252</v>
      </c>
      <c r="R169" s="12">
        <f>MAX(0,MIN(1,((Input!R169-Input!R$204)/(Input!R$205-Input!R$204))))</f>
        <v>0.24937500000000001</v>
      </c>
      <c r="S169" s="12">
        <f>MAX(0,MIN(1,((Input!S169-Input!S$204)/(Input!S$205-Input!S$204))))</f>
        <v>0.24674999999999997</v>
      </c>
      <c r="T169" s="12">
        <f>MAX(0,MIN(1,((Input!T169-Input!T$204)/(Input!T$205-Input!T$204))))</f>
        <v>0.24412499999999998</v>
      </c>
      <c r="U169" s="12">
        <f>MAX(0,MIN(1,((Input!U169-Input!U$204)/(Input!U$205-Input!U$204))))</f>
        <v>0</v>
      </c>
      <c r="V169" s="26">
        <f>COUNT(Raw!E169:U169)</f>
        <v>7</v>
      </c>
      <c r="W169" s="27">
        <f t="shared" si="5"/>
        <v>17</v>
      </c>
      <c r="AA169">
        <v>0.26228058510638297</v>
      </c>
      <c r="AB169">
        <v>2011</v>
      </c>
      <c r="AC169">
        <v>17</v>
      </c>
    </row>
    <row r="170" spans="1:29" ht="13">
      <c r="A170" s="12"/>
      <c r="B170" s="12"/>
      <c r="C170" s="1" t="s">
        <v>50</v>
      </c>
      <c r="D170" s="1" t="s">
        <v>366</v>
      </c>
      <c r="E170" s="12">
        <f>MAX(0,MIN(1,((Input!E170-Input!E$204)/(Input!E$205-Input!E$204))))</f>
        <v>0.27890699786099998</v>
      </c>
      <c r="F170" s="12">
        <f>MAX(0,MIN(1,((Input!F170-Input!F$204)/(Input!F$205-Input!F$204))))</f>
        <v>0.28190599783800002</v>
      </c>
      <c r="G170" s="12">
        <f>MAX(0,MIN(1,((Input!G170-Input!G$204)/(Input!G$205-Input!G$204))))</f>
        <v>0.28490499781500001</v>
      </c>
      <c r="H170" s="12">
        <f>MAX(0,MIN(1,((Input!H170-Input!H$204)/(Input!H$205-Input!H$204))))</f>
        <v>0.28790399779199999</v>
      </c>
      <c r="I170" s="12">
        <f>MAX(0,MIN(1,((Input!I170-Input!I$204)/(Input!I$205-Input!I$204))))</f>
        <v>0.29090299776900003</v>
      </c>
      <c r="J170" s="12">
        <f>MAX(0,MIN(1,((Input!J170-Input!J$204)/(Input!J$205-Input!J$204))))</f>
        <v>0.29390199774600001</v>
      </c>
      <c r="K170" s="12">
        <f>MAX(0,MIN(1,((Input!K170-Input!K$204)/(Input!K$205-Input!K$204))))</f>
        <v>0.29690099772299999</v>
      </c>
      <c r="L170" s="12">
        <f>MAX(0,MIN(1,((Input!L170-Input!L$204)/(Input!L$205-Input!L$204))))</f>
        <v>0.29989999770000003</v>
      </c>
      <c r="M170" s="12">
        <f>MAX(0,MIN(1,((Input!M170-Input!M$204)/(Input!M$205-Input!M$204))))</f>
        <v>0.29690099772299999</v>
      </c>
      <c r="N170" s="12">
        <f>MAX(0,MIN(1,((Input!N170-Input!N$204)/(Input!N$205-Input!N$204))))</f>
        <v>0.29390199774600001</v>
      </c>
      <c r="O170" s="12">
        <f>MAX(0,MIN(1,((Input!O170-Input!O$204)/(Input!O$205-Input!O$204))))</f>
        <v>0.29090299776900003</v>
      </c>
      <c r="P170" s="12">
        <f>MAX(0,MIN(1,((Input!P170-Input!P$204)/(Input!P$205-Input!P$204))))</f>
        <v>0.28790399779199999</v>
      </c>
      <c r="Q170" s="12">
        <f>MAX(0,MIN(1,((Input!Q170-Input!Q$204)/(Input!Q$205-Input!Q$204))))</f>
        <v>0.28490499781500001</v>
      </c>
      <c r="R170" s="12">
        <f>MAX(0,MIN(1,((Input!R170-Input!R$204)/(Input!R$205-Input!R$204))))</f>
        <v>0.28190599783800002</v>
      </c>
      <c r="S170" s="12">
        <f>MAX(0,MIN(1,((Input!S170-Input!S$204)/(Input!S$205-Input!S$204))))</f>
        <v>0.27890699786099998</v>
      </c>
      <c r="T170" s="12">
        <f>MAX(0,MIN(1,((Input!T170-Input!T$204)/(Input!T$205-Input!T$204))))</f>
        <v>0.275907997884</v>
      </c>
      <c r="U170" s="12">
        <f>MAX(0,MIN(1,((Input!U170-Input!U$204)/(Input!U$205-Input!U$204))))</f>
        <v>0</v>
      </c>
      <c r="V170" s="26">
        <f>COUNT(Raw!E170:U170)</f>
        <v>1</v>
      </c>
      <c r="W170" s="27">
        <f t="shared" si="5"/>
        <v>17</v>
      </c>
      <c r="AA170">
        <v>0.21892699832099879</v>
      </c>
      <c r="AB170">
        <v>2011</v>
      </c>
      <c r="AC170">
        <v>17</v>
      </c>
    </row>
    <row r="171" spans="1:29" ht="13">
      <c r="A171" s="12"/>
      <c r="B171" s="12"/>
      <c r="C171" s="1" t="s">
        <v>53</v>
      </c>
      <c r="D171" s="1" t="s">
        <v>49</v>
      </c>
      <c r="E171" s="12">
        <f>MAX(0,MIN(1,((Input!E171-Input!E$204)/(Input!E$205-Input!E$204))))</f>
        <v>0.28667199861999998</v>
      </c>
      <c r="F171" s="12">
        <f>MAX(0,MIN(1,((Input!F171-Input!F$204)/(Input!F$205-Input!F$204))))</f>
        <v>0.28978799860499999</v>
      </c>
      <c r="G171" s="12">
        <f>MAX(0,MIN(1,((Input!G171-Input!G$204)/(Input!G$205-Input!G$204))))</f>
        <v>0.29290399858999999</v>
      </c>
      <c r="H171" s="12">
        <f>MAX(0,MIN(1,((Input!H171-Input!H$204)/(Input!H$205-Input!H$204))))</f>
        <v>0.296019998575</v>
      </c>
      <c r="I171" s="12">
        <f>MAX(0,MIN(1,((Input!I171-Input!I$204)/(Input!I$205-Input!I$204))))</f>
        <v>0.29913599855999995</v>
      </c>
      <c r="J171" s="12">
        <f>MAX(0,MIN(1,((Input!J171-Input!J$204)/(Input!J$205-Input!J$204))))</f>
        <v>0.30225199854499996</v>
      </c>
      <c r="K171" s="12">
        <f>MAX(0,MIN(1,((Input!K171-Input!K$204)/(Input!K$205-Input!K$204))))</f>
        <v>0.30536799852999996</v>
      </c>
      <c r="L171" s="12">
        <f>MAX(0,MIN(1,((Input!L171-Input!L$204)/(Input!L$205-Input!L$204))))</f>
        <v>0.30848399851499997</v>
      </c>
      <c r="M171" s="12">
        <f>MAX(0,MIN(1,((Input!M171-Input!M$204)/(Input!M$205-Input!M$204))))</f>
        <v>0.31159999849999998</v>
      </c>
      <c r="N171" s="12">
        <f>MAX(0,MIN(1,((Input!N171-Input!N$204)/(Input!N$205-Input!N$204))))</f>
        <v>0.30510000230000001</v>
      </c>
      <c r="O171" s="12">
        <f>MAX(0,MIN(1,((Input!O171-Input!O$204)/(Input!O$205-Input!O$204))))</f>
        <v>0.31479999540000003</v>
      </c>
      <c r="P171" s="12">
        <f>MAX(0,MIN(1,((Input!P171-Input!P$204)/(Input!P$205-Input!P$204))))</f>
        <v>0.31654672880000001</v>
      </c>
      <c r="Q171" s="12">
        <f>MAX(0,MIN(1,((Input!Q171-Input!Q$204)/(Input!Q$205-Input!Q$204))))</f>
        <v>0.31662705339999997</v>
      </c>
      <c r="R171" s="12">
        <f>MAX(0,MIN(1,((Input!R171-Input!R$204)/(Input!R$205-Input!R$204))))</f>
        <v>0.23569999999999999</v>
      </c>
      <c r="S171" s="12">
        <f>MAX(0,MIN(1,((Input!S171-Input!S$204)/(Input!S$205-Input!S$204))))</f>
        <v>0.23334299999999999</v>
      </c>
      <c r="T171" s="12">
        <f>MAX(0,MIN(1,((Input!T171-Input!T$204)/(Input!T$205-Input!T$204))))</f>
        <v>0.23098600000000002</v>
      </c>
      <c r="U171" s="12">
        <f>MAX(0,MIN(1,((Input!U171-Input!U$204)/(Input!U$205-Input!U$204))))</f>
        <v>0</v>
      </c>
      <c r="V171" s="26">
        <f>COUNT(Raw!E171:U171)</f>
        <v>6</v>
      </c>
      <c r="W171" s="27">
        <f t="shared" si="5"/>
        <v>17</v>
      </c>
      <c r="AA171">
        <v>0.24613525120285432</v>
      </c>
      <c r="AB171">
        <v>2011</v>
      </c>
      <c r="AC171">
        <v>17</v>
      </c>
    </row>
    <row r="172" spans="1:29" ht="13">
      <c r="A172" s="12"/>
      <c r="B172" s="12"/>
      <c r="C172" s="1" t="s">
        <v>254</v>
      </c>
      <c r="D172" s="1" t="s">
        <v>317</v>
      </c>
      <c r="E172" s="12">
        <f>MAX(0,MIN(1,((Input!E172-Input!E$204)/(Input!E$205-Input!E$204))))</f>
        <v>0.92</v>
      </c>
      <c r="F172" s="12">
        <f>MAX(0,MIN(1,((Input!F172-Input!F$204)/(Input!F$205-Input!F$204))))</f>
        <v>0.93</v>
      </c>
      <c r="G172" s="12">
        <f>MAX(0,MIN(1,((Input!G172-Input!G$204)/(Input!G$205-Input!G$204))))</f>
        <v>0.94</v>
      </c>
      <c r="H172" s="12">
        <f>MAX(0,MIN(1,((Input!H172-Input!H$204)/(Input!H$205-Input!H$204))))</f>
        <v>0.95</v>
      </c>
      <c r="I172" s="12">
        <f>MAX(0,MIN(1,((Input!I172-Input!I$204)/(Input!I$205-Input!I$204))))</f>
        <v>0.96</v>
      </c>
      <c r="J172" s="12">
        <f>MAX(0,MIN(1,((Input!J172-Input!J$204)/(Input!J$205-Input!J$204))))</f>
        <v>0.97</v>
      </c>
      <c r="K172" s="12">
        <f>MAX(0,MIN(1,((Input!K172-Input!K$204)/(Input!K$205-Input!K$204))))</f>
        <v>0.98</v>
      </c>
      <c r="L172" s="12">
        <f>MAX(0,MIN(1,((Input!L172-Input!L$204)/(Input!L$205-Input!L$204))))</f>
        <v>0.99</v>
      </c>
      <c r="M172" s="12">
        <f>MAX(0,MIN(1,((Input!M172-Input!M$204)/(Input!M$205-Input!M$204))))</f>
        <v>1</v>
      </c>
      <c r="N172" s="12">
        <f>MAX(0,MIN(1,((Input!N172-Input!N$204)/(Input!N$205-Input!N$204))))</f>
        <v>1</v>
      </c>
      <c r="O172" s="12">
        <f>MAX(0,MIN(1,((Input!O172-Input!O$204)/(Input!O$205-Input!O$204))))</f>
        <v>1</v>
      </c>
      <c r="P172" s="12">
        <f>MAX(0,MIN(1,((Input!P172-Input!P$204)/(Input!P$205-Input!P$204))))</f>
        <v>1</v>
      </c>
      <c r="Q172" s="12">
        <f>MAX(0,MIN(1,((Input!Q172-Input!Q$204)/(Input!Q$205-Input!Q$204))))</f>
        <v>1</v>
      </c>
      <c r="R172" s="12">
        <f>MAX(0,MIN(1,((Input!R172-Input!R$204)/(Input!R$205-Input!R$204))))</f>
        <v>1</v>
      </c>
      <c r="S172" s="12">
        <f>MAX(0,MIN(1,((Input!S172-Input!S$204)/(Input!S$205-Input!S$204))))</f>
        <v>0.99</v>
      </c>
      <c r="T172" s="12">
        <f>MAX(0,MIN(1,((Input!T172-Input!T$204)/(Input!T$205-Input!T$204))))</f>
        <v>0.98</v>
      </c>
      <c r="U172" s="12">
        <f>MAX(0,MIN(1,((Input!U172-Input!U$204)/(Input!U$205-Input!U$204))))</f>
        <v>0</v>
      </c>
      <c r="V172" s="26">
        <f>COUNT(Raw!E172:U172)</f>
        <v>6</v>
      </c>
      <c r="W172" s="27">
        <f t="shared" si="5"/>
        <v>17</v>
      </c>
      <c r="AA172">
        <v>1</v>
      </c>
      <c r="AB172">
        <v>2011</v>
      </c>
      <c r="AC172">
        <v>17</v>
      </c>
    </row>
    <row r="173" spans="1:29" ht="13">
      <c r="A173" s="12"/>
      <c r="B173" s="12"/>
      <c r="C173" s="1" t="s">
        <v>4</v>
      </c>
      <c r="D173" s="1" t="s">
        <v>188</v>
      </c>
      <c r="E173" s="12">
        <f>MAX(0,MIN(1,((Input!E173-Input!E$204)/(Input!E$205-Input!E$204))))</f>
        <v>0.86112</v>
      </c>
      <c r="F173" s="12">
        <f>MAX(0,MIN(1,((Input!F173-Input!F$204)/(Input!F$205-Input!F$204))))</f>
        <v>0.87048000000000003</v>
      </c>
      <c r="G173" s="12">
        <f>MAX(0,MIN(1,((Input!G173-Input!G$204)/(Input!G$205-Input!G$204))))</f>
        <v>0.87983999999999996</v>
      </c>
      <c r="H173" s="12">
        <f>MAX(0,MIN(1,((Input!H173-Input!H$204)/(Input!H$205-Input!H$204))))</f>
        <v>0.88919999999999988</v>
      </c>
      <c r="I173" s="12">
        <f>MAX(0,MIN(1,((Input!I173-Input!I$204)/(Input!I$205-Input!I$204))))</f>
        <v>0.89855999999999991</v>
      </c>
      <c r="J173" s="12">
        <f>MAX(0,MIN(1,((Input!J173-Input!J$204)/(Input!J$205-Input!J$204))))</f>
        <v>0.90792000000000006</v>
      </c>
      <c r="K173" s="12">
        <f>MAX(0,MIN(1,((Input!K173-Input!K$204)/(Input!K$205-Input!K$204))))</f>
        <v>0.91727999999999998</v>
      </c>
      <c r="L173" s="12">
        <f>MAX(0,MIN(1,((Input!L173-Input!L$204)/(Input!L$205-Input!L$204))))</f>
        <v>0.92663999999999991</v>
      </c>
      <c r="M173" s="12">
        <f>MAX(0,MIN(1,((Input!M173-Input!M$204)/(Input!M$205-Input!M$204))))</f>
        <v>0.93599999999999994</v>
      </c>
      <c r="N173" s="12">
        <f>MAX(0,MIN(1,((Input!N173-Input!N$204)/(Input!N$205-Input!N$204))))</f>
        <v>0.94579999999999997</v>
      </c>
      <c r="O173" s="12">
        <f>MAX(0,MIN(1,((Input!O173-Input!O$204)/(Input!O$205-Input!O$204))))</f>
        <v>0.95150000000000001</v>
      </c>
      <c r="P173" s="12">
        <f>MAX(0,MIN(1,((Input!P173-Input!P$204)/(Input!P$205-Input!P$204))))</f>
        <v>0.95750000000000002</v>
      </c>
      <c r="Q173" s="12">
        <f>MAX(0,MIN(1,((Input!Q173-Input!Q$204)/(Input!Q$205-Input!Q$204))))</f>
        <v>0.92980000000000007</v>
      </c>
      <c r="R173" s="12">
        <f>MAX(0,MIN(1,((Input!R173-Input!R$204)/(Input!R$205-Input!R$204))))</f>
        <v>0.9103</v>
      </c>
      <c r="S173" s="12">
        <f>MAX(0,MIN(1,((Input!S173-Input!S$204)/(Input!S$205-Input!S$204))))</f>
        <v>0.90119699999999991</v>
      </c>
      <c r="T173" s="12">
        <f>MAX(0,MIN(1,((Input!T173-Input!T$204)/(Input!T$205-Input!T$204))))</f>
        <v>0.89209400000000005</v>
      </c>
      <c r="U173" s="12">
        <f>MAX(0,MIN(1,((Input!U173-Input!U$204)/(Input!U$205-Input!U$204))))</f>
        <v>0</v>
      </c>
      <c r="V173" s="26">
        <f>COUNT(Raw!E173:U173)</f>
        <v>6</v>
      </c>
      <c r="W173" s="27">
        <f t="shared" si="5"/>
        <v>17</v>
      </c>
      <c r="AA173">
        <v>0.91169047619047427</v>
      </c>
      <c r="AB173">
        <v>2011</v>
      </c>
      <c r="AC173">
        <v>17</v>
      </c>
    </row>
    <row r="174" spans="1:29" ht="13">
      <c r="A174" s="12"/>
      <c r="B174" s="12"/>
      <c r="C174" s="1" t="s">
        <v>197</v>
      </c>
      <c r="D174" s="1" t="s">
        <v>131</v>
      </c>
      <c r="E174" s="12">
        <f>MAX(0,MIN(1,((Input!E174-Input!E$204)/(Input!E$205-Input!E$204))))</f>
        <v>0.82699996949999999</v>
      </c>
      <c r="F174" s="12">
        <f>MAX(0,MIN(1,((Input!F174-Input!F$204)/(Input!F$205-Input!F$204))))</f>
        <v>0.81872996980500001</v>
      </c>
      <c r="G174" s="12">
        <f>MAX(0,MIN(1,((Input!G174-Input!G$204)/(Input!G$205-Input!G$204))))</f>
        <v>0.81045997010999993</v>
      </c>
      <c r="H174" s="12">
        <f>MAX(0,MIN(1,((Input!H174-Input!H$204)/(Input!H$205-Input!H$204))))</f>
        <v>0.80218997041500006</v>
      </c>
      <c r="I174" s="12">
        <f>MAX(0,MIN(1,((Input!I174-Input!I$204)/(Input!I$205-Input!I$204))))</f>
        <v>0.79391997071999998</v>
      </c>
      <c r="J174" s="12">
        <f>MAX(0,MIN(1,((Input!J174-Input!J$204)/(Input!J$205-Input!J$204))))</f>
        <v>0.785649971025</v>
      </c>
      <c r="K174" s="12">
        <f>MAX(0,MIN(1,((Input!K174-Input!K$204)/(Input!K$205-Input!K$204))))</f>
        <v>0.77737997132999992</v>
      </c>
      <c r="L174" s="12">
        <f>MAX(0,MIN(1,((Input!L174-Input!L$204)/(Input!L$205-Input!L$204))))</f>
        <v>0.76910997163499994</v>
      </c>
      <c r="M174" s="12">
        <f>MAX(0,MIN(1,((Input!M174-Input!M$204)/(Input!M$205-Input!M$204))))</f>
        <v>0.76083997193999986</v>
      </c>
      <c r="N174" s="12">
        <f>MAX(0,MIN(1,((Input!N174-Input!N$204)/(Input!N$205-Input!N$204))))</f>
        <v>0.752569972245</v>
      </c>
      <c r="O174" s="12">
        <f>MAX(0,MIN(1,((Input!O174-Input!O$204)/(Input!O$205-Input!O$204))))</f>
        <v>0.74429997254999991</v>
      </c>
      <c r="P174" s="12">
        <f>MAX(0,MIN(1,((Input!P174-Input!P$204)/(Input!P$205-Input!P$204))))</f>
        <v>0.73602997285499994</v>
      </c>
      <c r="Q174" s="12">
        <f>MAX(0,MIN(1,((Input!Q174-Input!Q$204)/(Input!Q$205-Input!Q$204))))</f>
        <v>0.72775997315999985</v>
      </c>
      <c r="R174" s="12">
        <f>MAX(0,MIN(1,((Input!R174-Input!R$204)/(Input!R$205-Input!R$204))))</f>
        <v>0.71948997346499999</v>
      </c>
      <c r="S174" s="12">
        <f>MAX(0,MIN(1,((Input!S174-Input!S$204)/(Input!S$205-Input!S$204))))</f>
        <v>0.7112199737699999</v>
      </c>
      <c r="T174" s="12">
        <f>MAX(0,MIN(1,((Input!T174-Input!T$204)/(Input!T$205-Input!T$204))))</f>
        <v>0.70294997407499993</v>
      </c>
      <c r="U174" s="12">
        <f>MAX(0,MIN(1,((Input!U174-Input!U$204)/(Input!U$205-Input!U$204))))</f>
        <v>0</v>
      </c>
      <c r="V174" s="26">
        <f>COUNT(Raw!E174:U174)</f>
        <v>1</v>
      </c>
      <c r="W174" s="27">
        <f t="shared" si="5"/>
        <v>17</v>
      </c>
      <c r="AA174">
        <v>0.43003998414000305</v>
      </c>
      <c r="AB174">
        <v>2011</v>
      </c>
      <c r="AC174">
        <v>17</v>
      </c>
    </row>
    <row r="175" spans="1:29" ht="13">
      <c r="A175" s="12"/>
      <c r="B175" s="12"/>
      <c r="C175" s="1" t="s">
        <v>34</v>
      </c>
      <c r="D175" s="1" t="s">
        <v>74</v>
      </c>
      <c r="E175" s="12">
        <f>MAX(0,MIN(1,((Input!E175-Input!E$204)/(Input!E$205-Input!E$204))))</f>
        <v>7.93960010488E-2</v>
      </c>
      <c r="F175" s="12">
        <f>MAX(0,MIN(1,((Input!F175-Input!F$204)/(Input!F$205-Input!F$204))))</f>
        <v>8.0259001060199994E-2</v>
      </c>
      <c r="G175" s="12">
        <f>MAX(0,MIN(1,((Input!G175-Input!G$204)/(Input!G$205-Input!G$204))))</f>
        <v>8.1122001071600003E-2</v>
      </c>
      <c r="H175" s="12">
        <f>MAX(0,MIN(1,((Input!H175-Input!H$204)/(Input!H$205-Input!H$204))))</f>
        <v>8.1985001082999998E-2</v>
      </c>
      <c r="I175" s="12">
        <f>MAX(0,MIN(1,((Input!I175-Input!I$204)/(Input!I$205-Input!I$204))))</f>
        <v>8.2848001094399992E-2</v>
      </c>
      <c r="J175" s="12">
        <f>MAX(0,MIN(1,((Input!J175-Input!J$204)/(Input!J$205-Input!J$204))))</f>
        <v>8.3711001105799987E-2</v>
      </c>
      <c r="K175" s="12">
        <f>MAX(0,MIN(1,((Input!K175-Input!K$204)/(Input!K$205-Input!K$204))))</f>
        <v>8.4574001117199996E-2</v>
      </c>
      <c r="L175" s="12">
        <f>MAX(0,MIN(1,((Input!L175-Input!L$204)/(Input!L$205-Input!L$204))))</f>
        <v>8.5437001128600004E-2</v>
      </c>
      <c r="M175" s="12">
        <f>MAX(0,MIN(1,((Input!M175-Input!M$204)/(Input!M$205-Input!M$204))))</f>
        <v>8.6300001139999999E-2</v>
      </c>
      <c r="N175" s="12">
        <f>MAX(0,MIN(1,((Input!N175-Input!N$204)/(Input!N$205-Input!N$204))))</f>
        <v>8.3800000911999989E-2</v>
      </c>
      <c r="O175" s="12">
        <f>MAX(0,MIN(1,((Input!O175-Input!O$204)/(Input!O$205-Input!O$204))))</f>
        <v>8.1300000683999993E-2</v>
      </c>
      <c r="P175" s="12">
        <f>MAX(0,MIN(1,((Input!P175-Input!P$204)/(Input!P$205-Input!P$204))))</f>
        <v>7.8800000455999997E-2</v>
      </c>
      <c r="Q175" s="12">
        <f>MAX(0,MIN(1,((Input!Q175-Input!Q$204)/(Input!Q$205-Input!Q$204))))</f>
        <v>7.6300000228000001E-2</v>
      </c>
      <c r="R175" s="12">
        <f>MAX(0,MIN(1,((Input!R175-Input!R$204)/(Input!R$205-Input!R$204))))</f>
        <v>7.3800000000000004E-2</v>
      </c>
      <c r="S175" s="12">
        <f>MAX(0,MIN(1,((Input!S175-Input!S$204)/(Input!S$205-Input!S$204))))</f>
        <v>7.3062000000000002E-2</v>
      </c>
      <c r="T175" s="12">
        <f>MAX(0,MIN(1,((Input!T175-Input!T$204)/(Input!T$205-Input!T$204))))</f>
        <v>7.2323999999999999E-2</v>
      </c>
      <c r="U175" s="12">
        <f>MAX(0,MIN(1,((Input!U175-Input!U$204)/(Input!U$205-Input!U$204))))</f>
        <v>0</v>
      </c>
      <c r="V175" s="26">
        <f>COUNT(Raw!E175:U175)</f>
        <v>2</v>
      </c>
      <c r="W175" s="27">
        <f t="shared" si="5"/>
        <v>17</v>
      </c>
      <c r="AA175">
        <v>6.6299999316000252E-2</v>
      </c>
      <c r="AB175">
        <v>2011</v>
      </c>
      <c r="AC175">
        <v>17</v>
      </c>
    </row>
    <row r="176" spans="1:29" ht="13">
      <c r="A176" s="12"/>
      <c r="B176" s="12"/>
      <c r="C176" s="1" t="s">
        <v>231</v>
      </c>
      <c r="D176" s="1" t="s">
        <v>226</v>
      </c>
      <c r="E176" s="12">
        <f>MAX(0,MIN(1,((Input!E176-Input!E$204)/(Input!E$205-Input!E$204))))</f>
        <v>0.97400001530000002</v>
      </c>
      <c r="F176" s="12">
        <f>MAX(0,MIN(1,((Input!F176-Input!F$204)/(Input!F$205-Input!F$204))))</f>
        <v>0.97499999999999998</v>
      </c>
      <c r="G176" s="12">
        <f>MAX(0,MIN(1,((Input!G176-Input!G$204)/(Input!G$205-Input!G$204))))</f>
        <v>0.97499999999999998</v>
      </c>
      <c r="H176" s="12">
        <f>MAX(0,MIN(1,((Input!H176-Input!H$204)/(Input!H$205-Input!H$204))))</f>
        <v>0.97499999999999998</v>
      </c>
      <c r="I176" s="12">
        <f>MAX(0,MIN(1,((Input!I176-Input!I$204)/(Input!I$205-Input!I$204))))</f>
        <v>0.97499999999999998</v>
      </c>
      <c r="J176" s="12">
        <f>MAX(0,MIN(1,((Input!J176-Input!J$204)/(Input!J$205-Input!J$204))))</f>
        <v>0.98499999999999999</v>
      </c>
      <c r="K176" s="12">
        <f>MAX(0,MIN(1,((Input!K176-Input!K$204)/(Input!K$205-Input!K$204))))</f>
        <v>0.97514999999999996</v>
      </c>
      <c r="L176" s="12">
        <f>MAX(0,MIN(1,((Input!L176-Input!L$204)/(Input!L$205-Input!L$204))))</f>
        <v>0.96530000000000005</v>
      </c>
      <c r="M176" s="12">
        <f>MAX(0,MIN(1,((Input!M176-Input!M$204)/(Input!M$205-Input!M$204))))</f>
        <v>0.95545000000000002</v>
      </c>
      <c r="N176" s="12">
        <f>MAX(0,MIN(1,((Input!N176-Input!N$204)/(Input!N$205-Input!N$204))))</f>
        <v>0.9456</v>
      </c>
      <c r="O176" s="12">
        <f>MAX(0,MIN(1,((Input!O176-Input!O$204)/(Input!O$205-Input!O$204))))</f>
        <v>0.93575000000000008</v>
      </c>
      <c r="P176" s="12">
        <f>MAX(0,MIN(1,((Input!P176-Input!P$204)/(Input!P$205-Input!P$204))))</f>
        <v>0.92590000000000006</v>
      </c>
      <c r="Q176" s="12">
        <f>MAX(0,MIN(1,((Input!Q176-Input!Q$204)/(Input!Q$205-Input!Q$204))))</f>
        <v>0.91605000000000003</v>
      </c>
      <c r="R176" s="12">
        <f>MAX(0,MIN(1,((Input!R176-Input!R$204)/(Input!R$205-Input!R$204))))</f>
        <v>0.90620000000000001</v>
      </c>
      <c r="S176" s="12">
        <f>MAX(0,MIN(1,((Input!S176-Input!S$204)/(Input!S$205-Input!S$204))))</f>
        <v>0.89635000000000009</v>
      </c>
      <c r="T176" s="12">
        <f>MAX(0,MIN(1,((Input!T176-Input!T$204)/(Input!T$205-Input!T$204))))</f>
        <v>0.88650000000000007</v>
      </c>
      <c r="U176" s="12">
        <f>MAX(0,MIN(1,((Input!U176-Input!U$204)/(Input!U$205-Input!U$204))))</f>
        <v>0</v>
      </c>
      <c r="V176" s="26">
        <f>COUNT(Raw!E176:U176)</f>
        <v>6</v>
      </c>
      <c r="W176" s="27">
        <f t="shared" si="5"/>
        <v>17</v>
      </c>
      <c r="AA176">
        <v>0.99771425875714326</v>
      </c>
      <c r="AB176">
        <v>2011</v>
      </c>
      <c r="AC176">
        <v>17</v>
      </c>
    </row>
    <row r="177" spans="1:29" ht="13">
      <c r="A177" s="12"/>
      <c r="B177" s="12"/>
      <c r="C177" s="1" t="s">
        <v>175</v>
      </c>
      <c r="D177" s="1" t="s">
        <v>215</v>
      </c>
      <c r="E177" s="12" t="e">
        <f>MAX(0,MIN(1,((Input!E177-Input!E$204)/(Input!E$205-Input!E$204))))</f>
        <v>#N/A</v>
      </c>
      <c r="F177" s="12" t="e">
        <f>MAX(0,MIN(1,((Input!F177-Input!F$204)/(Input!F$205-Input!F$204))))</f>
        <v>#N/A</v>
      </c>
      <c r="G177" s="12" t="e">
        <f>MAX(0,MIN(1,((Input!G177-Input!G$204)/(Input!G$205-Input!G$204))))</f>
        <v>#N/A</v>
      </c>
      <c r="H177" s="12" t="e">
        <f>MAX(0,MIN(1,((Input!H177-Input!H$204)/(Input!H$205-Input!H$204))))</f>
        <v>#N/A</v>
      </c>
      <c r="I177" s="12" t="e">
        <f>MAX(0,MIN(1,((Input!I177-Input!I$204)/(Input!I$205-Input!I$204))))</f>
        <v>#N/A</v>
      </c>
      <c r="J177" s="12" t="e">
        <f>MAX(0,MIN(1,((Input!J177-Input!J$204)/(Input!J$205-Input!J$204))))</f>
        <v>#N/A</v>
      </c>
      <c r="K177" s="12" t="e">
        <f>MAX(0,MIN(1,((Input!K177-Input!K$204)/(Input!K$205-Input!K$204))))</f>
        <v>#N/A</v>
      </c>
      <c r="L177" s="12" t="e">
        <f>MAX(0,MIN(1,((Input!L177-Input!L$204)/(Input!L$205-Input!L$204))))</f>
        <v>#N/A</v>
      </c>
      <c r="M177" s="12" t="e">
        <f>MAX(0,MIN(1,((Input!M177-Input!M$204)/(Input!M$205-Input!M$204))))</f>
        <v>#N/A</v>
      </c>
      <c r="N177" s="12" t="e">
        <f>MAX(0,MIN(1,((Input!N177-Input!N$204)/(Input!N$205-Input!N$204))))</f>
        <v>#N/A</v>
      </c>
      <c r="O177" s="12" t="e">
        <f>MAX(0,MIN(1,((Input!O177-Input!O$204)/(Input!O$205-Input!O$204))))</f>
        <v>#N/A</v>
      </c>
      <c r="P177" s="12" t="e">
        <f>MAX(0,MIN(1,((Input!P177-Input!P$204)/(Input!P$205-Input!P$204))))</f>
        <v>#N/A</v>
      </c>
      <c r="Q177" s="12" t="e">
        <f>MAX(0,MIN(1,((Input!Q177-Input!Q$204)/(Input!Q$205-Input!Q$204))))</f>
        <v>#N/A</v>
      </c>
      <c r="R177" s="12" t="e">
        <f>MAX(0,MIN(1,((Input!R177-Input!R$204)/(Input!R$205-Input!R$204))))</f>
        <v>#N/A</v>
      </c>
      <c r="S177" s="12" t="e">
        <f>MAX(0,MIN(1,((Input!S177-Input!S$204)/(Input!S$205-Input!S$204))))</f>
        <v>#N/A</v>
      </c>
      <c r="T177" s="12" t="e">
        <f>MAX(0,MIN(1,((Input!T177-Input!T$204)/(Input!T$205-Input!T$204))))</f>
        <v>#N/A</v>
      </c>
      <c r="U177" s="12">
        <f>MAX(0,MIN(1,((Input!U177-Input!U$204)/(Input!U$205-Input!U$204))))</f>
        <v>0</v>
      </c>
      <c r="V177" s="26">
        <f>COUNT(Raw!E177:U177)</f>
        <v>0</v>
      </c>
      <c r="W177" s="27">
        <f t="shared" si="5"/>
        <v>1</v>
      </c>
      <c r="AA177" t="e">
        <v>#N/A</v>
      </c>
      <c r="AC177">
        <v>0</v>
      </c>
    </row>
    <row r="178" spans="1:29" ht="13">
      <c r="A178" s="12"/>
      <c r="B178" s="12"/>
      <c r="C178" s="1" t="s">
        <v>266</v>
      </c>
      <c r="D178" s="1" t="s">
        <v>59</v>
      </c>
      <c r="E178" s="12">
        <f>MAX(0,MIN(1,((Input!E178-Input!E$204)/(Input!E$205-Input!E$204))))</f>
        <v>0.31600000379999998</v>
      </c>
      <c r="F178" s="12">
        <f>MAX(0,MIN(1,((Input!F178-Input!F$204)/(Input!F$205-Input!F$204))))</f>
        <v>0.31600000379999998</v>
      </c>
      <c r="G178" s="12">
        <f>MAX(0,MIN(1,((Input!G178-Input!G$204)/(Input!G$205-Input!G$204))))</f>
        <v>0.31600000379999998</v>
      </c>
      <c r="H178" s="12">
        <f>MAX(0,MIN(1,((Input!H178-Input!H$204)/(Input!H$205-Input!H$204))))</f>
        <v>0.31600000379999998</v>
      </c>
      <c r="I178" s="12">
        <f>MAX(0,MIN(1,((Input!I178-Input!I$204)/(Input!I$205-Input!I$204))))</f>
        <v>0.31600000379999998</v>
      </c>
      <c r="J178" s="12">
        <f>MAX(0,MIN(1,((Input!J178-Input!J$204)/(Input!J$205-Input!J$204))))</f>
        <v>0.31600000379999998</v>
      </c>
      <c r="K178" s="12">
        <f>MAX(0,MIN(1,((Input!K178-Input!K$204)/(Input!K$205-Input!K$204))))</f>
        <v>0.31600000379999998</v>
      </c>
      <c r="L178" s="12">
        <f>MAX(0,MIN(1,((Input!L178-Input!L$204)/(Input!L$205-Input!L$204))))</f>
        <v>0.29833333649999999</v>
      </c>
      <c r="M178" s="12">
        <f>MAX(0,MIN(1,((Input!M178-Input!M$204)/(Input!M$205-Input!M$204))))</f>
        <v>0.2806666692</v>
      </c>
      <c r="N178" s="12">
        <f>MAX(0,MIN(1,((Input!N178-Input!N$204)/(Input!N$205-Input!N$204))))</f>
        <v>0.2630000019</v>
      </c>
      <c r="O178" s="12">
        <f>MAX(0,MIN(1,((Input!O178-Input!O$204)/(Input!O$205-Input!O$204))))</f>
        <v>0.24533333460000001</v>
      </c>
      <c r="P178" s="12">
        <f>MAX(0,MIN(1,((Input!P178-Input!P$204)/(Input!P$205-Input!P$204))))</f>
        <v>0.22766666730000001</v>
      </c>
      <c r="Q178" s="12">
        <f>MAX(0,MIN(1,((Input!Q178-Input!Q$204)/(Input!Q$205-Input!Q$204))))</f>
        <v>0.21</v>
      </c>
      <c r="R178" s="12">
        <f>MAX(0,MIN(1,((Input!R178-Input!R$204)/(Input!R$205-Input!R$204))))</f>
        <v>0.2079</v>
      </c>
      <c r="S178" s="12">
        <f>MAX(0,MIN(1,((Input!S178-Input!S$204)/(Input!S$205-Input!S$204))))</f>
        <v>0.20580000000000001</v>
      </c>
      <c r="T178" s="12">
        <f>MAX(0,MIN(1,((Input!T178-Input!T$204)/(Input!T$205-Input!T$204))))</f>
        <v>0.20370000000000002</v>
      </c>
      <c r="U178" s="12">
        <f>MAX(0,MIN(1,((Input!U178-Input!U$204)/(Input!U$205-Input!U$204))))</f>
        <v>0</v>
      </c>
      <c r="V178" s="26">
        <f>COUNT(Raw!E178:U178)</f>
        <v>8</v>
      </c>
      <c r="W178" s="27">
        <f t="shared" si="5"/>
        <v>17</v>
      </c>
      <c r="AA178">
        <v>0.20249557495221096</v>
      </c>
      <c r="AB178">
        <v>2011</v>
      </c>
      <c r="AC178">
        <v>17</v>
      </c>
    </row>
    <row r="179" spans="1:29" ht="13">
      <c r="A179" s="12"/>
      <c r="B179" s="12"/>
      <c r="C179" s="1" t="s">
        <v>402</v>
      </c>
      <c r="D179" s="1" t="s">
        <v>230</v>
      </c>
      <c r="E179" s="12">
        <f>MAX(0,MIN(1,((Input!E179-Input!E$204)/(Input!E$205-Input!E$204))))</f>
        <v>0.27</v>
      </c>
      <c r="F179" s="12">
        <f>MAX(0,MIN(1,((Input!F179-Input!F$204)/(Input!F$205-Input!F$204))))</f>
        <v>0.27</v>
      </c>
      <c r="G179" s="12">
        <f>MAX(0,MIN(1,((Input!G179-Input!G$204)/(Input!G$205-Input!G$204))))</f>
        <v>0.27</v>
      </c>
      <c r="H179" s="12">
        <f>MAX(0,MIN(1,((Input!H179-Input!H$204)/(Input!H$205-Input!H$204))))</f>
        <v>0.27</v>
      </c>
      <c r="I179" s="12">
        <f>MAX(0,MIN(1,((Input!I179-Input!I$204)/(Input!I$205-Input!I$204))))</f>
        <v>0.27</v>
      </c>
      <c r="J179" s="12">
        <f>MAX(0,MIN(1,((Input!J179-Input!J$204)/(Input!J$205-Input!J$204))))</f>
        <v>0.27</v>
      </c>
      <c r="K179" s="12">
        <f>MAX(0,MIN(1,((Input!K179-Input!K$204)/(Input!K$205-Input!K$204))))</f>
        <v>0.27</v>
      </c>
      <c r="L179" s="12">
        <f>MAX(0,MIN(1,((Input!L179-Input!L$204)/(Input!L$205-Input!L$204))))</f>
        <v>0.26729999999999998</v>
      </c>
      <c r="M179" s="12">
        <f>MAX(0,MIN(1,((Input!M179-Input!M$204)/(Input!M$205-Input!M$204))))</f>
        <v>0.2646</v>
      </c>
      <c r="N179" s="12">
        <f>MAX(0,MIN(1,((Input!N179-Input!N$204)/(Input!N$205-Input!N$204))))</f>
        <v>0.26190000000000002</v>
      </c>
      <c r="O179" s="12">
        <f>MAX(0,MIN(1,((Input!O179-Input!O$204)/(Input!O$205-Input!O$204))))</f>
        <v>0.25920000000000004</v>
      </c>
      <c r="P179" s="12">
        <f>MAX(0,MIN(1,((Input!P179-Input!P$204)/(Input!P$205-Input!P$204))))</f>
        <v>0.25650000000000001</v>
      </c>
      <c r="Q179" s="12">
        <f>MAX(0,MIN(1,((Input!Q179-Input!Q$204)/(Input!Q$205-Input!Q$204))))</f>
        <v>0.25379999999999997</v>
      </c>
      <c r="R179" s="12">
        <f>MAX(0,MIN(1,((Input!R179-Input!R$204)/(Input!R$205-Input!R$204))))</f>
        <v>0.25109999999999999</v>
      </c>
      <c r="S179" s="12">
        <f>MAX(0,MIN(1,((Input!S179-Input!S$204)/(Input!S$205-Input!S$204))))</f>
        <v>0.24840000000000001</v>
      </c>
      <c r="T179" s="12">
        <f>MAX(0,MIN(1,((Input!T179-Input!T$204)/(Input!T$205-Input!T$204))))</f>
        <v>0.2457</v>
      </c>
      <c r="U179" s="12">
        <f>MAX(0,MIN(1,((Input!U179-Input!U$204)/(Input!U$205-Input!U$204))))</f>
        <v>0</v>
      </c>
      <c r="V179" s="26">
        <f>COUNT(Raw!E179:U179)</f>
        <v>7</v>
      </c>
      <c r="W179" s="27">
        <f t="shared" si="5"/>
        <v>17</v>
      </c>
      <c r="AA179">
        <v>0.27</v>
      </c>
      <c r="AB179">
        <v>2011</v>
      </c>
      <c r="AC179">
        <v>17</v>
      </c>
    </row>
    <row r="180" spans="1:29" ht="13">
      <c r="A180" s="12"/>
      <c r="B180" s="12"/>
      <c r="C180" s="1" t="s">
        <v>283</v>
      </c>
      <c r="D180" s="1" t="s">
        <v>64</v>
      </c>
      <c r="E180" s="12">
        <f>MAX(0,MIN(1,((Input!E180-Input!E$204)/(Input!E$205-Input!E$204))))</f>
        <v>0.51</v>
      </c>
      <c r="F180" s="12">
        <f>MAX(0,MIN(1,((Input!F180-Input!F$204)/(Input!F$205-Input!F$204))))</f>
        <v>0.51099998470000008</v>
      </c>
      <c r="G180" s="12">
        <f>MAX(0,MIN(1,((Input!G180-Input!G$204)/(Input!G$205-Input!G$204))))</f>
        <v>0.51099998470000008</v>
      </c>
      <c r="H180" s="12">
        <f>MAX(0,MIN(1,((Input!H180-Input!H$204)/(Input!H$205-Input!H$204))))</f>
        <v>0.51099998470000008</v>
      </c>
      <c r="I180" s="12">
        <f>MAX(0,MIN(1,((Input!I180-Input!I$204)/(Input!I$205-Input!I$204))))</f>
        <v>0.51099998470000008</v>
      </c>
      <c r="J180" s="12">
        <f>MAX(0,MIN(1,((Input!J180-Input!J$204)/(Input!J$205-Input!J$204))))</f>
        <v>0.51099998470000008</v>
      </c>
      <c r="K180" s="12">
        <f>MAX(0,MIN(1,((Input!K180-Input!K$204)/(Input!K$205-Input!K$204))))</f>
        <v>0.51099998470000008</v>
      </c>
      <c r="L180" s="12">
        <f>MAX(0,MIN(1,((Input!L180-Input!L$204)/(Input!L$205-Input!L$204))))</f>
        <v>0.50588998485300007</v>
      </c>
      <c r="M180" s="12">
        <f>MAX(0,MIN(1,((Input!M180-Input!M$204)/(Input!M$205-Input!M$204))))</f>
        <v>0.50077998500600007</v>
      </c>
      <c r="N180" s="12">
        <f>MAX(0,MIN(1,((Input!N180-Input!N$204)/(Input!N$205-Input!N$204))))</f>
        <v>0.49566998515900001</v>
      </c>
      <c r="O180" s="12">
        <f>MAX(0,MIN(1,((Input!O180-Input!O$204)/(Input!O$205-Input!O$204))))</f>
        <v>0.49055998531200001</v>
      </c>
      <c r="P180" s="12">
        <f>MAX(0,MIN(1,((Input!P180-Input!P$204)/(Input!P$205-Input!P$204))))</f>
        <v>0.48544998546500007</v>
      </c>
      <c r="Q180" s="12">
        <f>MAX(0,MIN(1,((Input!Q180-Input!Q$204)/(Input!Q$205-Input!Q$204))))</f>
        <v>0.48033998561800006</v>
      </c>
      <c r="R180" s="12">
        <f>MAX(0,MIN(1,((Input!R180-Input!R$204)/(Input!R$205-Input!R$204))))</f>
        <v>0.47522998577100006</v>
      </c>
      <c r="S180" s="12">
        <f>MAX(0,MIN(1,((Input!S180-Input!S$204)/(Input!S$205-Input!S$204))))</f>
        <v>0.47011998592400006</v>
      </c>
      <c r="T180" s="12">
        <f>MAX(0,MIN(1,((Input!T180-Input!T$204)/(Input!T$205-Input!T$204))))</f>
        <v>0.46500998607700006</v>
      </c>
      <c r="U180" s="12">
        <f>MAX(0,MIN(1,((Input!U180-Input!U$204)/(Input!U$205-Input!U$204))))</f>
        <v>0</v>
      </c>
      <c r="V180" s="26">
        <f>COUNT(Raw!E180:U180)</f>
        <v>7</v>
      </c>
      <c r="W180" s="27">
        <f t="shared" si="5"/>
        <v>17</v>
      </c>
      <c r="AA180">
        <v>0.51224996557500002</v>
      </c>
      <c r="AB180">
        <v>2011</v>
      </c>
      <c r="AC180">
        <v>17</v>
      </c>
    </row>
    <row r="181" spans="1:29" ht="13">
      <c r="A181" s="12"/>
      <c r="B181" s="12"/>
      <c r="C181" s="1" t="s">
        <v>298</v>
      </c>
      <c r="D181" s="1" t="s">
        <v>264</v>
      </c>
      <c r="E181" s="12">
        <f>MAX(0,MIN(1,((Input!E181-Input!E$204)/(Input!E$205-Input!E$204))))</f>
        <v>0.7880000305</v>
      </c>
      <c r="F181" s="12">
        <f>MAX(0,MIN(1,((Input!F181-Input!F$204)/(Input!F$205-Input!F$204))))</f>
        <v>0.78900001529999997</v>
      </c>
      <c r="G181" s="12">
        <f>MAX(0,MIN(1,((Input!G181-Input!G$204)/(Input!G$205-Input!G$204))))</f>
        <v>0.78900001529999997</v>
      </c>
      <c r="H181" s="12">
        <f>MAX(0,MIN(1,((Input!H181-Input!H$204)/(Input!H$205-Input!H$204))))</f>
        <v>0.63700000759999997</v>
      </c>
      <c r="I181" s="12">
        <f>MAX(0,MIN(1,((Input!I181-Input!I$204)/(Input!I$205-Input!I$204))))</f>
        <v>0.63799999239999994</v>
      </c>
      <c r="J181" s="12">
        <f>MAX(0,MIN(1,((Input!J181-Input!J$204)/(Input!J$205-Input!J$204))))</f>
        <v>0.68400001529999999</v>
      </c>
      <c r="K181" s="12">
        <f>MAX(0,MIN(1,((Input!K181-Input!K$204)/(Input!K$205-Input!K$204))))</f>
        <v>0.65400001529999996</v>
      </c>
      <c r="L181" s="12">
        <f>MAX(0,MIN(1,((Input!L181-Input!L$204)/(Input!L$205-Input!L$204))))</f>
        <v>0.65533335370000001</v>
      </c>
      <c r="M181" s="12">
        <f>MAX(0,MIN(1,((Input!M181-Input!M$204)/(Input!M$205-Input!M$204))))</f>
        <v>0.65666669209999995</v>
      </c>
      <c r="N181" s="12">
        <f>MAX(0,MIN(1,((Input!N181-Input!N$204)/(Input!N$205-Input!N$204))))</f>
        <v>0.6580000305</v>
      </c>
      <c r="O181" s="12">
        <f>MAX(0,MIN(1,((Input!O181-Input!O$204)/(Input!O$205-Input!O$204))))</f>
        <v>0.68145002287500001</v>
      </c>
      <c r="P181" s="12">
        <f>MAX(0,MIN(1,((Input!P181-Input!P$204)/(Input!P$205-Input!P$204))))</f>
        <v>0.70490001525000001</v>
      </c>
      <c r="Q181" s="12">
        <f>MAX(0,MIN(1,((Input!Q181-Input!Q$204)/(Input!Q$205-Input!Q$204))))</f>
        <v>0.72835000762500002</v>
      </c>
      <c r="R181" s="12">
        <f>MAX(0,MIN(1,((Input!R181-Input!R$204)/(Input!R$205-Input!R$204))))</f>
        <v>0.75180000000000002</v>
      </c>
      <c r="S181" s="12">
        <f>MAX(0,MIN(1,((Input!S181-Input!S$204)/(Input!S$205-Input!S$204))))</f>
        <v>0.744282</v>
      </c>
      <c r="T181" s="12">
        <f>MAX(0,MIN(1,((Input!T181-Input!T$204)/(Input!T$205-Input!T$204))))</f>
        <v>0.73676399999999997</v>
      </c>
      <c r="U181" s="12">
        <f>MAX(0,MIN(1,((Input!U181-Input!U$204)/(Input!U$205-Input!U$204))))</f>
        <v>0</v>
      </c>
      <c r="V181" s="26">
        <f>COUNT(Raw!E181:U181)</f>
        <v>9</v>
      </c>
      <c r="W181" s="27">
        <f t="shared" si="5"/>
        <v>17</v>
      </c>
      <c r="AA181">
        <v>0.65565230015385167</v>
      </c>
      <c r="AB181">
        <v>2011</v>
      </c>
      <c r="AC181">
        <v>17</v>
      </c>
    </row>
    <row r="182" spans="1:29" ht="13">
      <c r="A182" s="12"/>
      <c r="B182" s="12"/>
      <c r="C182" s="1" t="s">
        <v>301</v>
      </c>
      <c r="D182" s="1" t="s">
        <v>86</v>
      </c>
      <c r="E182" s="12">
        <f>MAX(0,MIN(1,((Input!E182-Input!E$204)/(Input!E$205-Input!E$204))))</f>
        <v>0.23</v>
      </c>
      <c r="F182" s="12">
        <f>MAX(0,MIN(1,((Input!F182-Input!F$204)/(Input!F$205-Input!F$204))))</f>
        <v>0.25</v>
      </c>
      <c r="G182" s="12">
        <f>MAX(0,MIN(1,((Input!G182-Input!G$204)/(Input!G$205-Input!G$204))))</f>
        <v>0.25</v>
      </c>
      <c r="H182" s="12">
        <f>MAX(0,MIN(1,((Input!H182-Input!H$204)/(Input!H$205-Input!H$204))))</f>
        <v>0.28000000000000003</v>
      </c>
      <c r="I182" s="12">
        <f>MAX(0,MIN(1,((Input!I182-Input!I$204)/(Input!I$205-Input!I$204))))</f>
        <v>0.34</v>
      </c>
      <c r="J182" s="12">
        <f>MAX(0,MIN(1,((Input!J182-Input!J$204)/(Input!J$205-Input!J$204))))</f>
        <v>0.33659999999999995</v>
      </c>
      <c r="K182" s="12">
        <f>MAX(0,MIN(1,((Input!K182-Input!K$204)/(Input!K$205-Input!K$204))))</f>
        <v>0.3332</v>
      </c>
      <c r="L182" s="12">
        <f>MAX(0,MIN(1,((Input!L182-Input!L$204)/(Input!L$205-Input!L$204))))</f>
        <v>0.32980000000000004</v>
      </c>
      <c r="M182" s="12">
        <f>MAX(0,MIN(1,((Input!M182-Input!M$204)/(Input!M$205-Input!M$204))))</f>
        <v>0.32640000000000002</v>
      </c>
      <c r="N182" s="12">
        <f>MAX(0,MIN(1,((Input!N182-Input!N$204)/(Input!N$205-Input!N$204))))</f>
        <v>0.32299999999999995</v>
      </c>
      <c r="O182" s="12">
        <f>MAX(0,MIN(1,((Input!O182-Input!O$204)/(Input!O$205-Input!O$204))))</f>
        <v>0.3196</v>
      </c>
      <c r="P182" s="12">
        <f>MAX(0,MIN(1,((Input!P182-Input!P$204)/(Input!P$205-Input!P$204))))</f>
        <v>0.31620000000000004</v>
      </c>
      <c r="Q182" s="12">
        <f>MAX(0,MIN(1,((Input!Q182-Input!Q$204)/(Input!Q$205-Input!Q$204))))</f>
        <v>0.31280000000000002</v>
      </c>
      <c r="R182" s="12">
        <f>MAX(0,MIN(1,((Input!R182-Input!R$204)/(Input!R$205-Input!R$204))))</f>
        <v>0.30940000000000001</v>
      </c>
      <c r="S182" s="12">
        <f>MAX(0,MIN(1,((Input!S182-Input!S$204)/(Input!S$205-Input!S$204))))</f>
        <v>0.30599999999999999</v>
      </c>
      <c r="T182" s="12">
        <f>MAX(0,MIN(1,((Input!T182-Input!T$204)/(Input!T$205-Input!T$204))))</f>
        <v>0.30260000000000004</v>
      </c>
      <c r="U182" s="12">
        <f>MAX(0,MIN(1,((Input!U182-Input!U$204)/(Input!U$205-Input!U$204))))</f>
        <v>0</v>
      </c>
      <c r="V182" s="26">
        <f>COUNT(Raw!E182:U182)</f>
        <v>5</v>
      </c>
      <c r="W182" s="27">
        <f t="shared" si="5"/>
        <v>17</v>
      </c>
      <c r="AA182">
        <v>0.62</v>
      </c>
      <c r="AB182">
        <v>2011</v>
      </c>
      <c r="AC182">
        <v>17</v>
      </c>
    </row>
    <row r="183" spans="1:29" ht="13">
      <c r="A183" s="12"/>
      <c r="B183" s="12"/>
      <c r="C183" s="1" t="s">
        <v>206</v>
      </c>
      <c r="D183" s="1" t="s">
        <v>258</v>
      </c>
      <c r="E183" s="12">
        <f>MAX(0,MIN(1,((Input!E183-Input!E$204)/(Input!E$205-Input!E$204))))</f>
        <v>0.77951997072000001</v>
      </c>
      <c r="F183" s="12">
        <f>MAX(0,MIN(1,((Input!F183-Input!F$204)/(Input!F$205-Input!F$204))))</f>
        <v>0.787639970415</v>
      </c>
      <c r="G183" s="12">
        <f>MAX(0,MIN(1,((Input!G183-Input!G$204)/(Input!G$205-Input!G$204))))</f>
        <v>0.79575997010999999</v>
      </c>
      <c r="H183" s="12">
        <f>MAX(0,MIN(1,((Input!H183-Input!H$204)/(Input!H$205-Input!H$204))))</f>
        <v>0.80387996980500009</v>
      </c>
      <c r="I183" s="12">
        <f>MAX(0,MIN(1,((Input!I183-Input!I$204)/(Input!I$205-Input!I$204))))</f>
        <v>0.81199996949999997</v>
      </c>
      <c r="J183" s="12">
        <f>MAX(0,MIN(1,((Input!J183-Input!J$204)/(Input!J$205-Input!J$204))))</f>
        <v>0.81199996949999997</v>
      </c>
      <c r="K183" s="12">
        <f>MAX(0,MIN(1,((Input!K183-Input!K$204)/(Input!K$205-Input!K$204))))</f>
        <v>0.81199996949999997</v>
      </c>
      <c r="L183" s="12">
        <f>MAX(0,MIN(1,((Input!L183-Input!L$204)/(Input!L$205-Input!L$204))))</f>
        <v>0.80387996980500009</v>
      </c>
      <c r="M183" s="12">
        <f>MAX(0,MIN(1,((Input!M183-Input!M$204)/(Input!M$205-Input!M$204))))</f>
        <v>0.79575997010999999</v>
      </c>
      <c r="N183" s="12">
        <f>MAX(0,MIN(1,((Input!N183-Input!N$204)/(Input!N$205-Input!N$204))))</f>
        <v>0.787639970415</v>
      </c>
      <c r="O183" s="12">
        <f>MAX(0,MIN(1,((Input!O183-Input!O$204)/(Input!O$205-Input!O$204))))</f>
        <v>0.77951997072000001</v>
      </c>
      <c r="P183" s="12">
        <f>MAX(0,MIN(1,((Input!P183-Input!P$204)/(Input!P$205-Input!P$204))))</f>
        <v>0.77139997102500002</v>
      </c>
      <c r="Q183" s="12">
        <f>MAX(0,MIN(1,((Input!Q183-Input!Q$204)/(Input!Q$205-Input!Q$204))))</f>
        <v>0.76327997132999992</v>
      </c>
      <c r="R183" s="12">
        <f>MAX(0,MIN(1,((Input!R183-Input!R$204)/(Input!R$205-Input!R$204))))</f>
        <v>0.75515997163500004</v>
      </c>
      <c r="S183" s="12">
        <f>MAX(0,MIN(1,((Input!S183-Input!S$204)/(Input!S$205-Input!S$204))))</f>
        <v>0.74703997193999994</v>
      </c>
      <c r="T183" s="12">
        <f>MAX(0,MIN(1,((Input!T183-Input!T$204)/(Input!T$205-Input!T$204))))</f>
        <v>0.73891997224500006</v>
      </c>
      <c r="U183" s="12">
        <f>MAX(0,MIN(1,((Input!U183-Input!U$204)/(Input!U$205-Input!U$204))))</f>
        <v>0</v>
      </c>
      <c r="V183" s="26">
        <f>COUNT(Raw!E183:U183)</f>
        <v>3</v>
      </c>
      <c r="W183" s="27">
        <f t="shared" si="5"/>
        <v>17</v>
      </c>
      <c r="AA183">
        <v>0.81199996949999997</v>
      </c>
      <c r="AB183">
        <v>2011</v>
      </c>
      <c r="AC183">
        <v>17</v>
      </c>
    </row>
    <row r="184" spans="1:29" ht="13">
      <c r="A184" s="12"/>
      <c r="B184" s="12"/>
      <c r="C184" s="1" t="s">
        <v>304</v>
      </c>
      <c r="D184" s="1" t="s">
        <v>150</v>
      </c>
      <c r="E184" s="12" t="e">
        <f>MAX(0,MIN(1,((Input!E184-Input!E$204)/(Input!E$205-Input!E$204))))</f>
        <v>#N/A</v>
      </c>
      <c r="F184" s="12" t="e">
        <f>MAX(0,MIN(1,((Input!F184-Input!F$204)/(Input!F$205-Input!F$204))))</f>
        <v>#N/A</v>
      </c>
      <c r="G184" s="12" t="e">
        <f>MAX(0,MIN(1,((Input!G184-Input!G$204)/(Input!G$205-Input!G$204))))</f>
        <v>#N/A</v>
      </c>
      <c r="H184" s="12" t="e">
        <f>MAX(0,MIN(1,((Input!H184-Input!H$204)/(Input!H$205-Input!H$204))))</f>
        <v>#N/A</v>
      </c>
      <c r="I184" s="12" t="e">
        <f>MAX(0,MIN(1,((Input!I184-Input!I$204)/(Input!I$205-Input!I$204))))</f>
        <v>#N/A</v>
      </c>
      <c r="J184" s="12" t="e">
        <f>MAX(0,MIN(1,((Input!J184-Input!J$204)/(Input!J$205-Input!J$204))))</f>
        <v>#N/A</v>
      </c>
      <c r="K184" s="12" t="e">
        <f>MAX(0,MIN(1,((Input!K184-Input!K$204)/(Input!K$205-Input!K$204))))</f>
        <v>#N/A</v>
      </c>
      <c r="L184" s="12" t="e">
        <f>MAX(0,MIN(1,((Input!L184-Input!L$204)/(Input!L$205-Input!L$204))))</f>
        <v>#N/A</v>
      </c>
      <c r="M184" s="12" t="e">
        <f>MAX(0,MIN(1,((Input!M184-Input!M$204)/(Input!M$205-Input!M$204))))</f>
        <v>#N/A</v>
      </c>
      <c r="N184" s="12" t="e">
        <f>MAX(0,MIN(1,((Input!N184-Input!N$204)/(Input!N$205-Input!N$204))))</f>
        <v>#N/A</v>
      </c>
      <c r="O184" s="12" t="e">
        <f>MAX(0,MIN(1,((Input!O184-Input!O$204)/(Input!O$205-Input!O$204))))</f>
        <v>#N/A</v>
      </c>
      <c r="P184" s="12" t="e">
        <f>MAX(0,MIN(1,((Input!P184-Input!P$204)/(Input!P$205-Input!P$204))))</f>
        <v>#N/A</v>
      </c>
      <c r="Q184" s="12" t="e">
        <f>MAX(0,MIN(1,((Input!Q184-Input!Q$204)/(Input!Q$205-Input!Q$204))))</f>
        <v>#N/A</v>
      </c>
      <c r="R184" s="12" t="e">
        <f>MAX(0,MIN(1,((Input!R184-Input!R$204)/(Input!R$205-Input!R$204))))</f>
        <v>#N/A</v>
      </c>
      <c r="S184" s="12" t="e">
        <f>MAX(0,MIN(1,((Input!S184-Input!S$204)/(Input!S$205-Input!S$204))))</f>
        <v>#N/A</v>
      </c>
      <c r="T184" s="12" t="e">
        <f>MAX(0,MIN(1,((Input!T184-Input!T$204)/(Input!T$205-Input!T$204))))</f>
        <v>#N/A</v>
      </c>
      <c r="U184" s="12">
        <f>MAX(0,MIN(1,((Input!U184-Input!U$204)/(Input!U$205-Input!U$204))))</f>
        <v>0</v>
      </c>
      <c r="V184" s="26">
        <f>COUNT(Raw!E184:U184)</f>
        <v>0</v>
      </c>
      <c r="W184" s="27">
        <f t="shared" si="5"/>
        <v>1</v>
      </c>
      <c r="AA184" t="e">
        <v>#N/A</v>
      </c>
      <c r="AC184">
        <v>0</v>
      </c>
    </row>
    <row r="185" spans="1:29" ht="13">
      <c r="A185" s="12"/>
      <c r="B185" s="12"/>
      <c r="C185" s="1" t="s">
        <v>78</v>
      </c>
      <c r="D185" s="1" t="s">
        <v>60</v>
      </c>
      <c r="E185" s="12">
        <f>MAX(0,MIN(1,((Input!E185-Input!E$204)/(Input!E$205-Input!E$204))))</f>
        <v>0.21160000000000001</v>
      </c>
      <c r="F185" s="12">
        <f>MAX(0,MIN(1,((Input!F185-Input!F$204)/(Input!F$205-Input!F$204))))</f>
        <v>0.21390000000000001</v>
      </c>
      <c r="G185" s="12">
        <f>MAX(0,MIN(1,((Input!G185-Input!G$204)/(Input!G$205-Input!G$204))))</f>
        <v>0.2162</v>
      </c>
      <c r="H185" s="12">
        <f>MAX(0,MIN(1,((Input!H185-Input!H$204)/(Input!H$205-Input!H$204))))</f>
        <v>0.21850000000000003</v>
      </c>
      <c r="I185" s="12">
        <f>MAX(0,MIN(1,((Input!I185-Input!I$204)/(Input!I$205-Input!I$204))))</f>
        <v>0.2208</v>
      </c>
      <c r="J185" s="12">
        <f>MAX(0,MIN(1,((Input!J185-Input!J$204)/(Input!J$205-Input!J$204))))</f>
        <v>0.22309999999999999</v>
      </c>
      <c r="K185" s="12">
        <f>MAX(0,MIN(1,((Input!K185-Input!K$204)/(Input!K$205-Input!K$204))))</f>
        <v>0.22539999999999999</v>
      </c>
      <c r="L185" s="12">
        <f>MAX(0,MIN(1,((Input!L185-Input!L$204)/(Input!L$205-Input!L$204))))</f>
        <v>0.22769999999999999</v>
      </c>
      <c r="M185" s="12">
        <f>MAX(0,MIN(1,((Input!M185-Input!M$204)/(Input!M$205-Input!M$204))))</f>
        <v>0.23</v>
      </c>
      <c r="N185" s="12">
        <f>MAX(0,MIN(1,((Input!N185-Input!N$204)/(Input!N$205-Input!N$204))))</f>
        <v>0.22769999999999999</v>
      </c>
      <c r="O185" s="12">
        <f>MAX(0,MIN(1,((Input!O185-Input!O$204)/(Input!O$205-Input!O$204))))</f>
        <v>0.22539999999999999</v>
      </c>
      <c r="P185" s="12">
        <f>MAX(0,MIN(1,((Input!P185-Input!P$204)/(Input!P$205-Input!P$204))))</f>
        <v>0.22309999999999999</v>
      </c>
      <c r="Q185" s="12">
        <f>MAX(0,MIN(1,((Input!Q185-Input!Q$204)/(Input!Q$205-Input!Q$204))))</f>
        <v>0.2208</v>
      </c>
      <c r="R185" s="12">
        <f>MAX(0,MIN(1,((Input!R185-Input!R$204)/(Input!R$205-Input!R$204))))</f>
        <v>0.21849999999999997</v>
      </c>
      <c r="S185" s="12">
        <f>MAX(0,MIN(1,((Input!S185-Input!S$204)/(Input!S$205-Input!S$204))))</f>
        <v>0.21619999999999998</v>
      </c>
      <c r="T185" s="12">
        <f>MAX(0,MIN(1,((Input!T185-Input!T$204)/(Input!T$205-Input!T$204))))</f>
        <v>0.21389999999999998</v>
      </c>
      <c r="U185" s="12">
        <f>MAX(0,MIN(1,((Input!U185-Input!U$204)/(Input!U$205-Input!U$204))))</f>
        <v>0</v>
      </c>
      <c r="V185" s="26">
        <f>COUNT(Raw!E185:U185)</f>
        <v>1</v>
      </c>
      <c r="W185" s="27">
        <f t="shared" si="5"/>
        <v>17</v>
      </c>
      <c r="AA185">
        <v>0.17480000000000018</v>
      </c>
      <c r="AB185">
        <v>2011</v>
      </c>
      <c r="AC185">
        <v>17</v>
      </c>
    </row>
    <row r="186" spans="1:29" ht="13">
      <c r="A186" s="12"/>
      <c r="B186" s="12"/>
      <c r="C186" s="1" t="s">
        <v>221</v>
      </c>
      <c r="D186" s="1" t="s">
        <v>35</v>
      </c>
      <c r="E186" s="12">
        <f>MAX(0,MIN(1,((Input!E186-Input!E$204)/(Input!E$205-Input!E$204))))</f>
        <v>0.94800003050000003</v>
      </c>
      <c r="F186" s="12">
        <f>MAX(0,MIN(1,((Input!F186-Input!F$204)/(Input!F$205-Input!F$204))))</f>
        <v>0.95</v>
      </c>
      <c r="G186" s="12">
        <f>MAX(0,MIN(1,((Input!G186-Input!G$204)/(Input!G$205-Input!G$204))))</f>
        <v>0.95</v>
      </c>
      <c r="H186" s="12">
        <f>MAX(0,MIN(1,((Input!H186-Input!H$204)/(Input!H$205-Input!H$204))))</f>
        <v>0.96499999999999997</v>
      </c>
      <c r="I186" s="12">
        <f>MAX(0,MIN(1,((Input!I186-Input!I$204)/(Input!I$205-Input!I$204))))</f>
        <v>0.96599998470000004</v>
      </c>
      <c r="J186" s="12">
        <f>MAX(0,MIN(1,((Input!J186-Input!J$204)/(Input!J$205-Input!J$204))))</f>
        <v>0.9669999695</v>
      </c>
      <c r="K186" s="12">
        <f>MAX(0,MIN(1,((Input!K186-Input!K$204)/(Input!K$205-Input!K$204))))</f>
        <v>0.9669999695</v>
      </c>
      <c r="L186" s="12">
        <f>MAX(0,MIN(1,((Input!L186-Input!L$204)/(Input!L$205-Input!L$204))))</f>
        <v>0.96800003050000005</v>
      </c>
      <c r="M186" s="12">
        <f>MAX(0,MIN(1,((Input!M186-Input!M$204)/(Input!M$205-Input!M$204))))</f>
        <v>0.96400001530000001</v>
      </c>
      <c r="N186" s="12">
        <f>MAX(0,MIN(1,((Input!N186-Input!N$204)/(Input!N$205-Input!N$204))))</f>
        <v>0.97199996950000001</v>
      </c>
      <c r="O186" s="12">
        <f>MAX(0,MIN(1,((Input!O186-Input!O$204)/(Input!O$205-Input!O$204))))</f>
        <v>0.9741999817</v>
      </c>
      <c r="P186" s="12">
        <f>MAX(0,MIN(1,((Input!P186-Input!P$204)/(Input!P$205-Input!P$204))))</f>
        <v>0.97664750690000002</v>
      </c>
      <c r="Q186" s="12">
        <f>MAX(0,MIN(1,((Input!Q186-Input!Q$204)/(Input!Q$205-Input!Q$204))))</f>
        <v>0.97751177530000011</v>
      </c>
      <c r="R186" s="12">
        <f>MAX(0,MIN(1,((Input!R186-Input!R$204)/(Input!R$205-Input!R$204))))</f>
        <v>0.97809999999999997</v>
      </c>
      <c r="S186" s="12">
        <f>MAX(0,MIN(1,((Input!S186-Input!S$204)/(Input!S$205-Input!S$204))))</f>
        <v>0.96831900000000004</v>
      </c>
      <c r="T186" s="12">
        <f>MAX(0,MIN(1,((Input!T186-Input!T$204)/(Input!T$205-Input!T$204))))</f>
        <v>0.95853800000000011</v>
      </c>
      <c r="U186" s="12">
        <f>MAX(0,MIN(1,((Input!U186-Input!U$204)/(Input!U$205-Input!U$204))))</f>
        <v>0</v>
      </c>
      <c r="V186" s="26">
        <f>COUNT(Raw!E186:U186)</f>
        <v>14</v>
      </c>
      <c r="W186" s="27">
        <f t="shared" si="5"/>
        <v>17</v>
      </c>
      <c r="AA186">
        <v>0.98726134862285675</v>
      </c>
      <c r="AB186">
        <v>2011</v>
      </c>
      <c r="AC186">
        <v>17</v>
      </c>
    </row>
    <row r="187" spans="1:29" ht="13">
      <c r="A187" s="12"/>
      <c r="B187" s="12"/>
      <c r="C187" s="1" t="s">
        <v>10</v>
      </c>
      <c r="D187" s="1" t="s">
        <v>336</v>
      </c>
      <c r="E187" s="12">
        <f>MAX(0,MIN(1,((Input!E187-Input!E$204)/(Input!E$205-Input!E$204))))</f>
        <v>1</v>
      </c>
      <c r="F187" s="12">
        <f>MAX(0,MIN(1,((Input!F187-Input!F$204)/(Input!F$205-Input!F$204))))</f>
        <v>1</v>
      </c>
      <c r="G187" s="12">
        <f>MAX(0,MIN(1,((Input!G187-Input!G$204)/(Input!G$205-Input!G$204))))</f>
        <v>1</v>
      </c>
      <c r="H187" s="12">
        <f>MAX(0,MIN(1,((Input!H187-Input!H$204)/(Input!H$205-Input!H$204))))</f>
        <v>1</v>
      </c>
      <c r="I187" s="12">
        <f>MAX(0,MIN(1,((Input!I187-Input!I$204)/(Input!I$205-Input!I$204))))</f>
        <v>1</v>
      </c>
      <c r="J187" s="12">
        <f>MAX(0,MIN(1,((Input!J187-Input!J$204)/(Input!J$205-Input!J$204))))</f>
        <v>1</v>
      </c>
      <c r="K187" s="12">
        <f>MAX(0,MIN(1,((Input!K187-Input!K$204)/(Input!K$205-Input!K$204))))</f>
        <v>0.99</v>
      </c>
      <c r="L187" s="12">
        <f>MAX(0,MIN(1,((Input!L187-Input!L$204)/(Input!L$205-Input!L$204))))</f>
        <v>0.98</v>
      </c>
      <c r="M187" s="12">
        <f>MAX(0,MIN(1,((Input!M187-Input!M$204)/(Input!M$205-Input!M$204))))</f>
        <v>0.97</v>
      </c>
      <c r="N187" s="12">
        <f>MAX(0,MIN(1,((Input!N187-Input!N$204)/(Input!N$205-Input!N$204))))</f>
        <v>0.96</v>
      </c>
      <c r="O187" s="12">
        <f>MAX(0,MIN(1,((Input!O187-Input!O$204)/(Input!O$205-Input!O$204))))</f>
        <v>0.95</v>
      </c>
      <c r="P187" s="12">
        <f>MAX(0,MIN(1,((Input!P187-Input!P$204)/(Input!P$205-Input!P$204))))</f>
        <v>0.94</v>
      </c>
      <c r="Q187" s="12">
        <f>MAX(0,MIN(1,((Input!Q187-Input!Q$204)/(Input!Q$205-Input!Q$204))))</f>
        <v>0.93</v>
      </c>
      <c r="R187" s="12">
        <f>MAX(0,MIN(1,((Input!R187-Input!R$204)/(Input!R$205-Input!R$204))))</f>
        <v>0.92</v>
      </c>
      <c r="S187" s="12">
        <f>MAX(0,MIN(1,((Input!S187-Input!S$204)/(Input!S$205-Input!S$204))))</f>
        <v>0.91</v>
      </c>
      <c r="T187" s="12">
        <f>MAX(0,MIN(1,((Input!T187-Input!T$204)/(Input!T$205-Input!T$204))))</f>
        <v>0.9</v>
      </c>
      <c r="U187" s="12">
        <f>MAX(0,MIN(1,((Input!U187-Input!U$204)/(Input!U$205-Input!U$204))))</f>
        <v>0</v>
      </c>
      <c r="V187" s="26">
        <f>COUNT(Raw!E187:U187)</f>
        <v>6</v>
      </c>
      <c r="W187" s="27">
        <f t="shared" si="5"/>
        <v>17</v>
      </c>
      <c r="AA187">
        <v>1</v>
      </c>
      <c r="AB187">
        <v>2011</v>
      </c>
      <c r="AC187">
        <v>17</v>
      </c>
    </row>
    <row r="188" spans="1:29" ht="13">
      <c r="A188" s="12"/>
      <c r="B188" s="12"/>
      <c r="C188" s="1" t="s">
        <v>157</v>
      </c>
      <c r="D188" s="1" t="s">
        <v>166</v>
      </c>
      <c r="E188" s="12">
        <f>MAX(0,MIN(1,((Input!E188-Input!E$204)/(Input!E$205-Input!E$204))))</f>
        <v>1</v>
      </c>
      <c r="F188" s="12">
        <f>MAX(0,MIN(1,((Input!F188-Input!F$204)/(Input!F$205-Input!F$204))))</f>
        <v>1</v>
      </c>
      <c r="G188" s="12">
        <f>MAX(0,MIN(1,((Input!G188-Input!G$204)/(Input!G$205-Input!G$204))))</f>
        <v>1</v>
      </c>
      <c r="H188" s="12">
        <f>MAX(0,MIN(1,((Input!H188-Input!H$204)/(Input!H$205-Input!H$204))))</f>
        <v>1</v>
      </c>
      <c r="I188" s="12">
        <f>MAX(0,MIN(1,((Input!I188-Input!I$204)/(Input!I$205-Input!I$204))))</f>
        <v>1</v>
      </c>
      <c r="J188" s="12">
        <f>MAX(0,MIN(1,((Input!J188-Input!J$204)/(Input!J$205-Input!J$204))))</f>
        <v>1</v>
      </c>
      <c r="K188" s="12">
        <f>MAX(0,MIN(1,((Input!K188-Input!K$204)/(Input!K$205-Input!K$204))))</f>
        <v>1</v>
      </c>
      <c r="L188" s="12">
        <f>MAX(0,MIN(1,((Input!L188-Input!L$204)/(Input!L$205-Input!L$204))))</f>
        <v>1</v>
      </c>
      <c r="M188" s="12">
        <f>MAX(0,MIN(1,((Input!M188-Input!M$204)/(Input!M$205-Input!M$204))))</f>
        <v>1</v>
      </c>
      <c r="N188" s="12">
        <f>MAX(0,MIN(1,((Input!N188-Input!N$204)/(Input!N$205-Input!N$204))))</f>
        <v>1</v>
      </c>
      <c r="O188" s="12">
        <f>MAX(0,MIN(1,((Input!O188-Input!O$204)/(Input!O$205-Input!O$204))))</f>
        <v>1</v>
      </c>
      <c r="P188" s="12">
        <f>MAX(0,MIN(1,((Input!P188-Input!P$204)/(Input!P$205-Input!P$204))))</f>
        <v>1</v>
      </c>
      <c r="Q188" s="12">
        <f>MAX(0,MIN(1,((Input!Q188-Input!Q$204)/(Input!Q$205-Input!Q$204))))</f>
        <v>1</v>
      </c>
      <c r="R188" s="12">
        <f>MAX(0,MIN(1,((Input!R188-Input!R$204)/(Input!R$205-Input!R$204))))</f>
        <v>1</v>
      </c>
      <c r="S188" s="12">
        <f>MAX(0,MIN(1,((Input!S188-Input!S$204)/(Input!S$205-Input!S$204))))</f>
        <v>0.99</v>
      </c>
      <c r="T188" s="12">
        <f>MAX(0,MIN(1,((Input!T188-Input!T$204)/(Input!T$205-Input!T$204))))</f>
        <v>0.98</v>
      </c>
      <c r="U188" s="12">
        <f>MAX(0,MIN(1,((Input!U188-Input!U$204)/(Input!U$205-Input!U$204))))</f>
        <v>0</v>
      </c>
      <c r="V188" s="26">
        <f>COUNT(Raw!E188:U188)</f>
        <v>14</v>
      </c>
      <c r="W188" s="27">
        <f t="shared" si="5"/>
        <v>17</v>
      </c>
      <c r="AA188">
        <v>1</v>
      </c>
      <c r="AB188">
        <v>2011</v>
      </c>
      <c r="AC188">
        <v>17</v>
      </c>
    </row>
    <row r="189" spans="1:29" ht="13">
      <c r="A189" s="12"/>
      <c r="B189" s="12"/>
      <c r="C189" s="1" t="s">
        <v>332</v>
      </c>
      <c r="D189" s="1" t="s">
        <v>311</v>
      </c>
      <c r="E189" s="12">
        <f>MAX(0,MIN(1,((Input!E189-Input!E$204)/(Input!E$205-Input!E$204))))</f>
        <v>0.60903997194000004</v>
      </c>
      <c r="F189" s="12">
        <f>MAX(0,MIN(1,((Input!F189-Input!F$204)/(Input!F$205-Input!F$204))))</f>
        <v>0.61565997163499997</v>
      </c>
      <c r="G189" s="12">
        <f>MAX(0,MIN(1,((Input!G189-Input!G$204)/(Input!G$205-Input!G$204))))</f>
        <v>0.62227997133000001</v>
      </c>
      <c r="H189" s="12">
        <f>MAX(0,MIN(1,((Input!H189-Input!H$204)/(Input!H$205-Input!H$204))))</f>
        <v>0.62889997102499995</v>
      </c>
      <c r="I189" s="12">
        <f>MAX(0,MIN(1,((Input!I189-Input!I$204)/(Input!I$205-Input!I$204))))</f>
        <v>0.63551997071999999</v>
      </c>
      <c r="J189" s="12">
        <f>MAX(0,MIN(1,((Input!J189-Input!J$204)/(Input!J$205-Input!J$204))))</f>
        <v>0.64213997041499993</v>
      </c>
      <c r="K189" s="12">
        <f>MAX(0,MIN(1,((Input!K189-Input!K$204)/(Input!K$205-Input!K$204))))</f>
        <v>0.64875997010999997</v>
      </c>
      <c r="L189" s="12">
        <f>MAX(0,MIN(1,((Input!L189-Input!L$204)/(Input!L$205-Input!L$204))))</f>
        <v>0.65537996980500002</v>
      </c>
      <c r="M189" s="12">
        <f>MAX(0,MIN(1,((Input!M189-Input!M$204)/(Input!M$205-Input!M$204))))</f>
        <v>0.66199996949999995</v>
      </c>
      <c r="N189" s="12">
        <f>MAX(0,MIN(1,((Input!N189-Input!N$204)/(Input!N$205-Input!N$204))))</f>
        <v>0.64500000000000002</v>
      </c>
      <c r="O189" s="12">
        <f>MAX(0,MIN(1,((Input!O189-Input!O$204)/(Input!O$205-Input!O$204))))</f>
        <v>0.65339996339999995</v>
      </c>
      <c r="P189" s="12">
        <f>MAX(0,MIN(1,((Input!P189-Input!P$204)/(Input!P$205-Input!P$204))))</f>
        <v>0.65229998170000003</v>
      </c>
      <c r="Q189" s="12">
        <f>MAX(0,MIN(1,((Input!Q189-Input!Q$204)/(Input!Q$205-Input!Q$204))))</f>
        <v>0.6512</v>
      </c>
      <c r="R189" s="12">
        <f>MAX(0,MIN(1,((Input!R189-Input!R$204)/(Input!R$205-Input!R$204))))</f>
        <v>0.67370000000000008</v>
      </c>
      <c r="S189" s="12">
        <f>MAX(0,MIN(1,((Input!S189-Input!S$204)/(Input!S$205-Input!S$204))))</f>
        <v>0.66696300000000008</v>
      </c>
      <c r="T189" s="12">
        <f>MAX(0,MIN(1,((Input!T189-Input!T$204)/(Input!T$205-Input!T$204))))</f>
        <v>0.66022599999999998</v>
      </c>
      <c r="U189" s="12">
        <f>MAX(0,MIN(1,((Input!U189-Input!U$204)/(Input!U$205-Input!U$204))))</f>
        <v>0</v>
      </c>
      <c r="V189" s="26">
        <f>COUNT(Raw!E189:U189)</f>
        <v>5</v>
      </c>
      <c r="W189" s="27">
        <f t="shared" si="5"/>
        <v>17</v>
      </c>
      <c r="AA189">
        <v>0.67020699192325595</v>
      </c>
      <c r="AB189">
        <v>2011</v>
      </c>
      <c r="AC189">
        <v>17</v>
      </c>
    </row>
    <row r="190" spans="1:29" ht="13">
      <c r="A190" s="12"/>
      <c r="B190" s="12"/>
      <c r="C190" s="1" t="s">
        <v>318</v>
      </c>
      <c r="D190" s="1" t="s">
        <v>144</v>
      </c>
      <c r="E190" s="12" t="e">
        <f>MAX(0,MIN(1,((Input!E190-Input!E$204)/(Input!E$205-Input!E$204))))</f>
        <v>#N/A</v>
      </c>
      <c r="F190" s="12" t="e">
        <f>MAX(0,MIN(1,((Input!F190-Input!F$204)/(Input!F$205-Input!F$204))))</f>
        <v>#N/A</v>
      </c>
      <c r="G190" s="12" t="e">
        <f>MAX(0,MIN(1,((Input!G190-Input!G$204)/(Input!G$205-Input!G$204))))</f>
        <v>#N/A</v>
      </c>
      <c r="H190" s="12" t="e">
        <f>MAX(0,MIN(1,((Input!H190-Input!H$204)/(Input!H$205-Input!H$204))))</f>
        <v>#N/A</v>
      </c>
      <c r="I190" s="12" t="e">
        <f>MAX(0,MIN(1,((Input!I190-Input!I$204)/(Input!I$205-Input!I$204))))</f>
        <v>#N/A</v>
      </c>
      <c r="J190" s="12" t="e">
        <f>MAX(0,MIN(1,((Input!J190-Input!J$204)/(Input!J$205-Input!J$204))))</f>
        <v>#N/A</v>
      </c>
      <c r="K190" s="12" t="e">
        <f>MAX(0,MIN(1,((Input!K190-Input!K$204)/(Input!K$205-Input!K$204))))</f>
        <v>#N/A</v>
      </c>
      <c r="L190" s="12" t="e">
        <f>MAX(0,MIN(1,((Input!L190-Input!L$204)/(Input!L$205-Input!L$204))))</f>
        <v>#N/A</v>
      </c>
      <c r="M190" s="12" t="e">
        <f>MAX(0,MIN(1,((Input!M190-Input!M$204)/(Input!M$205-Input!M$204))))</f>
        <v>#N/A</v>
      </c>
      <c r="N190" s="12" t="e">
        <f>MAX(0,MIN(1,((Input!N190-Input!N$204)/(Input!N$205-Input!N$204))))</f>
        <v>#N/A</v>
      </c>
      <c r="O190" s="12" t="e">
        <f>MAX(0,MIN(1,((Input!O190-Input!O$204)/(Input!O$205-Input!O$204))))</f>
        <v>#N/A</v>
      </c>
      <c r="P190" s="12" t="e">
        <f>MAX(0,MIN(1,((Input!P190-Input!P$204)/(Input!P$205-Input!P$204))))</f>
        <v>#N/A</v>
      </c>
      <c r="Q190" s="12" t="e">
        <f>MAX(0,MIN(1,((Input!Q190-Input!Q$204)/(Input!Q$205-Input!Q$204))))</f>
        <v>#N/A</v>
      </c>
      <c r="R190" s="12" t="e">
        <f>MAX(0,MIN(1,((Input!R190-Input!R$204)/(Input!R$205-Input!R$204))))</f>
        <v>#N/A</v>
      </c>
      <c r="S190" s="12" t="e">
        <f>MAX(0,MIN(1,((Input!S190-Input!S$204)/(Input!S$205-Input!S$204))))</f>
        <v>#N/A</v>
      </c>
      <c r="T190" s="12" t="e">
        <f>MAX(0,MIN(1,((Input!T190-Input!T$204)/(Input!T$205-Input!T$204))))</f>
        <v>#N/A</v>
      </c>
      <c r="U190" s="12">
        <f>MAX(0,MIN(1,((Input!U190-Input!U$204)/(Input!U$205-Input!U$204))))</f>
        <v>0</v>
      </c>
      <c r="V190" s="26">
        <f>COUNT(Raw!E190:U190)</f>
        <v>0</v>
      </c>
      <c r="W190" s="27">
        <f t="shared" si="5"/>
        <v>1</v>
      </c>
      <c r="AA190" t="e">
        <v>#N/A</v>
      </c>
      <c r="AC190">
        <v>0</v>
      </c>
    </row>
    <row r="191" spans="1:29" ht="13">
      <c r="A191" s="12"/>
      <c r="B191" s="12"/>
      <c r="C191" s="1" t="s">
        <v>7</v>
      </c>
      <c r="D191" s="1" t="s">
        <v>12</v>
      </c>
      <c r="E191" s="12">
        <f>MAX(0,MIN(1,((Input!E191-Input!E$204)/(Input!E$205-Input!E$204))))</f>
        <v>0.87199996950000003</v>
      </c>
      <c r="F191" s="12">
        <f>MAX(0,MIN(1,((Input!F191-Input!F$204)/(Input!F$205-Input!F$204))))</f>
        <v>0.87300003049999997</v>
      </c>
      <c r="G191" s="12">
        <f>MAX(0,MIN(1,((Input!G191-Input!G$204)/(Input!G$205-Input!G$204))))</f>
        <v>0.87300003049999997</v>
      </c>
      <c r="H191" s="12">
        <f>MAX(0,MIN(1,((Input!H191-Input!H$204)/(Input!H$205-Input!H$204))))</f>
        <v>0.87300003049999997</v>
      </c>
      <c r="I191" s="12">
        <f>MAX(0,MIN(1,((Input!I191-Input!I$204)/(Input!I$205-Input!I$204))))</f>
        <v>0.87300003049999997</v>
      </c>
      <c r="J191" s="12">
        <f>MAX(0,MIN(1,((Input!J191-Input!J$204)/(Input!J$205-Input!J$204))))</f>
        <v>0.87300003049999997</v>
      </c>
      <c r="K191" s="12">
        <f>MAX(0,MIN(1,((Input!K191-Input!K$204)/(Input!K$205-Input!K$204))))</f>
        <v>0.87300003049999997</v>
      </c>
      <c r="L191" s="12">
        <f>MAX(0,MIN(1,((Input!L191-Input!L$204)/(Input!L$205-Input!L$204))))</f>
        <v>0.86427003019500004</v>
      </c>
      <c r="M191" s="12">
        <f>MAX(0,MIN(1,((Input!M191-Input!M$204)/(Input!M$205-Input!M$204))))</f>
        <v>0.85554002989</v>
      </c>
      <c r="N191" s="12">
        <f>MAX(0,MIN(1,((Input!N191-Input!N$204)/(Input!N$205-Input!N$204))))</f>
        <v>0.84681002958500007</v>
      </c>
      <c r="O191" s="12">
        <f>MAX(0,MIN(1,((Input!O191-Input!O$204)/(Input!O$205-Input!O$204))))</f>
        <v>0.83808002928000003</v>
      </c>
      <c r="P191" s="12">
        <f>MAX(0,MIN(1,((Input!P191-Input!P$204)/(Input!P$205-Input!P$204))))</f>
        <v>0.82935002897499999</v>
      </c>
      <c r="Q191" s="12">
        <f>MAX(0,MIN(1,((Input!Q191-Input!Q$204)/(Input!Q$205-Input!Q$204))))</f>
        <v>0.82062002867000006</v>
      </c>
      <c r="R191" s="12">
        <f>MAX(0,MIN(1,((Input!R191-Input!R$204)/(Input!R$205-Input!R$204))))</f>
        <v>0.81189002836500013</v>
      </c>
      <c r="S191" s="12">
        <f>MAX(0,MIN(1,((Input!S191-Input!S$204)/(Input!S$205-Input!S$204))))</f>
        <v>0.80316002805999998</v>
      </c>
      <c r="T191" s="12">
        <f>MAX(0,MIN(1,((Input!T191-Input!T$204)/(Input!T$205-Input!T$204))))</f>
        <v>0.79443002775500005</v>
      </c>
      <c r="U191" s="12">
        <f>MAX(0,MIN(1,((Input!U191-Input!U$204)/(Input!U$205-Input!U$204))))</f>
        <v>0</v>
      </c>
      <c r="V191" s="26">
        <f>COUNT(Raw!E191:U191)</f>
        <v>6</v>
      </c>
      <c r="W191" s="27">
        <f t="shared" si="5"/>
        <v>17</v>
      </c>
      <c r="AA191">
        <v>0.8743479388043478</v>
      </c>
      <c r="AB191">
        <v>2011</v>
      </c>
      <c r="AC191">
        <v>17</v>
      </c>
    </row>
    <row r="192" spans="1:29" ht="13">
      <c r="A192" s="12"/>
      <c r="B192" s="12"/>
      <c r="C192" s="1" t="s">
        <v>299</v>
      </c>
      <c r="D192" s="1" t="s">
        <v>323</v>
      </c>
      <c r="E192" s="12">
        <f>MAX(0,MIN(1,((Input!E192-Input!E$204)/(Input!E$205-Input!E$204))))</f>
        <v>0.23799999239999997</v>
      </c>
      <c r="F192" s="12">
        <f>MAX(0,MIN(1,((Input!F192-Input!F$204)/(Input!F$205-Input!F$204))))</f>
        <v>0.23899999619999998</v>
      </c>
      <c r="G192" s="12">
        <f>MAX(0,MIN(1,((Input!G192-Input!G$204)/(Input!G$205-Input!G$204))))</f>
        <v>0.23899999619999998</v>
      </c>
      <c r="H192" s="12">
        <f>MAX(0,MIN(1,((Input!H192-Input!H$204)/(Input!H$205-Input!H$204))))</f>
        <v>0.23899999619999998</v>
      </c>
      <c r="I192" s="12">
        <f>MAX(0,MIN(1,((Input!I192-Input!I$204)/(Input!I$205-Input!I$204))))</f>
        <v>0.23899999619999998</v>
      </c>
      <c r="J192" s="12">
        <f>MAX(0,MIN(1,((Input!J192-Input!J$204)/(Input!J$205-Input!J$204))))</f>
        <v>0.23899999619999998</v>
      </c>
      <c r="K192" s="12">
        <f>MAX(0,MIN(1,((Input!K192-Input!K$204)/(Input!K$205-Input!K$204))))</f>
        <v>0.23899999619999998</v>
      </c>
      <c r="L192" s="12">
        <f>MAX(0,MIN(1,((Input!L192-Input!L$204)/(Input!L$205-Input!L$204))))</f>
        <v>0.236609996238</v>
      </c>
      <c r="M192" s="12">
        <f>MAX(0,MIN(1,((Input!M192-Input!M$204)/(Input!M$205-Input!M$204))))</f>
        <v>0.23421999627599999</v>
      </c>
      <c r="N192" s="12">
        <f>MAX(0,MIN(1,((Input!N192-Input!N$204)/(Input!N$205-Input!N$204))))</f>
        <v>0.23182999631399998</v>
      </c>
      <c r="O192" s="12">
        <f>MAX(0,MIN(1,((Input!O192-Input!O$204)/(Input!O$205-Input!O$204))))</f>
        <v>0.22943999635199996</v>
      </c>
      <c r="P192" s="12">
        <f>MAX(0,MIN(1,((Input!P192-Input!P$204)/(Input!P$205-Input!P$204))))</f>
        <v>0.22704999639000001</v>
      </c>
      <c r="Q192" s="12">
        <f>MAX(0,MIN(1,((Input!Q192-Input!Q$204)/(Input!Q$205-Input!Q$204))))</f>
        <v>0.224659996428</v>
      </c>
      <c r="R192" s="12">
        <f>MAX(0,MIN(1,((Input!R192-Input!R$204)/(Input!R$205-Input!R$204))))</f>
        <v>0.22226999646599999</v>
      </c>
      <c r="S192" s="12">
        <f>MAX(0,MIN(1,((Input!S192-Input!S$204)/(Input!S$205-Input!S$204))))</f>
        <v>0.219879996504</v>
      </c>
      <c r="T192" s="12">
        <f>MAX(0,MIN(1,((Input!T192-Input!T$204)/(Input!T$205-Input!T$204))))</f>
        <v>0.21748999654199999</v>
      </c>
      <c r="U192" s="12">
        <f>MAX(0,MIN(1,((Input!U192-Input!U$204)/(Input!U$205-Input!U$204))))</f>
        <v>0</v>
      </c>
      <c r="V192" s="26">
        <f>COUNT(Raw!E192:U192)</f>
        <v>7</v>
      </c>
      <c r="W192" s="27">
        <f t="shared" si="5"/>
        <v>17</v>
      </c>
      <c r="AA192">
        <v>0.24025000094999999</v>
      </c>
      <c r="AB192">
        <v>2011</v>
      </c>
      <c r="AC192">
        <v>17</v>
      </c>
    </row>
    <row r="193" spans="1:29" ht="13">
      <c r="A193" s="12"/>
      <c r="B193" s="12"/>
      <c r="C193" s="1" t="s">
        <v>104</v>
      </c>
      <c r="D193" s="1" t="s">
        <v>339</v>
      </c>
      <c r="E193" s="12">
        <f>MAX(0,MIN(1,((Input!E193-Input!E$204)/(Input!E$205-Input!E$204))))</f>
        <v>0.35400001529999997</v>
      </c>
      <c r="F193" s="12">
        <f>MAX(0,MIN(1,((Input!F193-Input!F$204)/(Input!F$205-Input!F$204))))</f>
        <v>0.35400001529999997</v>
      </c>
      <c r="G193" s="12">
        <f>MAX(0,MIN(1,((Input!G193-Input!G$204)/(Input!G$205-Input!G$204))))</f>
        <v>0.33599998470000003</v>
      </c>
      <c r="H193" s="12">
        <f>MAX(0,MIN(1,((Input!H193-Input!H$204)/(Input!H$205-Input!H$204))))</f>
        <v>0.33599998470000003</v>
      </c>
      <c r="I193" s="12">
        <f>MAX(0,MIN(1,((Input!I193-Input!I$204)/(Input!I$205-Input!I$204))))</f>
        <v>0.33599998470000003</v>
      </c>
      <c r="J193" s="12">
        <f>MAX(0,MIN(1,((Input!J193-Input!J$204)/(Input!J$205-Input!J$204))))</f>
        <v>0.33599998470000003</v>
      </c>
      <c r="K193" s="12">
        <f>MAX(0,MIN(1,((Input!K193-Input!K$204)/(Input!K$205-Input!K$204))))</f>
        <v>0.33599998470000003</v>
      </c>
      <c r="L193" s="12">
        <f>MAX(0,MIN(1,((Input!L193-Input!L$204)/(Input!L$205-Input!L$204))))</f>
        <v>0.332639984853</v>
      </c>
      <c r="M193" s="12">
        <f>MAX(0,MIN(1,((Input!M193-Input!M$204)/(Input!M$205-Input!M$204))))</f>
        <v>0.32927998500600003</v>
      </c>
      <c r="N193" s="12">
        <f>MAX(0,MIN(1,((Input!N193-Input!N$204)/(Input!N$205-Input!N$204))))</f>
        <v>0.325919985159</v>
      </c>
      <c r="O193" s="12">
        <f>MAX(0,MIN(1,((Input!O193-Input!O$204)/(Input!O$205-Input!O$204))))</f>
        <v>0.32255998531200009</v>
      </c>
      <c r="P193" s="12">
        <f>MAX(0,MIN(1,((Input!P193-Input!P$204)/(Input!P$205-Input!P$204))))</f>
        <v>0.31919998546500006</v>
      </c>
      <c r="Q193" s="12">
        <f>MAX(0,MIN(1,((Input!Q193-Input!Q$204)/(Input!Q$205-Input!Q$204))))</f>
        <v>0.31583998561800003</v>
      </c>
      <c r="R193" s="12">
        <f>MAX(0,MIN(1,((Input!R193-Input!R$204)/(Input!R$205-Input!R$204))))</f>
        <v>0.312479985771</v>
      </c>
      <c r="S193" s="12">
        <f>MAX(0,MIN(1,((Input!S193-Input!S$204)/(Input!S$205-Input!S$204))))</f>
        <v>0.30911998592400003</v>
      </c>
      <c r="T193" s="12">
        <f>MAX(0,MIN(1,((Input!T193-Input!T$204)/(Input!T$205-Input!T$204))))</f>
        <v>0.30575998607700006</v>
      </c>
      <c r="U193" s="12">
        <f>MAX(0,MIN(1,((Input!U193-Input!U$204)/(Input!U$205-Input!U$204))))</f>
        <v>0</v>
      </c>
      <c r="V193" s="26">
        <f>COUNT(Raw!E193:U193)</f>
        <v>7</v>
      </c>
      <c r="W193" s="27">
        <f t="shared" si="5"/>
        <v>17</v>
      </c>
      <c r="AA193">
        <v>0.2993570652642859</v>
      </c>
      <c r="AB193">
        <v>2011</v>
      </c>
      <c r="AC193">
        <v>17</v>
      </c>
    </row>
    <row r="194" spans="1:29" ht="13">
      <c r="A194" s="12"/>
      <c r="B194" s="12"/>
      <c r="C194" s="1" t="s">
        <v>255</v>
      </c>
      <c r="D194" s="1" t="s">
        <v>160</v>
      </c>
      <c r="E194" s="12">
        <f>MAX(0,MIN(1,((Input!E194-Input!E$204)/(Input!E$205-Input!E$204))))</f>
        <v>0.25899999619999997</v>
      </c>
      <c r="F194" s="12">
        <f>MAX(0,MIN(1,((Input!F194-Input!F$204)/(Input!F$205-Input!F$204))))</f>
        <v>0.25100000379999998</v>
      </c>
      <c r="G194" s="12">
        <f>MAX(0,MIN(1,((Input!G194-Input!G$204)/(Input!G$205-Input!G$204))))</f>
        <v>0.25100000379999998</v>
      </c>
      <c r="H194" s="12">
        <f>MAX(0,MIN(1,((Input!H194-Input!H$204)/(Input!H$205-Input!H$204))))</f>
        <v>0.25100000379999998</v>
      </c>
      <c r="I194" s="12">
        <f>MAX(0,MIN(1,((Input!I194-Input!I$204)/(Input!I$205-Input!I$204))))</f>
        <v>0.28232168698333332</v>
      </c>
      <c r="J194" s="12">
        <f>MAX(0,MIN(1,((Input!J194-Input!J$204)/(Input!J$205-Input!J$204))))</f>
        <v>0.31364337016666666</v>
      </c>
      <c r="K194" s="12">
        <f>MAX(0,MIN(1,((Input!K194-Input!K$204)/(Input!K$205-Input!K$204))))</f>
        <v>0.34496505334999999</v>
      </c>
      <c r="L194" s="12">
        <f>MAX(0,MIN(1,((Input!L194-Input!L$204)/(Input!L$205-Input!L$204))))</f>
        <v>0.37628673653333339</v>
      </c>
      <c r="M194" s="12">
        <f>MAX(0,MIN(1,((Input!M194-Input!M$204)/(Input!M$205-Input!M$204))))</f>
        <v>0.40760841971666667</v>
      </c>
      <c r="N194" s="12">
        <f>MAX(0,MIN(1,((Input!N194-Input!N$204)/(Input!N$205-Input!N$204))))</f>
        <v>0.43893010290000001</v>
      </c>
      <c r="O194" s="12">
        <f>MAX(0,MIN(1,((Input!O194-Input!O$204)/(Input!O$205-Input!O$204))))</f>
        <v>0.45427696449999999</v>
      </c>
      <c r="P194" s="12">
        <f>MAX(0,MIN(1,((Input!P194-Input!P$204)/(Input!P$205-Input!P$204))))</f>
        <v>0.46962382609999997</v>
      </c>
      <c r="Q194" s="12">
        <f>MAX(0,MIN(1,((Input!Q194-Input!Q$204)/(Input!Q$205-Input!Q$204))))</f>
        <v>0.47624134079999997</v>
      </c>
      <c r="R194" s="12">
        <f>MAX(0,MIN(1,((Input!R194-Input!R$204)/(Input!R$205-Input!R$204))))</f>
        <v>0.47147892739199998</v>
      </c>
      <c r="S194" s="12">
        <f>MAX(0,MIN(1,((Input!S194-Input!S$204)/(Input!S$205-Input!S$204))))</f>
        <v>0.46671651398399994</v>
      </c>
      <c r="T194" s="12">
        <f>MAX(0,MIN(1,((Input!T194-Input!T$204)/(Input!T$205-Input!T$204))))</f>
        <v>0.46195410057599995</v>
      </c>
      <c r="U194" s="12">
        <f>MAX(0,MIN(1,((Input!U194-Input!U$204)/(Input!U$205-Input!U$204))))</f>
        <v>0</v>
      </c>
      <c r="V194" s="26">
        <f>COUNT(Raw!E194:U194)</f>
        <v>7</v>
      </c>
      <c r="W194" s="27">
        <f t="shared" si="5"/>
        <v>17</v>
      </c>
      <c r="AA194">
        <v>0.57113599117026748</v>
      </c>
      <c r="AB194">
        <v>2011</v>
      </c>
      <c r="AC194">
        <v>17</v>
      </c>
    </row>
    <row r="195" spans="1:29" ht="13">
      <c r="A195" s="12"/>
      <c r="B195" s="12"/>
      <c r="C195" s="1" t="s">
        <v>79</v>
      </c>
      <c r="D195" s="1" t="s">
        <v>324</v>
      </c>
      <c r="E195" s="12">
        <f>MAX(0,MIN(1,((Input!E195-Input!E$204)/(Input!E$205-Input!E$204))))</f>
        <v>7.9000000949999996E-2</v>
      </c>
      <c r="F195" s="12">
        <f>MAX(0,MIN(1,((Input!F195-Input!F$204)/(Input!F$205-Input!F$204))))</f>
        <v>8.1000003809999999E-2</v>
      </c>
      <c r="G195" s="12">
        <f>MAX(0,MIN(1,((Input!G195-Input!G$204)/(Input!G$205-Input!G$204))))</f>
        <v>8.1666669841111095E-2</v>
      </c>
      <c r="H195" s="12">
        <f>MAX(0,MIN(1,((Input!H195-Input!H$204)/(Input!H$205-Input!H$204))))</f>
        <v>8.2333335872222205E-2</v>
      </c>
      <c r="I195" s="12">
        <f>MAX(0,MIN(1,((Input!I195-Input!I$204)/(Input!I$205-Input!I$204))))</f>
        <v>8.3000001903333315E-2</v>
      </c>
      <c r="J195" s="12">
        <f>MAX(0,MIN(1,((Input!J195-Input!J$204)/(Input!J$205-Input!J$204))))</f>
        <v>8.3666667934444425E-2</v>
      </c>
      <c r="K195" s="12">
        <f>MAX(0,MIN(1,((Input!K195-Input!K$204)/(Input!K$205-Input!K$204))))</f>
        <v>8.4333333965555562E-2</v>
      </c>
      <c r="L195" s="12">
        <f>MAX(0,MIN(1,((Input!L195-Input!L$204)/(Input!L$205-Input!L$204))))</f>
        <v>8.4999999996666672E-2</v>
      </c>
      <c r="M195" s="12">
        <f>MAX(0,MIN(1,((Input!M195-Input!M$204)/(Input!M$205-Input!M$204))))</f>
        <v>8.5666666027777782E-2</v>
      </c>
      <c r="N195" s="12">
        <f>MAX(0,MIN(1,((Input!N195-Input!N$204)/(Input!N$205-Input!N$204))))</f>
        <v>8.6333332058888879E-2</v>
      </c>
      <c r="O195" s="12">
        <f>MAX(0,MIN(1,((Input!O195-Input!O$204)/(Input!O$205-Input!O$204))))</f>
        <v>8.6999998089999989E-2</v>
      </c>
      <c r="P195" s="12">
        <f>MAX(0,MIN(1,((Input!P195-Input!P$204)/(Input!P$205-Input!P$204))))</f>
        <v>8.6129998109099992E-2</v>
      </c>
      <c r="Q195" s="12">
        <f>MAX(0,MIN(1,((Input!Q195-Input!Q$204)/(Input!Q$205-Input!Q$204))))</f>
        <v>8.5259998128199982E-2</v>
      </c>
      <c r="R195" s="12">
        <f>MAX(0,MIN(1,((Input!R195-Input!R$204)/(Input!R$205-Input!R$204))))</f>
        <v>8.4389998147299999E-2</v>
      </c>
      <c r="S195" s="12">
        <f>MAX(0,MIN(1,((Input!S195-Input!S$204)/(Input!S$205-Input!S$204))))</f>
        <v>8.3519998166399989E-2</v>
      </c>
      <c r="T195" s="12">
        <f>MAX(0,MIN(1,((Input!T195-Input!T$204)/(Input!T$205-Input!T$204))))</f>
        <v>8.2649998185499993E-2</v>
      </c>
      <c r="U195" s="12">
        <f>MAX(0,MIN(1,((Input!U195-Input!U$204)/(Input!U$205-Input!U$204))))</f>
        <v>0</v>
      </c>
      <c r="V195" s="26">
        <f>COUNT(Raw!E195:U195)</f>
        <v>3</v>
      </c>
      <c r="W195" s="27">
        <f t="shared" si="5"/>
        <v>17</v>
      </c>
      <c r="AA195">
        <v>9.1549446266593296E-2</v>
      </c>
      <c r="AB195">
        <v>2011</v>
      </c>
      <c r="AC195">
        <v>17</v>
      </c>
    </row>
    <row r="196" spans="1:29" ht="13">
      <c r="A196" s="12"/>
      <c r="B196" s="12"/>
      <c r="C196" s="1" t="s">
        <v>29</v>
      </c>
      <c r="D196" s="1" t="s">
        <v>65</v>
      </c>
      <c r="E196" s="12">
        <f>MAX(0,MIN(1,((Input!E196-Input!E$204)/(Input!E$205-Input!E$204))))</f>
        <v>0.20679999999999998</v>
      </c>
      <c r="F196" s="12">
        <f>MAX(0,MIN(1,((Input!F196-Input!F$204)/(Input!F$205-Input!F$204))))</f>
        <v>0.20899999999999999</v>
      </c>
      <c r="G196" s="12">
        <f>MAX(0,MIN(1,((Input!G196-Input!G$204)/(Input!G$205-Input!G$204))))</f>
        <v>0.2112</v>
      </c>
      <c r="H196" s="12">
        <f>MAX(0,MIN(1,((Input!H196-Input!H$204)/(Input!H$205-Input!H$204))))</f>
        <v>0.21340000000000001</v>
      </c>
      <c r="I196" s="12">
        <f>MAX(0,MIN(1,((Input!I196-Input!I$204)/(Input!I$205-Input!I$204))))</f>
        <v>0.21559999999999999</v>
      </c>
      <c r="J196" s="12">
        <f>MAX(0,MIN(1,((Input!J196-Input!J$204)/(Input!J$205-Input!J$204))))</f>
        <v>0.21780000000000002</v>
      </c>
      <c r="K196" s="12">
        <f>MAX(0,MIN(1,((Input!K196-Input!K$204)/(Input!K$205-Input!K$204))))</f>
        <v>0.22</v>
      </c>
      <c r="L196" s="12">
        <f>MAX(0,MIN(1,((Input!L196-Input!L$204)/(Input!L$205-Input!L$204))))</f>
        <v>0.21780000000000002</v>
      </c>
      <c r="M196" s="12">
        <f>MAX(0,MIN(1,((Input!M196-Input!M$204)/(Input!M$205-Input!M$204))))</f>
        <v>0.21559999999999999</v>
      </c>
      <c r="N196" s="12">
        <f>MAX(0,MIN(1,((Input!N196-Input!N$204)/(Input!N$205-Input!N$204))))</f>
        <v>0.21340000000000001</v>
      </c>
      <c r="O196" s="12">
        <f>MAX(0,MIN(1,((Input!O196-Input!O$204)/(Input!O$205-Input!O$204))))</f>
        <v>0.2112</v>
      </c>
      <c r="P196" s="12">
        <f>MAX(0,MIN(1,((Input!P196-Input!P$204)/(Input!P$205-Input!P$204))))</f>
        <v>0.20899999999999999</v>
      </c>
      <c r="Q196" s="12">
        <f>MAX(0,MIN(1,((Input!Q196-Input!Q$204)/(Input!Q$205-Input!Q$204))))</f>
        <v>0.20679999999999998</v>
      </c>
      <c r="R196" s="12">
        <f>MAX(0,MIN(1,((Input!R196-Input!R$204)/(Input!R$205-Input!R$204))))</f>
        <v>0.2046</v>
      </c>
      <c r="S196" s="12">
        <f>MAX(0,MIN(1,((Input!S196-Input!S$204)/(Input!S$205-Input!S$204))))</f>
        <v>0.2024</v>
      </c>
      <c r="T196" s="12">
        <f>MAX(0,MIN(1,((Input!T196-Input!T$204)/(Input!T$205-Input!T$204))))</f>
        <v>0.20019999999999999</v>
      </c>
      <c r="U196" s="12">
        <f>MAX(0,MIN(1,((Input!U196-Input!U$204)/(Input!U$205-Input!U$204))))</f>
        <v>0</v>
      </c>
      <c r="V196" s="26">
        <f>COUNT(Raw!E196:U196)</f>
        <v>1</v>
      </c>
      <c r="W196" s="27">
        <f t="shared" si="5"/>
        <v>17</v>
      </c>
      <c r="AA196">
        <v>0.154</v>
      </c>
      <c r="AB196">
        <v>2011</v>
      </c>
      <c r="AC196">
        <v>17</v>
      </c>
    </row>
    <row r="197" spans="1:29" ht="13">
      <c r="A197" s="12"/>
      <c r="B197" s="12"/>
      <c r="C197" s="1" t="s">
        <v>382</v>
      </c>
      <c r="D197" s="1" t="s">
        <v>245</v>
      </c>
      <c r="E197" s="12">
        <f>MAX(0,MIN(1,((Input!E197-Input!E$204)/(Input!E$205-Input!E$204))))</f>
        <v>0.48</v>
      </c>
      <c r="F197" s="12">
        <f>MAX(0,MIN(1,((Input!F197-Input!F$204)/(Input!F$205-Input!F$204))))</f>
        <v>0.47400001529999997</v>
      </c>
      <c r="G197" s="12">
        <f>MAX(0,MIN(1,((Input!G197-Input!G$204)/(Input!G$205-Input!G$204))))</f>
        <v>0.47400001529999997</v>
      </c>
      <c r="H197" s="12">
        <f>MAX(0,MIN(1,((Input!H197-Input!H$204)/(Input!H$205-Input!H$204))))</f>
        <v>0.47400001529999997</v>
      </c>
      <c r="I197" s="12">
        <f>MAX(0,MIN(1,((Input!I197-Input!I$204)/(Input!I$205-Input!I$204))))</f>
        <v>0.40300001147499998</v>
      </c>
      <c r="J197" s="12">
        <f>MAX(0,MIN(1,((Input!J197-Input!J$204)/(Input!J$205-Input!J$204))))</f>
        <v>0.33200000764999998</v>
      </c>
      <c r="K197" s="12">
        <f>MAX(0,MIN(1,((Input!K197-Input!K$204)/(Input!K$205-Input!K$204))))</f>
        <v>0.26100000382499999</v>
      </c>
      <c r="L197" s="12">
        <f>MAX(0,MIN(1,((Input!L197-Input!L$204)/(Input!L$205-Input!L$204))))</f>
        <v>0.19</v>
      </c>
      <c r="M197" s="12">
        <f>MAX(0,MIN(1,((Input!M197-Input!M$204)/(Input!M$205-Input!M$204))))</f>
        <v>0.18809999999999999</v>
      </c>
      <c r="N197" s="12">
        <f>MAX(0,MIN(1,((Input!N197-Input!N$204)/(Input!N$205-Input!N$204))))</f>
        <v>0.1862</v>
      </c>
      <c r="O197" s="12">
        <f>MAX(0,MIN(1,((Input!O197-Input!O$204)/(Input!O$205-Input!O$204))))</f>
        <v>0.18429999999999999</v>
      </c>
      <c r="P197" s="12">
        <f>MAX(0,MIN(1,((Input!P197-Input!P$204)/(Input!P$205-Input!P$204))))</f>
        <v>0.18240000000000001</v>
      </c>
      <c r="Q197" s="12">
        <f>MAX(0,MIN(1,((Input!Q197-Input!Q$204)/(Input!Q$205-Input!Q$204))))</f>
        <v>0.18049999999999999</v>
      </c>
      <c r="R197" s="12">
        <f>MAX(0,MIN(1,((Input!R197-Input!R$204)/(Input!R$205-Input!R$204))))</f>
        <v>0.17859999999999998</v>
      </c>
      <c r="S197" s="12">
        <f>MAX(0,MIN(1,((Input!S197-Input!S$204)/(Input!S$205-Input!S$204))))</f>
        <v>0.17670000000000002</v>
      </c>
      <c r="T197" s="12">
        <f>MAX(0,MIN(1,((Input!T197-Input!T$204)/(Input!T$205-Input!T$204))))</f>
        <v>0.17480000000000001</v>
      </c>
      <c r="U197" s="12">
        <f>MAX(0,MIN(1,((Input!U197-Input!U$204)/(Input!U$205-Input!U$204))))</f>
        <v>0</v>
      </c>
      <c r="V197" s="26">
        <f>COUNT(Raw!E197:U197)</f>
        <v>5</v>
      </c>
      <c r="W197" s="27">
        <f t="shared" si="5"/>
        <v>17</v>
      </c>
      <c r="AA197">
        <v>1.1109589355492062E-2</v>
      </c>
      <c r="AB197">
        <v>2007</v>
      </c>
      <c r="AC197">
        <v>17</v>
      </c>
    </row>
    <row r="198" spans="1:29" ht="13">
      <c r="A198" s="12"/>
      <c r="B198" s="12"/>
      <c r="C198" s="1"/>
      <c r="D198" s="1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26"/>
      <c r="W198" s="27"/>
    </row>
    <row r="199" spans="1:29" ht="13">
      <c r="A199" s="12"/>
      <c r="B199" s="12"/>
      <c r="C199" s="1"/>
      <c r="D199" s="24" t="s">
        <v>70</v>
      </c>
      <c r="E199" s="11">
        <v>0.48504885679944998</v>
      </c>
      <c r="F199" s="11">
        <v>0.4866488144626</v>
      </c>
      <c r="G199" s="11">
        <v>0.48806566317437</v>
      </c>
      <c r="H199" s="11">
        <v>0.48857968012433001</v>
      </c>
      <c r="I199" s="11">
        <v>0.48853480686714001</v>
      </c>
      <c r="J199" s="11">
        <v>0.48844275996996001</v>
      </c>
      <c r="K199" s="11">
        <v>0.48922914461955003</v>
      </c>
      <c r="L199" s="11">
        <v>0.49026639819662998</v>
      </c>
      <c r="M199" s="11">
        <v>0.48986800655573998</v>
      </c>
      <c r="N199" s="11">
        <v>0.49034574298516997</v>
      </c>
      <c r="O199" s="11">
        <v>0.49179662875694002</v>
      </c>
      <c r="P199" s="11">
        <v>0.48988883356796997</v>
      </c>
      <c r="Q199" s="11">
        <v>0.49109076203252</v>
      </c>
      <c r="R199" s="11">
        <v>0.49236811173037998</v>
      </c>
      <c r="S199" s="11">
        <v>0.49153850423438</v>
      </c>
      <c r="T199" s="11">
        <v>0.49181027321743997</v>
      </c>
      <c r="U199" s="11">
        <v>0.49208204220050999</v>
      </c>
      <c r="V199" s="26"/>
      <c r="W199" s="27"/>
    </row>
    <row r="200" spans="1:29" ht="13">
      <c r="A200" s="12"/>
      <c r="B200" s="12"/>
      <c r="C200" s="1"/>
      <c r="D200" s="24" t="s">
        <v>268</v>
      </c>
      <c r="E200" s="11">
        <v>0.33116192695182001</v>
      </c>
      <c r="F200" s="11">
        <v>0.33083507932447997</v>
      </c>
      <c r="G200" s="11">
        <v>0.33013994551044001</v>
      </c>
      <c r="H200" s="11">
        <v>0.33075687602379</v>
      </c>
      <c r="I200" s="11">
        <v>0.32840481958903001</v>
      </c>
      <c r="J200" s="11">
        <v>0.32904825910224</v>
      </c>
      <c r="K200" s="11">
        <v>0.32971159788485999</v>
      </c>
      <c r="L200" s="11">
        <v>0.32980752828329002</v>
      </c>
      <c r="M200" s="11">
        <v>0.33112191779431999</v>
      </c>
      <c r="N200" s="11">
        <v>0.33149670874589998</v>
      </c>
      <c r="O200" s="11">
        <v>0.33288487372620001</v>
      </c>
      <c r="P200" s="11">
        <v>0.33281908574409003</v>
      </c>
      <c r="Q200" s="11">
        <v>0.33338470036863999</v>
      </c>
      <c r="R200" s="11">
        <v>0.33548215030923001</v>
      </c>
      <c r="S200" s="11">
        <v>0.33740922901793002</v>
      </c>
      <c r="T200" s="11">
        <v>0.33910770424556003</v>
      </c>
      <c r="U200" s="11">
        <v>0.34110376799054998</v>
      </c>
      <c r="V200" s="26"/>
      <c r="W200" s="27"/>
    </row>
    <row r="201" spans="1:29" ht="13">
      <c r="A201" s="12"/>
      <c r="B201" s="12"/>
      <c r="C201" s="1"/>
      <c r="D201" s="24" t="s">
        <v>373</v>
      </c>
      <c r="E201" s="11">
        <f t="shared" ref="E201:U201" si="6">COUNT(E6:E197)</f>
        <v>180</v>
      </c>
      <c r="F201" s="11">
        <f t="shared" si="6"/>
        <v>180</v>
      </c>
      <c r="G201" s="11">
        <f t="shared" si="6"/>
        <v>180</v>
      </c>
      <c r="H201" s="11">
        <f t="shared" si="6"/>
        <v>180</v>
      </c>
      <c r="I201" s="11">
        <f t="shared" si="6"/>
        <v>180</v>
      </c>
      <c r="J201" s="11">
        <f t="shared" si="6"/>
        <v>180</v>
      </c>
      <c r="K201" s="11">
        <f t="shared" si="6"/>
        <v>180</v>
      </c>
      <c r="L201" s="11">
        <f t="shared" si="6"/>
        <v>180</v>
      </c>
      <c r="M201" s="11">
        <f t="shared" si="6"/>
        <v>180</v>
      </c>
      <c r="N201" s="11">
        <f t="shared" si="6"/>
        <v>180</v>
      </c>
      <c r="O201" s="11">
        <f t="shared" si="6"/>
        <v>180</v>
      </c>
      <c r="P201" s="11">
        <f t="shared" si="6"/>
        <v>180</v>
      </c>
      <c r="Q201" s="11">
        <f t="shared" si="6"/>
        <v>180</v>
      </c>
      <c r="R201" s="11">
        <f t="shared" si="6"/>
        <v>180</v>
      </c>
      <c r="S201" s="11">
        <f t="shared" si="6"/>
        <v>180</v>
      </c>
      <c r="T201" s="11">
        <f t="shared" si="6"/>
        <v>180</v>
      </c>
      <c r="U201" s="11">
        <f t="shared" si="6"/>
        <v>192</v>
      </c>
      <c r="V201" s="26"/>
      <c r="W201" s="27"/>
    </row>
    <row r="202" spans="1:29" ht="13">
      <c r="A202" s="12"/>
      <c r="B202" s="12"/>
      <c r="C202" s="1"/>
      <c r="D202" s="2" t="s">
        <v>236</v>
      </c>
      <c r="E202" s="4">
        <v>0</v>
      </c>
      <c r="F202" s="4">
        <v>8.0000001199999997E-3</v>
      </c>
      <c r="G202" s="4">
        <v>8.0000001199999997E-3</v>
      </c>
      <c r="H202" s="4">
        <v>8.0000001199999997E-3</v>
      </c>
      <c r="I202" s="4">
        <v>8.0000001199999997E-3</v>
      </c>
      <c r="J202" s="4">
        <v>8.0000001199999997E-3</v>
      </c>
      <c r="K202" s="4">
        <v>8.0000001199999997E-3</v>
      </c>
      <c r="L202" s="4">
        <v>8.0000001199999997E-3</v>
      </c>
      <c r="M202" s="4">
        <v>8.0000001199999997E-3</v>
      </c>
      <c r="N202" s="4">
        <v>8.0000001199999997E-3</v>
      </c>
      <c r="O202" s="4">
        <v>8.0000001199999997E-3</v>
      </c>
      <c r="P202" s="4">
        <v>8.0000001199999997E-3</v>
      </c>
      <c r="Q202" s="4">
        <v>5.0857179225319996E-3</v>
      </c>
      <c r="R202" s="4">
        <v>0</v>
      </c>
      <c r="S202" s="4">
        <v>0</v>
      </c>
      <c r="T202" s="4">
        <v>0</v>
      </c>
      <c r="U202" s="4">
        <v>0</v>
      </c>
      <c r="V202" s="26"/>
      <c r="W202" s="27"/>
    </row>
    <row r="203" spans="1:29" ht="13">
      <c r="A203" s="12"/>
      <c r="B203" s="12"/>
      <c r="C203" s="1"/>
      <c r="D203" s="2" t="s">
        <v>159</v>
      </c>
      <c r="E203" s="4">
        <v>1</v>
      </c>
      <c r="F203" s="4">
        <v>1</v>
      </c>
      <c r="G203" s="4">
        <v>1</v>
      </c>
      <c r="H203" s="4">
        <v>1</v>
      </c>
      <c r="I203" s="4">
        <v>1</v>
      </c>
      <c r="J203" s="4">
        <v>1</v>
      </c>
      <c r="K203" s="4">
        <v>1</v>
      </c>
      <c r="L203" s="4">
        <v>1</v>
      </c>
      <c r="M203" s="4">
        <v>1</v>
      </c>
      <c r="N203" s="4">
        <v>1</v>
      </c>
      <c r="O203" s="4">
        <v>1</v>
      </c>
      <c r="P203" s="4">
        <v>1</v>
      </c>
      <c r="Q203" s="4">
        <v>1</v>
      </c>
      <c r="R203" s="4">
        <v>1</v>
      </c>
      <c r="S203" s="4">
        <v>1</v>
      </c>
      <c r="T203" s="4">
        <v>1</v>
      </c>
      <c r="U203" s="4">
        <v>1</v>
      </c>
      <c r="V203" s="30"/>
      <c r="W203" s="27"/>
    </row>
    <row r="204" spans="1:29" ht="12.75" customHeight="1">
      <c r="V204" s="27">
        <f>SUM(V6:V197)</f>
        <v>1299</v>
      </c>
      <c r="W204" s="27">
        <f>SUM(W6:W197)</f>
        <v>3072</v>
      </c>
    </row>
    <row r="205" spans="1:29" ht="12.75" customHeight="1">
      <c r="V205" s="27"/>
      <c r="W205" s="27"/>
    </row>
    <row r="206" spans="1:29" ht="12.75" customHeight="1">
      <c r="V206" s="27"/>
      <c r="W206" s="27"/>
    </row>
  </sheetData>
  <mergeCells count="3">
    <mergeCell ref="A1:D1"/>
    <mergeCell ref="A2:D2"/>
    <mergeCell ref="A3:D3"/>
  </mergeCells>
  <conditionalFormatting sqref="A1:U201">
    <cfRule type="cellIs" dxfId="0" priority="1" operator="greaterThan">
      <formula>100</formula>
    </cfRule>
  </conditionalFormatting>
  <pageMargins left="0.75" right="0.75" top="1" bottom="1" header="0.5" footer="0.5"/>
  <pageSetup paperSize="9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U197"/>
  <sheetViews>
    <sheetView tabSelected="1"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G6" sqref="G6"/>
    </sheetView>
  </sheetViews>
  <sheetFormatPr baseColWidth="10" defaultColWidth="17.1640625" defaultRowHeight="12.75" customHeight="1" x14ac:dyDescent="0"/>
  <cols>
    <col min="1" max="1" width="7" customWidth="1"/>
    <col min="2" max="2" width="11.83203125" customWidth="1"/>
    <col min="3" max="21" width="17.1640625" customWidth="1"/>
  </cols>
  <sheetData>
    <row r="1" spans="1:21" ht="12.75" customHeight="1">
      <c r="A1" s="24"/>
      <c r="B1" s="2"/>
      <c r="C1" s="2"/>
      <c r="D1" s="2"/>
    </row>
    <row r="2" spans="1:21" ht="12.75" customHeight="1">
      <c r="A2" s="2"/>
      <c r="B2" s="2"/>
      <c r="C2" s="2"/>
      <c r="D2" s="2"/>
    </row>
    <row r="3" spans="1:21" ht="12.75" customHeight="1">
      <c r="A3" s="2"/>
      <c r="B3" s="2"/>
      <c r="C3" s="2"/>
      <c r="D3" s="2"/>
    </row>
    <row r="4" spans="1:21" ht="12.75" customHeight="1">
      <c r="A4" s="2"/>
      <c r="B4" s="2"/>
      <c r="C4" s="2"/>
      <c r="D4" s="2"/>
    </row>
    <row r="5" spans="1:21" ht="12.75" customHeight="1">
      <c r="A5" s="2"/>
      <c r="B5" s="2"/>
      <c r="C5" s="24" t="s">
        <v>130</v>
      </c>
      <c r="D5" s="24" t="s">
        <v>13</v>
      </c>
      <c r="E5" s="2">
        <v>1995</v>
      </c>
      <c r="F5" s="2">
        <v>1996</v>
      </c>
      <c r="G5" s="2">
        <v>1997</v>
      </c>
      <c r="H5" s="2">
        <v>1998</v>
      </c>
      <c r="I5" s="2">
        <v>1999</v>
      </c>
      <c r="J5" s="2">
        <v>2000</v>
      </c>
      <c r="K5" s="2">
        <v>2001</v>
      </c>
      <c r="L5" s="2">
        <v>2002</v>
      </c>
      <c r="M5" s="2">
        <v>2003</v>
      </c>
      <c r="N5" s="2">
        <v>2004</v>
      </c>
      <c r="O5" s="2">
        <v>2005</v>
      </c>
      <c r="P5" s="2">
        <v>2006</v>
      </c>
      <c r="Q5" s="2">
        <v>2007</v>
      </c>
      <c r="R5" s="2">
        <v>2008</v>
      </c>
      <c r="S5" s="2">
        <v>2009</v>
      </c>
      <c r="T5" s="2">
        <v>2010</v>
      </c>
      <c r="U5" s="2">
        <v>2011</v>
      </c>
    </row>
    <row r="6" spans="1:21" ht="12.75" customHeight="1">
      <c r="C6" s="24" t="s">
        <v>276</v>
      </c>
      <c r="D6" s="24" t="s">
        <v>2</v>
      </c>
      <c r="E6" s="4">
        <v>98</v>
      </c>
      <c r="F6" s="4">
        <v>97</v>
      </c>
      <c r="G6" s="4">
        <v>96</v>
      </c>
      <c r="H6" s="4">
        <v>95</v>
      </c>
      <c r="I6" s="4">
        <v>93</v>
      </c>
      <c r="J6" s="4">
        <v>93</v>
      </c>
      <c r="K6" s="4">
        <v>93</v>
      </c>
      <c r="L6" s="4">
        <v>94</v>
      </c>
      <c r="M6" s="4">
        <v>96</v>
      </c>
      <c r="N6" s="4">
        <v>96</v>
      </c>
      <c r="O6" s="4">
        <v>98</v>
      </c>
      <c r="P6" s="4">
        <v>97</v>
      </c>
      <c r="Q6" s="4">
        <v>97</v>
      </c>
      <c r="R6" s="4">
        <v>97</v>
      </c>
      <c r="S6" s="4">
        <v>97</v>
      </c>
      <c r="T6" s="4">
        <v>99</v>
      </c>
      <c r="U6" s="4">
        <v>99</v>
      </c>
    </row>
    <row r="7" spans="1:21" ht="12.75" customHeight="1">
      <c r="C7" s="24" t="s">
        <v>320</v>
      </c>
      <c r="D7" s="24" t="s">
        <v>108</v>
      </c>
      <c r="E7" s="4">
        <v>58</v>
      </c>
      <c r="F7" s="4">
        <v>59</v>
      </c>
      <c r="G7" s="4">
        <v>58</v>
      </c>
      <c r="H7" s="4">
        <v>57</v>
      </c>
      <c r="I7" s="4">
        <v>57</v>
      </c>
      <c r="J7" s="4">
        <v>58</v>
      </c>
      <c r="K7" s="4">
        <v>56</v>
      </c>
      <c r="L7" s="4">
        <v>56</v>
      </c>
      <c r="M7" s="4">
        <v>56</v>
      </c>
      <c r="N7" s="4">
        <v>57</v>
      </c>
      <c r="O7" s="4">
        <v>56</v>
      </c>
      <c r="P7" s="4">
        <v>57</v>
      </c>
      <c r="Q7" s="4">
        <v>57</v>
      </c>
      <c r="R7" s="4">
        <v>58</v>
      </c>
      <c r="S7" s="4">
        <v>58</v>
      </c>
      <c r="T7" s="4">
        <v>58</v>
      </c>
      <c r="U7" s="4">
        <v>58</v>
      </c>
    </row>
    <row r="8" spans="1:21" ht="12.75" customHeight="1">
      <c r="C8" s="24" t="s">
        <v>52</v>
      </c>
      <c r="D8" s="24" t="s">
        <v>309</v>
      </c>
      <c r="E8" s="4" t="e">
        <v>#N/A</v>
      </c>
      <c r="F8" s="4" t="e">
        <v>#N/A</v>
      </c>
      <c r="G8" s="4" t="e">
        <v>#N/A</v>
      </c>
      <c r="H8" s="4" t="e">
        <v>#N/A</v>
      </c>
      <c r="I8" s="4" t="e">
        <v>#N/A</v>
      </c>
      <c r="J8" s="4" t="e">
        <v>#N/A</v>
      </c>
      <c r="K8" s="4" t="e">
        <v>#N/A</v>
      </c>
      <c r="L8" s="4" t="e">
        <v>#N/A</v>
      </c>
      <c r="M8" s="4" t="e">
        <v>#N/A</v>
      </c>
      <c r="N8" s="4" t="e">
        <v>#N/A</v>
      </c>
      <c r="O8" s="4" t="e">
        <v>#N/A</v>
      </c>
      <c r="P8" s="4" t="e">
        <v>#N/A</v>
      </c>
      <c r="Q8" s="4" t="e">
        <v>#N/A</v>
      </c>
      <c r="R8" s="4" t="e">
        <v>#N/A</v>
      </c>
      <c r="S8" s="4" t="e">
        <v>#N/A</v>
      </c>
      <c r="T8" s="4" t="e">
        <v>#N/A</v>
      </c>
      <c r="U8" s="4" t="e">
        <v>#N/A</v>
      </c>
    </row>
    <row r="9" spans="1:21" ht="12.75" customHeight="1">
      <c r="C9" s="24" t="s">
        <v>353</v>
      </c>
      <c r="D9" s="24" t="s">
        <v>145</v>
      </c>
      <c r="E9" s="4">
        <v>153</v>
      </c>
      <c r="F9" s="4">
        <v>155</v>
      </c>
      <c r="G9" s="4">
        <v>156</v>
      </c>
      <c r="H9" s="4">
        <v>156</v>
      </c>
      <c r="I9" s="4">
        <v>158</v>
      </c>
      <c r="J9" s="4">
        <v>158</v>
      </c>
      <c r="K9" s="4">
        <v>157</v>
      </c>
      <c r="L9" s="4">
        <v>156</v>
      </c>
      <c r="M9" s="4">
        <v>155</v>
      </c>
      <c r="N9" s="4">
        <v>156</v>
      </c>
      <c r="O9" s="4">
        <v>156</v>
      </c>
      <c r="P9" s="4">
        <v>156</v>
      </c>
      <c r="Q9" s="4">
        <v>156</v>
      </c>
      <c r="R9" s="4">
        <v>156</v>
      </c>
      <c r="S9" s="4">
        <v>156</v>
      </c>
      <c r="T9" s="4">
        <v>155</v>
      </c>
      <c r="U9" s="4">
        <v>155</v>
      </c>
    </row>
    <row r="10" spans="1:21" ht="12.75" customHeight="1">
      <c r="C10" s="24" t="s">
        <v>257</v>
      </c>
      <c r="D10" s="24" t="s">
        <v>222</v>
      </c>
      <c r="E10" s="4">
        <v>97</v>
      </c>
      <c r="F10" s="4">
        <v>98</v>
      </c>
      <c r="G10" s="4">
        <v>99</v>
      </c>
      <c r="H10" s="4">
        <v>98</v>
      </c>
      <c r="I10" s="4">
        <v>99</v>
      </c>
      <c r="J10" s="4">
        <v>99</v>
      </c>
      <c r="K10" s="4">
        <v>104</v>
      </c>
      <c r="L10" s="4">
        <v>106</v>
      </c>
      <c r="M10" s="4">
        <v>106</v>
      </c>
      <c r="N10" s="4">
        <v>107</v>
      </c>
      <c r="O10" s="4">
        <v>111</v>
      </c>
      <c r="P10" s="4">
        <v>112</v>
      </c>
      <c r="Q10" s="4">
        <v>114</v>
      </c>
      <c r="R10" s="4">
        <v>113</v>
      </c>
      <c r="S10" s="4">
        <v>117</v>
      </c>
      <c r="T10" s="4">
        <v>118</v>
      </c>
      <c r="U10" s="4">
        <v>119</v>
      </c>
    </row>
    <row r="11" spans="1:21" ht="12.75" customHeight="1">
      <c r="C11" s="24" t="s">
        <v>22</v>
      </c>
      <c r="D11" s="24" t="s">
        <v>162</v>
      </c>
      <c r="E11" s="4">
        <v>110</v>
      </c>
      <c r="F11" s="4">
        <v>111</v>
      </c>
      <c r="G11" s="4">
        <v>109</v>
      </c>
      <c r="H11" s="4">
        <v>108</v>
      </c>
      <c r="I11" s="4">
        <v>112</v>
      </c>
      <c r="J11" s="4">
        <v>114</v>
      </c>
      <c r="K11" s="4">
        <v>110</v>
      </c>
      <c r="L11" s="4">
        <v>110</v>
      </c>
      <c r="M11" s="4">
        <v>110</v>
      </c>
      <c r="N11" s="4">
        <v>111</v>
      </c>
      <c r="O11" s="4">
        <v>110</v>
      </c>
      <c r="P11" s="4">
        <v>109</v>
      </c>
      <c r="Q11" s="4">
        <v>110</v>
      </c>
      <c r="R11" s="4">
        <v>107</v>
      </c>
      <c r="S11" s="4">
        <v>107</v>
      </c>
      <c r="T11" s="4">
        <v>106</v>
      </c>
      <c r="U11" s="4">
        <v>106</v>
      </c>
    </row>
    <row r="12" spans="1:21" ht="12.75" customHeight="1">
      <c r="C12" s="24" t="s">
        <v>11</v>
      </c>
      <c r="D12" s="24" t="s">
        <v>334</v>
      </c>
      <c r="E12" s="4">
        <v>22</v>
      </c>
      <c r="F12" s="4">
        <v>22</v>
      </c>
      <c r="G12" s="4">
        <v>23</v>
      </c>
      <c r="H12" s="4">
        <v>24</v>
      </c>
      <c r="I12" s="4">
        <v>25</v>
      </c>
      <c r="J12" s="4">
        <v>27</v>
      </c>
      <c r="K12" s="4">
        <v>27</v>
      </c>
      <c r="L12" s="4">
        <v>27</v>
      </c>
      <c r="M12" s="4">
        <v>30</v>
      </c>
      <c r="N12" s="4">
        <v>31</v>
      </c>
      <c r="O12" s="4">
        <v>33</v>
      </c>
      <c r="P12" s="4">
        <v>33</v>
      </c>
      <c r="Q12" s="4">
        <v>34</v>
      </c>
      <c r="R12" s="4">
        <v>30</v>
      </c>
      <c r="S12" s="4">
        <v>35</v>
      </c>
      <c r="T12" s="4">
        <v>38</v>
      </c>
      <c r="U12" s="4">
        <v>40</v>
      </c>
    </row>
    <row r="13" spans="1:21" ht="12.75" customHeight="1">
      <c r="C13" s="24" t="s">
        <v>14</v>
      </c>
      <c r="D13" s="24" t="s">
        <v>43</v>
      </c>
      <c r="E13" s="4">
        <v>99</v>
      </c>
      <c r="F13" s="4">
        <v>99</v>
      </c>
      <c r="G13" s="4">
        <v>97</v>
      </c>
      <c r="H13" s="4">
        <v>96</v>
      </c>
      <c r="I13" s="4">
        <v>94</v>
      </c>
      <c r="J13" s="4">
        <v>94</v>
      </c>
      <c r="K13" s="4">
        <v>94</v>
      </c>
      <c r="L13" s="4">
        <v>96</v>
      </c>
      <c r="M13" s="4">
        <v>97</v>
      </c>
      <c r="N13" s="4">
        <v>97</v>
      </c>
      <c r="O13" s="4">
        <v>99</v>
      </c>
      <c r="P13" s="4">
        <v>98</v>
      </c>
      <c r="Q13" s="4">
        <v>98</v>
      </c>
      <c r="R13" s="4">
        <v>96</v>
      </c>
      <c r="S13" s="4">
        <v>96</v>
      </c>
      <c r="T13" s="4">
        <v>98</v>
      </c>
      <c r="U13" s="4">
        <v>98</v>
      </c>
    </row>
    <row r="14" spans="1:21" ht="12.75" customHeight="1">
      <c r="C14" s="24" t="s">
        <v>32</v>
      </c>
      <c r="D14" s="24" t="s">
        <v>385</v>
      </c>
      <c r="E14" s="4">
        <v>3</v>
      </c>
      <c r="F14" s="4">
        <v>3</v>
      </c>
      <c r="G14" s="4">
        <v>3</v>
      </c>
      <c r="H14" s="4">
        <v>3</v>
      </c>
      <c r="I14" s="4">
        <v>3</v>
      </c>
      <c r="J14" s="4">
        <v>2</v>
      </c>
      <c r="K14" s="4">
        <v>2</v>
      </c>
      <c r="L14" s="4">
        <v>2</v>
      </c>
      <c r="M14" s="4">
        <v>2</v>
      </c>
      <c r="N14" s="4">
        <v>3</v>
      </c>
      <c r="O14" s="4">
        <v>5</v>
      </c>
      <c r="P14" s="4">
        <v>5</v>
      </c>
      <c r="Q14" s="4">
        <v>4</v>
      </c>
      <c r="R14" s="4">
        <v>5</v>
      </c>
      <c r="S14" s="4">
        <v>10</v>
      </c>
      <c r="T14" s="4">
        <v>10</v>
      </c>
      <c r="U14" s="4">
        <v>10</v>
      </c>
    </row>
    <row r="15" spans="1:21" ht="12.75" customHeight="1">
      <c r="C15" s="24" t="s">
        <v>45</v>
      </c>
      <c r="D15" s="24" t="s">
        <v>330</v>
      </c>
      <c r="E15" s="4">
        <v>92</v>
      </c>
      <c r="F15" s="4">
        <v>90</v>
      </c>
      <c r="G15" s="4">
        <v>89</v>
      </c>
      <c r="H15" s="4">
        <v>88</v>
      </c>
      <c r="I15" s="4">
        <v>87</v>
      </c>
      <c r="J15" s="4">
        <v>88</v>
      </c>
      <c r="K15" s="4">
        <v>89</v>
      </c>
      <c r="L15" s="4">
        <v>86</v>
      </c>
      <c r="M15" s="4">
        <v>86</v>
      </c>
      <c r="N15" s="4">
        <v>84</v>
      </c>
      <c r="O15" s="4">
        <v>83</v>
      </c>
      <c r="P15" s="4">
        <v>82</v>
      </c>
      <c r="Q15" s="4">
        <v>80</v>
      </c>
      <c r="R15" s="4">
        <v>80</v>
      </c>
      <c r="S15" s="4">
        <v>78</v>
      </c>
      <c r="T15" s="4">
        <v>78</v>
      </c>
      <c r="U15" s="4">
        <v>78</v>
      </c>
    </row>
    <row r="16" spans="1:21" ht="12.75" customHeight="1">
      <c r="C16" s="24" t="s">
        <v>87</v>
      </c>
      <c r="D16" s="24" t="s">
        <v>155</v>
      </c>
      <c r="E16" s="4">
        <v>70</v>
      </c>
      <c r="F16" s="4">
        <v>70</v>
      </c>
      <c r="G16" s="4">
        <v>70</v>
      </c>
      <c r="H16" s="4">
        <v>71</v>
      </c>
      <c r="I16" s="4">
        <v>72</v>
      </c>
      <c r="J16" s="4">
        <v>72</v>
      </c>
      <c r="K16" s="4">
        <v>74</v>
      </c>
      <c r="L16" s="4">
        <v>74</v>
      </c>
      <c r="M16" s="4">
        <v>73</v>
      </c>
      <c r="N16" s="4">
        <v>72</v>
      </c>
      <c r="O16" s="4">
        <v>73</v>
      </c>
      <c r="P16" s="4">
        <v>72</v>
      </c>
      <c r="Q16" s="4">
        <v>74</v>
      </c>
      <c r="R16" s="4">
        <v>73</v>
      </c>
      <c r="S16" s="4">
        <v>74</v>
      </c>
      <c r="T16" s="4">
        <v>73</v>
      </c>
      <c r="U16" s="4">
        <v>73</v>
      </c>
    </row>
    <row r="17" spans="3:21" ht="12.75" customHeight="1">
      <c r="C17" s="24" t="s">
        <v>256</v>
      </c>
      <c r="D17" s="24" t="s">
        <v>63</v>
      </c>
      <c r="E17" s="4">
        <v>52</v>
      </c>
      <c r="F17" s="4">
        <v>52</v>
      </c>
      <c r="G17" s="4">
        <v>51</v>
      </c>
      <c r="H17" s="4">
        <v>49</v>
      </c>
      <c r="I17" s="4">
        <v>49</v>
      </c>
      <c r="J17" s="4">
        <v>48</v>
      </c>
      <c r="K17" s="4">
        <v>53</v>
      </c>
      <c r="L17" s="4">
        <v>47</v>
      </c>
      <c r="M17" s="4">
        <v>47</v>
      </c>
      <c r="N17" s="4">
        <v>47</v>
      </c>
      <c r="O17" s="4">
        <v>47</v>
      </c>
      <c r="P17" s="4">
        <v>47</v>
      </c>
      <c r="Q17" s="4">
        <v>46</v>
      </c>
      <c r="R17" s="4">
        <v>46</v>
      </c>
      <c r="S17" s="4">
        <v>45</v>
      </c>
      <c r="T17" s="4">
        <v>46</v>
      </c>
      <c r="U17" s="4">
        <v>46</v>
      </c>
    </row>
    <row r="18" spans="3:21" ht="12.75" customHeight="1">
      <c r="C18" s="24" t="s">
        <v>252</v>
      </c>
      <c r="D18" s="24" t="s">
        <v>284</v>
      </c>
      <c r="E18" s="4">
        <v>163</v>
      </c>
      <c r="F18" s="4">
        <v>163</v>
      </c>
      <c r="G18" s="4">
        <v>162</v>
      </c>
      <c r="H18" s="4">
        <v>164</v>
      </c>
      <c r="I18" s="4">
        <v>164</v>
      </c>
      <c r="J18" s="4">
        <v>162</v>
      </c>
      <c r="K18" s="4">
        <v>161</v>
      </c>
      <c r="L18" s="4">
        <v>158</v>
      </c>
      <c r="M18" s="4">
        <v>160</v>
      </c>
      <c r="N18" s="4">
        <v>158</v>
      </c>
      <c r="O18" s="4">
        <v>157</v>
      </c>
      <c r="P18" s="4">
        <v>155</v>
      </c>
      <c r="Q18" s="4">
        <v>155</v>
      </c>
      <c r="R18" s="4">
        <v>155</v>
      </c>
      <c r="S18" s="4">
        <v>154</v>
      </c>
      <c r="T18" s="4">
        <v>154</v>
      </c>
      <c r="U18" s="4">
        <v>152</v>
      </c>
    </row>
    <row r="19" spans="3:21" ht="12.75" customHeight="1">
      <c r="C19" s="24" t="s">
        <v>225</v>
      </c>
      <c r="D19" s="24" t="s">
        <v>6</v>
      </c>
      <c r="E19" s="4">
        <v>23</v>
      </c>
      <c r="F19" s="4">
        <v>23</v>
      </c>
      <c r="G19" s="4">
        <v>22</v>
      </c>
      <c r="H19" s="4">
        <v>21</v>
      </c>
      <c r="I19" s="4">
        <v>20</v>
      </c>
      <c r="J19" s="4">
        <v>20</v>
      </c>
      <c r="K19" s="4">
        <v>20</v>
      </c>
      <c r="L19" s="4">
        <v>20</v>
      </c>
      <c r="M19" s="4">
        <v>2</v>
      </c>
      <c r="N19" s="4">
        <v>3</v>
      </c>
      <c r="O19" s="4">
        <v>1</v>
      </c>
      <c r="P19" s="4">
        <v>1</v>
      </c>
      <c r="Q19" s="4">
        <v>1</v>
      </c>
      <c r="R19" s="4">
        <v>1</v>
      </c>
      <c r="S19" s="4">
        <v>2</v>
      </c>
      <c r="T19" s="4">
        <v>3</v>
      </c>
      <c r="U19" s="4">
        <v>3</v>
      </c>
    </row>
    <row r="20" spans="3:21" ht="12.75" customHeight="1">
      <c r="C20" s="24" t="s">
        <v>401</v>
      </c>
      <c r="D20" s="24" t="s">
        <v>19</v>
      </c>
      <c r="E20" s="4">
        <v>19</v>
      </c>
      <c r="F20" s="4">
        <v>18</v>
      </c>
      <c r="G20" s="4">
        <v>18</v>
      </c>
      <c r="H20" s="4">
        <v>27</v>
      </c>
      <c r="I20" s="4">
        <v>26</v>
      </c>
      <c r="J20" s="4">
        <v>29</v>
      </c>
      <c r="K20" s="4">
        <v>29</v>
      </c>
      <c r="L20" s="4">
        <v>30</v>
      </c>
      <c r="M20" s="4">
        <v>37</v>
      </c>
      <c r="N20" s="4">
        <v>37</v>
      </c>
      <c r="O20" s="4">
        <v>34</v>
      </c>
      <c r="P20" s="4">
        <v>41</v>
      </c>
      <c r="Q20" s="4">
        <v>42</v>
      </c>
      <c r="R20" s="4">
        <v>44</v>
      </c>
      <c r="S20" s="4">
        <v>49</v>
      </c>
      <c r="T20" s="4">
        <v>53</v>
      </c>
      <c r="U20" s="4">
        <v>54</v>
      </c>
    </row>
    <row r="21" spans="3:21" ht="12.75" customHeight="1">
      <c r="C21" s="24" t="s">
        <v>319</v>
      </c>
      <c r="D21" s="24" t="s">
        <v>169</v>
      </c>
      <c r="E21" s="4">
        <v>43</v>
      </c>
      <c r="F21" s="4">
        <v>43</v>
      </c>
      <c r="G21" s="4">
        <v>45</v>
      </c>
      <c r="H21" s="4">
        <v>46</v>
      </c>
      <c r="I21" s="4">
        <v>46</v>
      </c>
      <c r="J21" s="4">
        <v>46</v>
      </c>
      <c r="K21" s="4">
        <v>47</v>
      </c>
      <c r="L21" s="4">
        <v>48</v>
      </c>
      <c r="M21" s="4">
        <v>49</v>
      </c>
      <c r="N21" s="4">
        <v>50</v>
      </c>
      <c r="O21" s="4">
        <v>50</v>
      </c>
      <c r="P21" s="4">
        <v>50</v>
      </c>
      <c r="Q21" s="4">
        <v>51</v>
      </c>
      <c r="R21" s="4">
        <v>53</v>
      </c>
      <c r="S21" s="4">
        <v>54</v>
      </c>
      <c r="T21" s="4">
        <v>54</v>
      </c>
      <c r="U21" s="4">
        <v>55</v>
      </c>
    </row>
    <row r="22" spans="3:21" ht="12.75" customHeight="1">
      <c r="C22" s="24" t="s">
        <v>219</v>
      </c>
      <c r="D22" s="24" t="s">
        <v>274</v>
      </c>
      <c r="E22" s="4">
        <v>134</v>
      </c>
      <c r="F22" s="4">
        <v>131</v>
      </c>
      <c r="G22" s="4">
        <v>140</v>
      </c>
      <c r="H22" s="4">
        <v>139</v>
      </c>
      <c r="I22" s="4">
        <v>139</v>
      </c>
      <c r="J22" s="4">
        <v>138</v>
      </c>
      <c r="K22" s="4">
        <v>138</v>
      </c>
      <c r="L22" s="4">
        <v>141</v>
      </c>
      <c r="M22" s="4">
        <v>141</v>
      </c>
      <c r="N22" s="4">
        <v>141</v>
      </c>
      <c r="O22" s="4">
        <v>141</v>
      </c>
      <c r="P22" s="4">
        <v>141</v>
      </c>
      <c r="Q22" s="4">
        <v>140</v>
      </c>
      <c r="R22" s="4">
        <v>141</v>
      </c>
      <c r="S22" s="4">
        <v>142</v>
      </c>
      <c r="T22" s="4">
        <v>141</v>
      </c>
      <c r="U22" s="4">
        <v>142</v>
      </c>
    </row>
    <row r="23" spans="3:21" ht="12.75" customHeight="1">
      <c r="C23" s="24" t="s">
        <v>322</v>
      </c>
      <c r="D23" s="24" t="s">
        <v>312</v>
      </c>
      <c r="E23" s="4">
        <v>128</v>
      </c>
      <c r="F23" s="4">
        <v>127</v>
      </c>
      <c r="G23" s="4">
        <v>127</v>
      </c>
      <c r="H23" s="4">
        <v>128</v>
      </c>
      <c r="I23" s="4">
        <v>140</v>
      </c>
      <c r="J23" s="4">
        <v>142</v>
      </c>
      <c r="K23" s="4">
        <v>145</v>
      </c>
      <c r="L23" s="4">
        <v>148</v>
      </c>
      <c r="M23" s="4">
        <v>153</v>
      </c>
      <c r="N23" s="4">
        <v>160</v>
      </c>
      <c r="O23" s="4">
        <v>159</v>
      </c>
      <c r="P23" s="4">
        <v>162</v>
      </c>
      <c r="Q23" s="4">
        <v>165</v>
      </c>
      <c r="R23" s="4">
        <v>169</v>
      </c>
      <c r="S23" s="4">
        <v>170</v>
      </c>
      <c r="T23" s="4">
        <v>172</v>
      </c>
      <c r="U23" s="4">
        <v>174</v>
      </c>
    </row>
    <row r="24" spans="3:21" ht="12.75" customHeight="1">
      <c r="C24" s="24" t="s">
        <v>218</v>
      </c>
      <c r="D24" s="24" t="s">
        <v>89</v>
      </c>
      <c r="E24" s="4">
        <v>61</v>
      </c>
      <c r="F24" s="4">
        <v>69</v>
      </c>
      <c r="G24" s="4">
        <v>69</v>
      </c>
      <c r="H24" s="4">
        <v>67</v>
      </c>
      <c r="I24" s="4">
        <v>68</v>
      </c>
      <c r="J24" s="4">
        <v>67</v>
      </c>
      <c r="K24" s="4">
        <v>67</v>
      </c>
      <c r="L24" s="4">
        <v>68</v>
      </c>
      <c r="M24" s="4">
        <v>68</v>
      </c>
      <c r="N24" s="4">
        <v>69</v>
      </c>
      <c r="O24" s="4">
        <v>70</v>
      </c>
      <c r="P24" s="4">
        <v>70</v>
      </c>
      <c r="Q24" s="4">
        <v>69</v>
      </c>
      <c r="R24" s="4">
        <v>67</v>
      </c>
      <c r="S24" s="4">
        <v>68</v>
      </c>
      <c r="T24" s="4">
        <v>69</v>
      </c>
      <c r="U24" s="4">
        <v>71</v>
      </c>
    </row>
    <row r="25" spans="3:21" ht="12.75" customHeight="1">
      <c r="C25" s="24" t="s">
        <v>0</v>
      </c>
      <c r="D25" s="24" t="s">
        <v>379</v>
      </c>
      <c r="E25" s="4">
        <v>170</v>
      </c>
      <c r="F25" s="4">
        <v>170</v>
      </c>
      <c r="G25" s="4">
        <v>170</v>
      </c>
      <c r="H25" s="4">
        <v>173</v>
      </c>
      <c r="I25" s="4">
        <v>170</v>
      </c>
      <c r="J25" s="4">
        <v>170</v>
      </c>
      <c r="K25" s="4">
        <v>170</v>
      </c>
      <c r="L25" s="4">
        <v>169</v>
      </c>
      <c r="M25" s="4">
        <v>169</v>
      </c>
      <c r="N25" s="4">
        <v>167</v>
      </c>
      <c r="O25" s="4">
        <v>167</v>
      </c>
      <c r="P25" s="4">
        <v>164</v>
      </c>
      <c r="Q25" s="4">
        <v>161</v>
      </c>
      <c r="R25" s="4">
        <v>159</v>
      </c>
      <c r="S25" s="4">
        <v>158</v>
      </c>
      <c r="T25" s="4">
        <v>158</v>
      </c>
      <c r="U25" s="4">
        <v>158</v>
      </c>
    </row>
    <row r="26" spans="3:21" ht="12.75" customHeight="1">
      <c r="C26" s="24" t="s">
        <v>349</v>
      </c>
      <c r="D26" s="24" t="s">
        <v>93</v>
      </c>
      <c r="E26" s="4">
        <v>78</v>
      </c>
      <c r="F26" s="4">
        <v>77</v>
      </c>
      <c r="G26" s="4">
        <v>78</v>
      </c>
      <c r="H26" s="4">
        <v>77</v>
      </c>
      <c r="I26" s="4">
        <v>77</v>
      </c>
      <c r="J26" s="4">
        <v>77</v>
      </c>
      <c r="K26" s="4">
        <v>77</v>
      </c>
      <c r="L26" s="4">
        <v>78</v>
      </c>
      <c r="M26" s="4">
        <v>78</v>
      </c>
      <c r="N26" s="4">
        <v>79</v>
      </c>
      <c r="O26" s="4">
        <v>79</v>
      </c>
      <c r="P26" s="4">
        <v>78</v>
      </c>
      <c r="Q26" s="4">
        <v>78</v>
      </c>
      <c r="R26" s="4">
        <v>79</v>
      </c>
      <c r="S26" s="4">
        <v>80</v>
      </c>
      <c r="T26" s="4">
        <v>79</v>
      </c>
      <c r="U26" s="4">
        <v>80</v>
      </c>
    </row>
    <row r="27" spans="3:21" ht="12.75" customHeight="1">
      <c r="C27" s="24" t="s">
        <v>277</v>
      </c>
      <c r="D27" s="24" t="s">
        <v>186</v>
      </c>
      <c r="E27" s="4">
        <v>93</v>
      </c>
      <c r="F27" s="4">
        <v>94</v>
      </c>
      <c r="G27" s="4">
        <v>95</v>
      </c>
      <c r="H27" s="4">
        <v>94</v>
      </c>
      <c r="I27" s="4">
        <v>95</v>
      </c>
      <c r="J27" s="4">
        <v>96</v>
      </c>
      <c r="K27" s="4">
        <v>98</v>
      </c>
      <c r="L27" s="4">
        <v>101</v>
      </c>
      <c r="M27" s="4">
        <v>100</v>
      </c>
      <c r="N27" s="4">
        <v>104</v>
      </c>
      <c r="O27" s="4">
        <v>106</v>
      </c>
      <c r="P27" s="4">
        <v>107</v>
      </c>
      <c r="Q27" s="4">
        <v>109</v>
      </c>
      <c r="R27" s="4">
        <v>109</v>
      </c>
      <c r="S27" s="4">
        <v>110</v>
      </c>
      <c r="T27" s="4">
        <v>112</v>
      </c>
      <c r="U27" s="4">
        <v>113</v>
      </c>
    </row>
    <row r="28" spans="3:21" ht="12.75" customHeight="1">
      <c r="C28" s="24" t="s">
        <v>42</v>
      </c>
      <c r="D28" s="24" t="s">
        <v>167</v>
      </c>
      <c r="E28" s="4">
        <v>160</v>
      </c>
      <c r="F28" s="4">
        <v>162</v>
      </c>
      <c r="G28" s="4">
        <v>163</v>
      </c>
      <c r="H28" s="4">
        <v>163</v>
      </c>
      <c r="I28" s="4">
        <v>173</v>
      </c>
      <c r="J28" s="4">
        <v>173</v>
      </c>
      <c r="K28" s="4">
        <v>172</v>
      </c>
      <c r="L28" s="4">
        <v>173</v>
      </c>
      <c r="M28" s="4">
        <v>174</v>
      </c>
      <c r="N28" s="4">
        <v>176</v>
      </c>
      <c r="O28" s="4">
        <v>177</v>
      </c>
      <c r="P28" s="4">
        <v>178</v>
      </c>
      <c r="Q28" s="4">
        <v>179</v>
      </c>
      <c r="R28" s="4">
        <v>178</v>
      </c>
      <c r="S28" s="4">
        <v>178</v>
      </c>
      <c r="T28" s="4">
        <v>177</v>
      </c>
      <c r="U28" s="4">
        <v>177</v>
      </c>
    </row>
    <row r="29" spans="3:21" ht="12.75" customHeight="1">
      <c r="C29" s="24" t="s">
        <v>400</v>
      </c>
      <c r="D29" s="24" t="s">
        <v>367</v>
      </c>
      <c r="E29" s="4">
        <v>104</v>
      </c>
      <c r="F29" s="4">
        <v>112</v>
      </c>
      <c r="G29" s="4">
        <v>102</v>
      </c>
      <c r="H29" s="4">
        <v>101</v>
      </c>
      <c r="I29" s="4">
        <v>101</v>
      </c>
      <c r="J29" s="4">
        <v>100</v>
      </c>
      <c r="K29" s="4">
        <v>80</v>
      </c>
      <c r="L29" s="4">
        <v>77</v>
      </c>
      <c r="M29" s="4">
        <v>71</v>
      </c>
      <c r="N29" s="4">
        <v>67</v>
      </c>
      <c r="O29" s="4">
        <v>51</v>
      </c>
      <c r="P29" s="4">
        <v>56</v>
      </c>
      <c r="Q29" s="4">
        <v>53</v>
      </c>
      <c r="R29" s="4">
        <v>47</v>
      </c>
      <c r="S29" s="4">
        <v>40</v>
      </c>
      <c r="T29" s="4">
        <v>30</v>
      </c>
      <c r="U29" s="4">
        <v>26</v>
      </c>
    </row>
    <row r="30" spans="3:21" ht="12.75" customHeight="1">
      <c r="C30" s="24" t="s">
        <v>395</v>
      </c>
      <c r="D30" s="24" t="s">
        <v>154</v>
      </c>
      <c r="E30" s="4">
        <v>30</v>
      </c>
      <c r="F30" s="4">
        <v>30</v>
      </c>
      <c r="G30" s="4">
        <v>29</v>
      </c>
      <c r="H30" s="4">
        <v>30</v>
      </c>
      <c r="I30" s="4">
        <v>27</v>
      </c>
      <c r="J30" s="4">
        <v>26</v>
      </c>
      <c r="K30" s="4">
        <v>25</v>
      </c>
      <c r="L30" s="4">
        <v>24</v>
      </c>
      <c r="M30" s="4">
        <v>23</v>
      </c>
      <c r="N30" s="4">
        <v>23</v>
      </c>
      <c r="O30" s="4">
        <v>23</v>
      </c>
      <c r="P30" s="4">
        <v>21</v>
      </c>
      <c r="Q30" s="4">
        <v>19</v>
      </c>
      <c r="R30" s="4">
        <v>4</v>
      </c>
      <c r="S30" s="4">
        <v>6</v>
      </c>
      <c r="T30" s="4">
        <v>5</v>
      </c>
      <c r="U30" s="4">
        <v>5</v>
      </c>
    </row>
    <row r="31" spans="3:21" ht="12.75" customHeight="1">
      <c r="C31" s="24" t="s">
        <v>243</v>
      </c>
      <c r="D31" s="24" t="s">
        <v>121</v>
      </c>
      <c r="E31" s="4">
        <v>140</v>
      </c>
      <c r="F31" s="4">
        <v>141</v>
      </c>
      <c r="G31" s="4">
        <v>140</v>
      </c>
      <c r="H31" s="4">
        <v>141</v>
      </c>
      <c r="I31" s="4">
        <v>142</v>
      </c>
      <c r="J31" s="4">
        <v>155</v>
      </c>
      <c r="K31" s="4">
        <v>158</v>
      </c>
      <c r="L31" s="4">
        <v>164</v>
      </c>
      <c r="M31" s="4">
        <v>166</v>
      </c>
      <c r="N31" s="4">
        <v>172</v>
      </c>
      <c r="O31" s="4">
        <v>171</v>
      </c>
      <c r="P31" s="4">
        <v>174</v>
      </c>
      <c r="Q31" s="4">
        <v>175</v>
      </c>
      <c r="R31" s="4">
        <v>177</v>
      </c>
      <c r="S31" s="4">
        <v>177</v>
      </c>
      <c r="T31" s="4">
        <v>178</v>
      </c>
      <c r="U31" s="4">
        <v>178</v>
      </c>
    </row>
    <row r="32" spans="3:21" ht="12.75" customHeight="1">
      <c r="C32" s="24" t="s">
        <v>214</v>
      </c>
      <c r="D32" s="24" t="s">
        <v>209</v>
      </c>
      <c r="E32" s="4">
        <v>171</v>
      </c>
      <c r="F32" s="4">
        <v>171</v>
      </c>
      <c r="G32" s="4">
        <v>172</v>
      </c>
      <c r="H32" s="4">
        <v>172</v>
      </c>
      <c r="I32" s="4">
        <v>168</v>
      </c>
      <c r="J32" s="4">
        <v>168</v>
      </c>
      <c r="K32" s="4">
        <v>165</v>
      </c>
      <c r="L32" s="4">
        <v>161</v>
      </c>
      <c r="M32" s="4">
        <v>159</v>
      </c>
      <c r="N32" s="4">
        <v>155</v>
      </c>
      <c r="O32" s="4">
        <v>152</v>
      </c>
      <c r="P32" s="4">
        <v>150</v>
      </c>
      <c r="Q32" s="4">
        <v>148</v>
      </c>
      <c r="R32" s="4">
        <v>146</v>
      </c>
      <c r="S32" s="4">
        <v>143</v>
      </c>
      <c r="T32" s="4">
        <v>142</v>
      </c>
      <c r="U32" s="4">
        <v>141</v>
      </c>
    </row>
    <row r="33" spans="3:21" ht="12.75" customHeight="1">
      <c r="C33" s="24" t="s">
        <v>202</v>
      </c>
      <c r="D33" s="24" t="s">
        <v>189</v>
      </c>
      <c r="E33" s="4">
        <v>166</v>
      </c>
      <c r="F33" s="4">
        <v>166</v>
      </c>
      <c r="G33" s="4">
        <v>166</v>
      </c>
      <c r="H33" s="4">
        <v>168</v>
      </c>
      <c r="I33" s="4">
        <v>169</v>
      </c>
      <c r="J33" s="4">
        <v>169</v>
      </c>
      <c r="K33" s="4">
        <v>169</v>
      </c>
      <c r="L33" s="4">
        <v>170</v>
      </c>
      <c r="M33" s="4">
        <v>170</v>
      </c>
      <c r="N33" s="4">
        <v>168</v>
      </c>
      <c r="O33" s="4">
        <v>170</v>
      </c>
      <c r="P33" s="4">
        <v>169</v>
      </c>
      <c r="Q33" s="4">
        <v>169</v>
      </c>
      <c r="R33" s="4">
        <v>166</v>
      </c>
      <c r="S33" s="4">
        <v>165</v>
      </c>
      <c r="T33" s="4">
        <v>165</v>
      </c>
      <c r="U33" s="4">
        <v>166</v>
      </c>
    </row>
    <row r="34" spans="3:21" ht="12.75" customHeight="1">
      <c r="C34" s="24" t="s">
        <v>272</v>
      </c>
      <c r="D34" s="24" t="s">
        <v>273</v>
      </c>
      <c r="E34" s="4">
        <v>146</v>
      </c>
      <c r="F34" s="4">
        <v>145</v>
      </c>
      <c r="G34" s="4">
        <v>146</v>
      </c>
      <c r="H34" s="4">
        <v>149</v>
      </c>
      <c r="I34" s="4">
        <v>151</v>
      </c>
      <c r="J34" s="4">
        <v>165</v>
      </c>
      <c r="K34" s="4">
        <v>160</v>
      </c>
      <c r="L34" s="4">
        <v>160</v>
      </c>
      <c r="M34" s="4">
        <v>161</v>
      </c>
      <c r="N34" s="4">
        <v>163</v>
      </c>
      <c r="O34" s="4">
        <v>165</v>
      </c>
      <c r="P34" s="4">
        <v>167</v>
      </c>
      <c r="Q34" s="4">
        <v>166</v>
      </c>
      <c r="R34" s="4">
        <v>165</v>
      </c>
      <c r="S34" s="4">
        <v>166</v>
      </c>
      <c r="T34" s="4">
        <v>167</v>
      </c>
      <c r="U34" s="4">
        <v>168</v>
      </c>
    </row>
    <row r="35" spans="3:21" ht="12.75" customHeight="1">
      <c r="C35" s="24" t="s">
        <v>327</v>
      </c>
      <c r="D35" s="24" t="s">
        <v>244</v>
      </c>
      <c r="E35" s="4">
        <v>103</v>
      </c>
      <c r="F35" s="4">
        <v>101</v>
      </c>
      <c r="G35" s="4">
        <v>100</v>
      </c>
      <c r="H35" s="4">
        <v>99</v>
      </c>
      <c r="I35" s="4">
        <v>96</v>
      </c>
      <c r="J35" s="4">
        <v>95</v>
      </c>
      <c r="K35" s="4">
        <v>96</v>
      </c>
      <c r="L35" s="4">
        <v>95</v>
      </c>
      <c r="M35" s="4">
        <v>95</v>
      </c>
      <c r="N35" s="4">
        <v>95</v>
      </c>
      <c r="O35" s="4">
        <v>95</v>
      </c>
      <c r="P35" s="4">
        <v>96</v>
      </c>
      <c r="Q35" s="4">
        <v>93</v>
      </c>
      <c r="R35" s="4">
        <v>94</v>
      </c>
      <c r="S35" s="4">
        <v>95</v>
      </c>
      <c r="T35" s="4">
        <v>94</v>
      </c>
      <c r="U35" s="4">
        <v>92</v>
      </c>
    </row>
    <row r="36" spans="3:21" ht="12.75" customHeight="1">
      <c r="C36" s="24" t="s">
        <v>138</v>
      </c>
      <c r="D36" s="24" t="s">
        <v>193</v>
      </c>
      <c r="E36" s="4">
        <v>47</v>
      </c>
      <c r="F36" s="4">
        <v>50</v>
      </c>
      <c r="G36" s="4">
        <v>49</v>
      </c>
      <c r="H36" s="4">
        <v>48</v>
      </c>
      <c r="I36" s="4">
        <v>48</v>
      </c>
      <c r="J36" s="4">
        <v>57</v>
      </c>
      <c r="K36" s="4">
        <v>58</v>
      </c>
      <c r="L36" s="4">
        <v>59</v>
      </c>
      <c r="M36" s="4">
        <v>61</v>
      </c>
      <c r="N36" s="4">
        <v>61</v>
      </c>
      <c r="O36" s="4">
        <v>68</v>
      </c>
      <c r="P36" s="4">
        <v>68</v>
      </c>
      <c r="Q36" s="4">
        <v>70</v>
      </c>
      <c r="R36" s="4">
        <v>71</v>
      </c>
      <c r="S36" s="4">
        <v>73</v>
      </c>
      <c r="T36" s="4">
        <v>75</v>
      </c>
      <c r="U36" s="4">
        <v>76</v>
      </c>
    </row>
    <row r="37" spans="3:21" ht="12.75" customHeight="1">
      <c r="C37" s="24" t="s">
        <v>380</v>
      </c>
      <c r="D37" s="24" t="s">
        <v>182</v>
      </c>
      <c r="E37" s="4">
        <v>176</v>
      </c>
      <c r="F37" s="4">
        <v>176</v>
      </c>
      <c r="G37" s="4">
        <v>177</v>
      </c>
      <c r="H37" s="4">
        <v>176</v>
      </c>
      <c r="I37" s="4">
        <v>176</v>
      </c>
      <c r="J37" s="4">
        <v>176</v>
      </c>
      <c r="K37" s="4">
        <v>176</v>
      </c>
      <c r="L37" s="4">
        <v>176</v>
      </c>
      <c r="M37" s="4">
        <v>173</v>
      </c>
      <c r="N37" s="4">
        <v>173</v>
      </c>
      <c r="O37" s="4">
        <v>172</v>
      </c>
      <c r="P37" s="4">
        <v>171</v>
      </c>
      <c r="Q37" s="4">
        <v>170</v>
      </c>
      <c r="R37" s="4">
        <v>170</v>
      </c>
      <c r="S37" s="4">
        <v>168</v>
      </c>
      <c r="T37" s="4">
        <v>166</v>
      </c>
      <c r="U37" s="4">
        <v>165</v>
      </c>
    </row>
    <row r="38" spans="3:21" ht="12.75" customHeight="1">
      <c r="C38" s="24" t="s">
        <v>127</v>
      </c>
      <c r="D38" s="24" t="s">
        <v>23</v>
      </c>
      <c r="E38" s="4">
        <v>177</v>
      </c>
      <c r="F38" s="4">
        <v>179</v>
      </c>
      <c r="G38" s="4">
        <v>179</v>
      </c>
      <c r="H38" s="4">
        <v>179</v>
      </c>
      <c r="I38" s="4">
        <v>179</v>
      </c>
      <c r="J38" s="4">
        <v>179</v>
      </c>
      <c r="K38" s="4">
        <v>179</v>
      </c>
      <c r="L38" s="4">
        <v>179</v>
      </c>
      <c r="M38" s="4">
        <v>179</v>
      </c>
      <c r="N38" s="4">
        <v>179</v>
      </c>
      <c r="O38" s="4">
        <v>179</v>
      </c>
      <c r="P38" s="4">
        <v>179</v>
      </c>
      <c r="Q38" s="4">
        <v>178</v>
      </c>
      <c r="R38" s="4">
        <v>176</v>
      </c>
      <c r="S38" s="4">
        <v>176</v>
      </c>
      <c r="T38" s="4">
        <v>176</v>
      </c>
      <c r="U38" s="4">
        <v>176</v>
      </c>
    </row>
    <row r="39" spans="3:21" ht="12.75" customHeight="1">
      <c r="C39" s="24" t="s">
        <v>82</v>
      </c>
      <c r="D39" s="24" t="s">
        <v>88</v>
      </c>
      <c r="E39" s="4">
        <v>141</v>
      </c>
      <c r="F39" s="4">
        <v>138</v>
      </c>
      <c r="G39" s="4">
        <v>136</v>
      </c>
      <c r="H39" s="4">
        <v>135</v>
      </c>
      <c r="I39" s="4">
        <v>132</v>
      </c>
      <c r="J39" s="4">
        <v>135</v>
      </c>
      <c r="K39" s="4">
        <v>128</v>
      </c>
      <c r="L39" s="4">
        <v>128</v>
      </c>
      <c r="M39" s="4">
        <v>127</v>
      </c>
      <c r="N39" s="4">
        <v>126</v>
      </c>
      <c r="O39" s="4">
        <v>124</v>
      </c>
      <c r="P39" s="4">
        <v>123</v>
      </c>
      <c r="Q39" s="4">
        <v>123</v>
      </c>
      <c r="R39" s="4">
        <v>120</v>
      </c>
      <c r="S39" s="4">
        <v>118</v>
      </c>
      <c r="T39" s="4">
        <v>115</v>
      </c>
      <c r="U39" s="4">
        <v>114</v>
      </c>
    </row>
    <row r="40" spans="3:21" ht="12.75" customHeight="1">
      <c r="C40" s="24" t="s">
        <v>260</v>
      </c>
      <c r="D40" s="24" t="s">
        <v>281</v>
      </c>
      <c r="E40" s="4">
        <v>179</v>
      </c>
      <c r="F40" s="4">
        <v>178</v>
      </c>
      <c r="G40" s="4">
        <v>171</v>
      </c>
      <c r="H40" s="4">
        <v>158</v>
      </c>
      <c r="I40" s="4">
        <v>145</v>
      </c>
      <c r="J40" s="4">
        <v>134</v>
      </c>
      <c r="K40" s="4">
        <v>122</v>
      </c>
      <c r="L40" s="4">
        <v>115</v>
      </c>
      <c r="M40" s="4">
        <v>107</v>
      </c>
      <c r="N40" s="4">
        <v>101</v>
      </c>
      <c r="O40" s="4">
        <v>94</v>
      </c>
      <c r="P40" s="4">
        <v>91</v>
      </c>
      <c r="Q40" s="4">
        <v>85</v>
      </c>
      <c r="R40" s="4">
        <v>78</v>
      </c>
      <c r="S40" s="4">
        <v>72</v>
      </c>
      <c r="T40" s="4">
        <v>68</v>
      </c>
      <c r="U40" s="4">
        <v>65</v>
      </c>
    </row>
    <row r="41" spans="3:21" ht="12.75" customHeight="1">
      <c r="C41" s="24" t="s">
        <v>261</v>
      </c>
      <c r="D41" s="24" t="s">
        <v>265</v>
      </c>
      <c r="E41" s="4">
        <v>159</v>
      </c>
      <c r="F41" s="4">
        <v>149</v>
      </c>
      <c r="G41" s="4">
        <v>149</v>
      </c>
      <c r="H41" s="4">
        <v>143</v>
      </c>
      <c r="I41" s="4">
        <v>144</v>
      </c>
      <c r="J41" s="4">
        <v>141</v>
      </c>
      <c r="K41" s="4">
        <v>136</v>
      </c>
      <c r="L41" s="4">
        <v>134</v>
      </c>
      <c r="M41" s="4">
        <v>130</v>
      </c>
      <c r="N41" s="4">
        <v>127</v>
      </c>
      <c r="O41" s="4">
        <v>123</v>
      </c>
      <c r="P41" s="4">
        <v>122</v>
      </c>
      <c r="Q41" s="4">
        <v>120</v>
      </c>
      <c r="R41" s="4">
        <v>115</v>
      </c>
      <c r="S41" s="4">
        <v>111</v>
      </c>
      <c r="T41" s="4">
        <v>109</v>
      </c>
      <c r="U41" s="4">
        <v>107</v>
      </c>
    </row>
    <row r="42" spans="3:21" ht="12.75" customHeight="1">
      <c r="C42" s="24" t="s">
        <v>297</v>
      </c>
      <c r="D42" s="24" t="s">
        <v>315</v>
      </c>
      <c r="E42" s="4">
        <v>49</v>
      </c>
      <c r="F42" s="4">
        <v>51</v>
      </c>
      <c r="G42" s="4">
        <v>51</v>
      </c>
      <c r="H42" s="4">
        <v>50</v>
      </c>
      <c r="I42" s="4">
        <v>50</v>
      </c>
      <c r="J42" s="4">
        <v>50</v>
      </c>
      <c r="K42" s="4">
        <v>52</v>
      </c>
      <c r="L42" s="4">
        <v>53</v>
      </c>
      <c r="M42" s="4">
        <v>52</v>
      </c>
      <c r="N42" s="4">
        <v>52</v>
      </c>
      <c r="O42" s="4">
        <v>53</v>
      </c>
      <c r="P42" s="4">
        <v>52</v>
      </c>
      <c r="Q42" s="4">
        <v>54</v>
      </c>
      <c r="R42" s="4">
        <v>55</v>
      </c>
      <c r="S42" s="4">
        <v>55</v>
      </c>
      <c r="T42" s="4">
        <v>55</v>
      </c>
      <c r="U42" s="4">
        <v>56</v>
      </c>
    </row>
    <row r="43" spans="3:21" ht="12.75" customHeight="1">
      <c r="C43" s="24" t="s">
        <v>296</v>
      </c>
      <c r="D43" s="24" t="s">
        <v>95</v>
      </c>
      <c r="E43" s="4">
        <v>157</v>
      </c>
      <c r="F43" s="4">
        <v>160</v>
      </c>
      <c r="G43" s="4">
        <v>160</v>
      </c>
      <c r="H43" s="4">
        <v>161</v>
      </c>
      <c r="I43" s="4">
        <v>161</v>
      </c>
      <c r="J43" s="4">
        <v>160</v>
      </c>
      <c r="K43" s="4">
        <v>166</v>
      </c>
      <c r="L43" s="4">
        <v>167</v>
      </c>
      <c r="M43" s="4">
        <v>168</v>
      </c>
      <c r="N43" s="4">
        <v>170</v>
      </c>
      <c r="O43" s="4">
        <v>168</v>
      </c>
      <c r="P43" s="4">
        <v>166</v>
      </c>
      <c r="Q43" s="4">
        <v>168</v>
      </c>
      <c r="R43" s="4">
        <v>168</v>
      </c>
      <c r="S43" s="4">
        <v>167</v>
      </c>
      <c r="T43" s="4">
        <v>168</v>
      </c>
      <c r="U43" s="4">
        <v>167</v>
      </c>
    </row>
    <row r="44" spans="3:21" ht="12.75" customHeight="1">
      <c r="C44" s="24" t="s">
        <v>285</v>
      </c>
      <c r="D44" s="24" t="s">
        <v>68</v>
      </c>
      <c r="E44" s="4">
        <v>175</v>
      </c>
      <c r="F44" s="4">
        <v>175</v>
      </c>
      <c r="G44" s="4">
        <v>178</v>
      </c>
      <c r="H44" s="4">
        <v>178</v>
      </c>
      <c r="I44" s="4">
        <v>178</v>
      </c>
      <c r="J44" s="4">
        <v>178</v>
      </c>
      <c r="K44" s="4">
        <v>178</v>
      </c>
      <c r="L44" s="4">
        <v>178</v>
      </c>
      <c r="M44" s="4">
        <v>178</v>
      </c>
      <c r="N44" s="4">
        <v>178</v>
      </c>
      <c r="O44" s="4">
        <v>178</v>
      </c>
      <c r="P44" s="4">
        <v>177</v>
      </c>
      <c r="Q44" s="4">
        <v>176</v>
      </c>
      <c r="R44" s="4">
        <v>175</v>
      </c>
      <c r="S44" s="4">
        <v>175</v>
      </c>
      <c r="T44" s="4">
        <v>175</v>
      </c>
      <c r="U44" s="4">
        <v>175</v>
      </c>
    </row>
    <row r="45" spans="3:21" ht="12.75" customHeight="1">
      <c r="C45" s="24" t="s">
        <v>286</v>
      </c>
      <c r="D45" s="24" t="s">
        <v>24</v>
      </c>
      <c r="E45" s="4">
        <v>137</v>
      </c>
      <c r="F45" s="4">
        <v>137</v>
      </c>
      <c r="G45" s="4">
        <v>137</v>
      </c>
      <c r="H45" s="4">
        <v>126</v>
      </c>
      <c r="I45" s="4">
        <v>124</v>
      </c>
      <c r="J45" s="4">
        <v>124</v>
      </c>
      <c r="K45" s="4">
        <v>124</v>
      </c>
      <c r="L45" s="4">
        <v>124</v>
      </c>
      <c r="M45" s="4">
        <v>119</v>
      </c>
      <c r="N45" s="4">
        <v>118</v>
      </c>
      <c r="O45" s="4">
        <v>119</v>
      </c>
      <c r="P45" s="4">
        <v>118</v>
      </c>
      <c r="Q45" s="4">
        <v>118</v>
      </c>
      <c r="R45" s="4">
        <v>117</v>
      </c>
      <c r="S45" s="4">
        <v>112</v>
      </c>
      <c r="T45" s="4">
        <v>111</v>
      </c>
      <c r="U45" s="4">
        <v>111</v>
      </c>
    </row>
    <row r="46" spans="3:21" ht="12.75" customHeight="1">
      <c r="C46" s="24" t="s">
        <v>399</v>
      </c>
      <c r="D46" s="24" t="s">
        <v>128</v>
      </c>
      <c r="E46" s="4">
        <v>158</v>
      </c>
      <c r="F46" s="4">
        <v>160</v>
      </c>
      <c r="G46" s="4">
        <v>160</v>
      </c>
      <c r="H46" s="4">
        <v>161</v>
      </c>
      <c r="I46" s="4">
        <v>161</v>
      </c>
      <c r="J46" s="4">
        <v>160</v>
      </c>
      <c r="K46" s="4">
        <v>163</v>
      </c>
      <c r="L46" s="4">
        <v>163</v>
      </c>
      <c r="M46" s="4">
        <v>162</v>
      </c>
      <c r="N46" s="4">
        <v>164</v>
      </c>
      <c r="O46" s="4">
        <v>162</v>
      </c>
      <c r="P46" s="4">
        <v>159</v>
      </c>
      <c r="Q46" s="4">
        <v>159</v>
      </c>
      <c r="R46" s="4">
        <v>161</v>
      </c>
      <c r="S46" s="4">
        <v>161</v>
      </c>
      <c r="T46" s="4">
        <v>161</v>
      </c>
      <c r="U46" s="4">
        <v>161</v>
      </c>
    </row>
    <row r="47" spans="3:21" ht="12.75" customHeight="1">
      <c r="C47" s="24" t="s">
        <v>267</v>
      </c>
      <c r="D47" s="24" t="s">
        <v>18</v>
      </c>
      <c r="E47" s="4">
        <v>41</v>
      </c>
      <c r="F47" s="4">
        <v>40</v>
      </c>
      <c r="G47" s="4">
        <v>43</v>
      </c>
      <c r="H47" s="4">
        <v>41</v>
      </c>
      <c r="I47" s="4">
        <v>41</v>
      </c>
      <c r="J47" s="4">
        <v>40</v>
      </c>
      <c r="K47" s="4">
        <v>41</v>
      </c>
      <c r="L47" s="4">
        <v>41</v>
      </c>
      <c r="M47" s="4">
        <v>40</v>
      </c>
      <c r="N47" s="4">
        <v>39</v>
      </c>
      <c r="O47" s="4">
        <v>38</v>
      </c>
      <c r="P47" s="4">
        <v>34</v>
      </c>
      <c r="Q47" s="4">
        <v>33</v>
      </c>
      <c r="R47" s="4">
        <v>38</v>
      </c>
      <c r="S47" s="4">
        <v>32</v>
      </c>
      <c r="T47" s="4">
        <v>33</v>
      </c>
      <c r="U47" s="4">
        <v>32</v>
      </c>
    </row>
    <row r="48" spans="3:21" ht="12.75" customHeight="1">
      <c r="C48" s="24" t="s">
        <v>291</v>
      </c>
      <c r="D48" s="24" t="s">
        <v>46</v>
      </c>
      <c r="E48" s="4">
        <v>74</v>
      </c>
      <c r="F48" s="4">
        <v>73</v>
      </c>
      <c r="G48" s="4">
        <v>86</v>
      </c>
      <c r="H48" s="4">
        <v>85</v>
      </c>
      <c r="I48" s="4">
        <v>84</v>
      </c>
      <c r="J48" s="4">
        <v>85</v>
      </c>
      <c r="K48" s="4">
        <v>86</v>
      </c>
      <c r="L48" s="4">
        <v>89</v>
      </c>
      <c r="M48" s="4">
        <v>89</v>
      </c>
      <c r="N48" s="4">
        <v>91</v>
      </c>
      <c r="O48" s="4">
        <v>92</v>
      </c>
      <c r="P48" s="4">
        <v>94</v>
      </c>
      <c r="Q48" s="4">
        <v>95</v>
      </c>
      <c r="R48" s="4">
        <v>98</v>
      </c>
      <c r="S48" s="4">
        <v>101</v>
      </c>
      <c r="T48" s="4">
        <v>104</v>
      </c>
      <c r="U48" s="4">
        <v>104</v>
      </c>
    </row>
    <row r="49" spans="3:21" ht="12.75" customHeight="1">
      <c r="C49" s="24" t="s">
        <v>25</v>
      </c>
      <c r="D49" s="24" t="s">
        <v>126</v>
      </c>
      <c r="E49" s="4">
        <v>72</v>
      </c>
      <c r="F49" s="4">
        <v>71</v>
      </c>
      <c r="G49" s="4">
        <v>71</v>
      </c>
      <c r="H49" s="4">
        <v>70</v>
      </c>
      <c r="I49" s="4">
        <v>70</v>
      </c>
      <c r="J49" s="4">
        <v>70</v>
      </c>
      <c r="K49" s="4">
        <v>68</v>
      </c>
      <c r="L49" s="4">
        <v>67</v>
      </c>
      <c r="M49" s="4">
        <v>66</v>
      </c>
      <c r="N49" s="4">
        <v>68</v>
      </c>
      <c r="O49" s="4">
        <v>67</v>
      </c>
      <c r="P49" s="4">
        <v>66</v>
      </c>
      <c r="Q49" s="4">
        <v>65</v>
      </c>
      <c r="R49" s="4">
        <v>66</v>
      </c>
      <c r="S49" s="4">
        <v>64</v>
      </c>
      <c r="T49" s="4">
        <v>61</v>
      </c>
      <c r="U49" s="4">
        <v>62</v>
      </c>
    </row>
    <row r="50" spans="3:21" ht="12.75" customHeight="1">
      <c r="C50" s="24" t="s">
        <v>62</v>
      </c>
      <c r="D50" s="24" t="s">
        <v>39</v>
      </c>
      <c r="E50" s="4">
        <v>3</v>
      </c>
      <c r="F50" s="4">
        <v>3</v>
      </c>
      <c r="G50" s="4">
        <v>3</v>
      </c>
      <c r="H50" s="4">
        <v>3</v>
      </c>
      <c r="I50" s="4">
        <v>3</v>
      </c>
      <c r="J50" s="4">
        <v>2</v>
      </c>
      <c r="K50" s="4">
        <v>2</v>
      </c>
      <c r="L50" s="4">
        <v>2</v>
      </c>
      <c r="M50" s="4">
        <v>2</v>
      </c>
      <c r="N50" s="4">
        <v>3</v>
      </c>
      <c r="O50" s="4">
        <v>5</v>
      </c>
      <c r="P50" s="4">
        <v>5</v>
      </c>
      <c r="Q50" s="4">
        <v>4</v>
      </c>
      <c r="R50" s="4">
        <v>5</v>
      </c>
      <c r="S50" s="4">
        <v>10</v>
      </c>
      <c r="T50" s="4">
        <v>10</v>
      </c>
      <c r="U50" s="4">
        <v>10</v>
      </c>
    </row>
    <row r="51" spans="3:21" ht="12.75" customHeight="1">
      <c r="C51" s="24" t="s">
        <v>54</v>
      </c>
      <c r="D51" s="24" t="s">
        <v>303</v>
      </c>
      <c r="E51" s="4">
        <v>3</v>
      </c>
      <c r="F51" s="4">
        <v>3</v>
      </c>
      <c r="G51" s="4">
        <v>3</v>
      </c>
      <c r="H51" s="4">
        <v>3</v>
      </c>
      <c r="I51" s="4">
        <v>3</v>
      </c>
      <c r="J51" s="4">
        <v>2</v>
      </c>
      <c r="K51" s="4">
        <v>2</v>
      </c>
      <c r="L51" s="4">
        <v>2</v>
      </c>
      <c r="M51" s="4">
        <v>2</v>
      </c>
      <c r="N51" s="4">
        <v>3</v>
      </c>
      <c r="O51" s="4">
        <v>5</v>
      </c>
      <c r="P51" s="4">
        <v>5</v>
      </c>
      <c r="Q51" s="4">
        <v>4</v>
      </c>
      <c r="R51" s="4">
        <v>5</v>
      </c>
      <c r="S51" s="4">
        <v>10</v>
      </c>
      <c r="T51" s="4">
        <v>10</v>
      </c>
      <c r="U51" s="4">
        <v>10</v>
      </c>
    </row>
    <row r="52" spans="3:21" ht="12.75" customHeight="1">
      <c r="C52" s="24" t="s">
        <v>347</v>
      </c>
      <c r="D52" s="24" t="s">
        <v>234</v>
      </c>
      <c r="E52" s="4">
        <v>89</v>
      </c>
      <c r="F52" s="4">
        <v>89</v>
      </c>
      <c r="G52" s="4">
        <v>90</v>
      </c>
      <c r="H52" s="4">
        <v>90</v>
      </c>
      <c r="I52" s="4">
        <v>89</v>
      </c>
      <c r="J52" s="4">
        <v>89</v>
      </c>
      <c r="K52" s="4">
        <v>90</v>
      </c>
      <c r="L52" s="4">
        <v>90</v>
      </c>
      <c r="M52" s="4">
        <v>88</v>
      </c>
      <c r="N52" s="4">
        <v>87</v>
      </c>
      <c r="O52" s="4">
        <v>88</v>
      </c>
      <c r="P52" s="4">
        <v>89</v>
      </c>
      <c r="Q52" s="4">
        <v>91</v>
      </c>
      <c r="R52" s="4">
        <v>91</v>
      </c>
      <c r="S52" s="4">
        <v>91</v>
      </c>
      <c r="T52" s="4">
        <v>91</v>
      </c>
      <c r="U52" s="4">
        <v>89</v>
      </c>
    </row>
    <row r="53" spans="3:21" ht="12.75" customHeight="1">
      <c r="C53" s="24" t="s">
        <v>176</v>
      </c>
      <c r="D53" s="24" t="s">
        <v>184</v>
      </c>
      <c r="E53" s="4">
        <v>83</v>
      </c>
      <c r="F53" s="4">
        <v>82</v>
      </c>
      <c r="G53" s="4">
        <v>83</v>
      </c>
      <c r="H53" s="4">
        <v>82</v>
      </c>
      <c r="I53" s="4">
        <v>81</v>
      </c>
      <c r="J53" s="4">
        <v>80</v>
      </c>
      <c r="K53" s="4">
        <v>82</v>
      </c>
      <c r="L53" s="4">
        <v>82</v>
      </c>
      <c r="M53" s="4">
        <v>82</v>
      </c>
      <c r="N53" s="4">
        <v>82</v>
      </c>
      <c r="O53" s="4">
        <v>82</v>
      </c>
      <c r="P53" s="4">
        <v>83</v>
      </c>
      <c r="Q53" s="4">
        <v>83</v>
      </c>
      <c r="R53" s="4">
        <v>84</v>
      </c>
      <c r="S53" s="4">
        <v>84</v>
      </c>
      <c r="T53" s="4">
        <v>84</v>
      </c>
      <c r="U53" s="4">
        <v>84</v>
      </c>
    </row>
    <row r="54" spans="3:21" ht="12.75" customHeight="1">
      <c r="C54" s="24" t="s">
        <v>203</v>
      </c>
      <c r="D54" s="24" t="s">
        <v>262</v>
      </c>
      <c r="E54" s="4">
        <v>86</v>
      </c>
      <c r="F54" s="4">
        <v>84</v>
      </c>
      <c r="G54" s="4">
        <v>84</v>
      </c>
      <c r="H54" s="4">
        <v>83</v>
      </c>
      <c r="I54" s="4">
        <v>82</v>
      </c>
      <c r="J54" s="4">
        <v>82</v>
      </c>
      <c r="K54" s="4">
        <v>84</v>
      </c>
      <c r="L54" s="4">
        <v>84</v>
      </c>
      <c r="M54" s="4">
        <v>83</v>
      </c>
      <c r="N54" s="4">
        <v>83</v>
      </c>
      <c r="O54" s="4">
        <v>84</v>
      </c>
      <c r="P54" s="4">
        <v>85</v>
      </c>
      <c r="Q54" s="4">
        <v>86</v>
      </c>
      <c r="R54" s="4">
        <v>86</v>
      </c>
      <c r="S54" s="4">
        <v>86</v>
      </c>
      <c r="T54" s="4">
        <v>85</v>
      </c>
      <c r="U54" s="4">
        <v>86</v>
      </c>
    </row>
    <row r="55" spans="3:21" ht="12.75" customHeight="1">
      <c r="C55" s="24" t="s">
        <v>365</v>
      </c>
      <c r="D55" s="24" t="s">
        <v>67</v>
      </c>
      <c r="E55" s="4">
        <v>145</v>
      </c>
      <c r="F55" s="4">
        <v>144</v>
      </c>
      <c r="G55" s="4">
        <v>131</v>
      </c>
      <c r="H55" s="4">
        <v>133</v>
      </c>
      <c r="I55" s="4">
        <v>132</v>
      </c>
      <c r="J55" s="4">
        <v>132</v>
      </c>
      <c r="K55" s="4">
        <v>139</v>
      </c>
      <c r="L55" s="4">
        <v>140</v>
      </c>
      <c r="M55" s="4">
        <v>144</v>
      </c>
      <c r="N55" s="4">
        <v>144</v>
      </c>
      <c r="O55" s="4">
        <v>140</v>
      </c>
      <c r="P55" s="4">
        <v>142</v>
      </c>
      <c r="Q55" s="4">
        <v>143</v>
      </c>
      <c r="R55" s="4">
        <v>140</v>
      </c>
      <c r="S55" s="4">
        <v>139</v>
      </c>
      <c r="T55" s="4">
        <v>140</v>
      </c>
      <c r="U55" s="4">
        <v>139</v>
      </c>
    </row>
    <row r="56" spans="3:21" ht="12.75" customHeight="1">
      <c r="C56" s="24" t="s">
        <v>152</v>
      </c>
      <c r="D56" s="24" t="s">
        <v>75</v>
      </c>
      <c r="E56" s="4">
        <v>47</v>
      </c>
      <c r="F56" s="4">
        <v>49</v>
      </c>
      <c r="G56" s="4">
        <v>48</v>
      </c>
      <c r="H56" s="4">
        <v>47</v>
      </c>
      <c r="I56" s="4">
        <v>47</v>
      </c>
      <c r="J56" s="4">
        <v>47</v>
      </c>
      <c r="K56" s="4">
        <v>45</v>
      </c>
      <c r="L56" s="4">
        <v>45</v>
      </c>
      <c r="M56" s="4">
        <v>43</v>
      </c>
      <c r="N56" s="4">
        <v>46</v>
      </c>
      <c r="O56" s="4">
        <v>43</v>
      </c>
      <c r="P56" s="4">
        <v>42</v>
      </c>
      <c r="Q56" s="4">
        <v>41</v>
      </c>
      <c r="R56" s="4">
        <v>37</v>
      </c>
      <c r="S56" s="4">
        <v>41</v>
      </c>
      <c r="T56" s="4">
        <v>39</v>
      </c>
      <c r="U56" s="4">
        <v>39</v>
      </c>
    </row>
    <row r="57" spans="3:21" ht="12.75" customHeight="1">
      <c r="C57" s="24" t="s">
        <v>105</v>
      </c>
      <c r="D57" s="24" t="s">
        <v>216</v>
      </c>
      <c r="E57" s="4">
        <v>128</v>
      </c>
      <c r="F57" s="4">
        <v>128</v>
      </c>
      <c r="G57" s="4">
        <v>128</v>
      </c>
      <c r="H57" s="4">
        <v>129</v>
      </c>
      <c r="I57" s="4">
        <v>130</v>
      </c>
      <c r="J57" s="4">
        <v>130</v>
      </c>
      <c r="K57" s="4">
        <v>129</v>
      </c>
      <c r="L57" s="4">
        <v>130</v>
      </c>
      <c r="M57" s="4">
        <v>131</v>
      </c>
      <c r="N57" s="4">
        <v>132</v>
      </c>
      <c r="O57" s="4">
        <v>132</v>
      </c>
      <c r="P57" s="4">
        <v>132</v>
      </c>
      <c r="Q57" s="4">
        <v>132</v>
      </c>
      <c r="R57" s="4">
        <v>132</v>
      </c>
      <c r="S57" s="4">
        <v>130</v>
      </c>
      <c r="T57" s="4">
        <v>129</v>
      </c>
      <c r="U57" s="4">
        <v>128</v>
      </c>
    </row>
    <row r="58" spans="3:21" ht="12.75" customHeight="1">
      <c r="C58" s="24" t="s">
        <v>355</v>
      </c>
      <c r="D58" s="24" t="s">
        <v>20</v>
      </c>
      <c r="E58" s="4" t="e">
        <v>#N/A</v>
      </c>
      <c r="F58" s="4" t="e">
        <v>#N/A</v>
      </c>
      <c r="G58" s="4" t="e">
        <v>#N/A</v>
      </c>
      <c r="H58" s="4" t="e">
        <v>#N/A</v>
      </c>
      <c r="I58" s="4" t="e">
        <v>#N/A</v>
      </c>
      <c r="J58" s="4" t="e">
        <v>#N/A</v>
      </c>
      <c r="K58" s="4" t="e">
        <v>#N/A</v>
      </c>
      <c r="L58" s="4" t="e">
        <v>#N/A</v>
      </c>
      <c r="M58" s="4" t="e">
        <v>#N/A</v>
      </c>
      <c r="N58" s="4" t="e">
        <v>#N/A</v>
      </c>
      <c r="O58" s="4" t="e">
        <v>#N/A</v>
      </c>
      <c r="P58" s="4" t="e">
        <v>#N/A</v>
      </c>
      <c r="Q58" s="4" t="e">
        <v>#N/A</v>
      </c>
      <c r="R58" s="4" t="e">
        <v>#N/A</v>
      </c>
      <c r="S58" s="4" t="e">
        <v>#N/A</v>
      </c>
      <c r="T58" s="4" t="e">
        <v>#N/A</v>
      </c>
      <c r="U58" s="4" t="e">
        <v>#N/A</v>
      </c>
    </row>
    <row r="59" spans="3:21" ht="12.75" customHeight="1">
      <c r="C59" s="24" t="s">
        <v>306</v>
      </c>
      <c r="D59" s="24" t="s">
        <v>44</v>
      </c>
      <c r="E59" s="4">
        <v>124</v>
      </c>
      <c r="F59" s="4">
        <v>125</v>
      </c>
      <c r="G59" s="4">
        <v>125</v>
      </c>
      <c r="H59" s="4">
        <v>125</v>
      </c>
      <c r="I59" s="4">
        <v>125</v>
      </c>
      <c r="J59" s="4">
        <v>125</v>
      </c>
      <c r="K59" s="4">
        <v>126</v>
      </c>
      <c r="L59" s="4">
        <v>125</v>
      </c>
      <c r="M59" s="4">
        <v>125</v>
      </c>
      <c r="N59" s="4">
        <v>125</v>
      </c>
      <c r="O59" s="4">
        <v>125</v>
      </c>
      <c r="P59" s="4">
        <v>124</v>
      </c>
      <c r="Q59" s="4">
        <v>124</v>
      </c>
      <c r="R59" s="4">
        <v>126</v>
      </c>
      <c r="S59" s="4">
        <v>123</v>
      </c>
      <c r="T59" s="4">
        <v>123</v>
      </c>
      <c r="U59" s="4">
        <v>122</v>
      </c>
    </row>
    <row r="60" spans="3:21" ht="12.75" customHeight="1">
      <c r="C60" s="24" t="s">
        <v>387</v>
      </c>
      <c r="D60" s="24" t="s">
        <v>136</v>
      </c>
      <c r="E60" s="4">
        <v>76</v>
      </c>
      <c r="F60" s="4">
        <v>76</v>
      </c>
      <c r="G60" s="4">
        <v>81</v>
      </c>
      <c r="H60" s="4">
        <v>124</v>
      </c>
      <c r="I60" s="4">
        <v>126</v>
      </c>
      <c r="J60" s="4">
        <v>129</v>
      </c>
      <c r="K60" s="4">
        <v>130</v>
      </c>
      <c r="L60" s="4">
        <v>120</v>
      </c>
      <c r="M60" s="4">
        <v>123</v>
      </c>
      <c r="N60" s="4">
        <v>124</v>
      </c>
      <c r="O60" s="4">
        <v>122</v>
      </c>
      <c r="P60" s="4">
        <v>126</v>
      </c>
      <c r="Q60" s="4">
        <v>113</v>
      </c>
      <c r="R60" s="4">
        <v>110</v>
      </c>
      <c r="S60" s="4">
        <v>140</v>
      </c>
      <c r="T60" s="4">
        <v>144</v>
      </c>
      <c r="U60" s="4">
        <v>147</v>
      </c>
    </row>
    <row r="61" spans="3:21" ht="12.75" customHeight="1">
      <c r="C61" s="24" t="s">
        <v>368</v>
      </c>
      <c r="D61" s="24" t="s">
        <v>247</v>
      </c>
      <c r="E61" s="4">
        <v>142</v>
      </c>
      <c r="F61" s="4">
        <v>142</v>
      </c>
      <c r="G61" s="4">
        <v>143</v>
      </c>
      <c r="H61" s="4">
        <v>144</v>
      </c>
      <c r="I61" s="4">
        <v>149</v>
      </c>
      <c r="J61" s="4">
        <v>152</v>
      </c>
      <c r="K61" s="4">
        <v>152</v>
      </c>
      <c r="L61" s="4">
        <v>151</v>
      </c>
      <c r="M61" s="4">
        <v>149</v>
      </c>
      <c r="N61" s="4">
        <v>134</v>
      </c>
      <c r="O61" s="4">
        <v>153</v>
      </c>
      <c r="P61" s="4">
        <v>152</v>
      </c>
      <c r="Q61" s="4">
        <v>144</v>
      </c>
      <c r="R61" s="4">
        <v>148</v>
      </c>
      <c r="S61" s="4">
        <v>149</v>
      </c>
      <c r="T61" s="4">
        <v>148</v>
      </c>
      <c r="U61" s="4">
        <v>146</v>
      </c>
    </row>
    <row r="62" spans="3:21" ht="12.75" customHeight="1">
      <c r="C62" s="24" t="s">
        <v>359</v>
      </c>
      <c r="D62" s="24" t="s">
        <v>383</v>
      </c>
      <c r="E62" s="4">
        <v>87</v>
      </c>
      <c r="F62" s="4">
        <v>85</v>
      </c>
      <c r="G62" s="4">
        <v>85</v>
      </c>
      <c r="H62" s="4">
        <v>84</v>
      </c>
      <c r="I62" s="4">
        <v>83</v>
      </c>
      <c r="J62" s="4">
        <v>83</v>
      </c>
      <c r="K62" s="4">
        <v>85</v>
      </c>
      <c r="L62" s="4">
        <v>85</v>
      </c>
      <c r="M62" s="4">
        <v>85</v>
      </c>
      <c r="N62" s="4">
        <v>85</v>
      </c>
      <c r="O62" s="4">
        <v>85</v>
      </c>
      <c r="P62" s="4">
        <v>86</v>
      </c>
      <c r="Q62" s="4">
        <v>87</v>
      </c>
      <c r="R62" s="4">
        <v>88</v>
      </c>
      <c r="S62" s="4">
        <v>87</v>
      </c>
      <c r="T62" s="4">
        <v>86</v>
      </c>
      <c r="U62" s="4">
        <v>87</v>
      </c>
    </row>
    <row r="63" spans="3:21" ht="12.75" customHeight="1">
      <c r="C63" s="24" t="s">
        <v>305</v>
      </c>
      <c r="D63" s="24" t="s">
        <v>288</v>
      </c>
      <c r="E63" s="4">
        <v>64</v>
      </c>
      <c r="F63" s="4">
        <v>62</v>
      </c>
      <c r="G63" s="4">
        <v>63</v>
      </c>
      <c r="H63" s="4">
        <v>62</v>
      </c>
      <c r="I63" s="4">
        <v>63</v>
      </c>
      <c r="J63" s="4">
        <v>66</v>
      </c>
      <c r="K63" s="4">
        <v>65</v>
      </c>
      <c r="L63" s="4">
        <v>65</v>
      </c>
      <c r="M63" s="4">
        <v>64</v>
      </c>
      <c r="N63" s="4">
        <v>63</v>
      </c>
      <c r="O63" s="4">
        <v>65</v>
      </c>
      <c r="P63" s="4">
        <v>65</v>
      </c>
      <c r="Q63" s="4">
        <v>63</v>
      </c>
      <c r="R63" s="4">
        <v>65</v>
      </c>
      <c r="S63" s="4">
        <v>65</v>
      </c>
      <c r="T63" s="4">
        <v>66</v>
      </c>
      <c r="U63" s="4">
        <v>66</v>
      </c>
    </row>
    <row r="64" spans="3:21" ht="12.75" customHeight="1">
      <c r="C64" s="24" t="s">
        <v>81</v>
      </c>
      <c r="D64" s="24" t="s">
        <v>388</v>
      </c>
      <c r="E64" s="4">
        <v>3</v>
      </c>
      <c r="F64" s="4">
        <v>3</v>
      </c>
      <c r="G64" s="4">
        <v>3</v>
      </c>
      <c r="H64" s="4">
        <v>3</v>
      </c>
      <c r="I64" s="4">
        <v>3</v>
      </c>
      <c r="J64" s="4">
        <v>2</v>
      </c>
      <c r="K64" s="4">
        <v>2</v>
      </c>
      <c r="L64" s="4">
        <v>2</v>
      </c>
      <c r="M64" s="4">
        <v>2</v>
      </c>
      <c r="N64" s="4">
        <v>3</v>
      </c>
      <c r="O64" s="4">
        <v>5</v>
      </c>
      <c r="P64" s="4">
        <v>5</v>
      </c>
      <c r="Q64" s="4">
        <v>4</v>
      </c>
      <c r="R64" s="4">
        <v>5</v>
      </c>
      <c r="S64" s="4">
        <v>10</v>
      </c>
      <c r="T64" s="4">
        <v>10</v>
      </c>
      <c r="U64" s="4">
        <v>10</v>
      </c>
    </row>
    <row r="65" spans="3:21" ht="12.75" customHeight="1">
      <c r="C65" s="24" t="s">
        <v>378</v>
      </c>
      <c r="D65" s="24" t="s">
        <v>179</v>
      </c>
      <c r="E65" s="4">
        <v>161</v>
      </c>
      <c r="F65" s="4">
        <v>159</v>
      </c>
      <c r="G65" s="4">
        <v>159</v>
      </c>
      <c r="H65" s="4">
        <v>159</v>
      </c>
      <c r="I65" s="4">
        <v>159</v>
      </c>
      <c r="J65" s="4">
        <v>159</v>
      </c>
      <c r="K65" s="4">
        <v>159</v>
      </c>
      <c r="L65" s="4">
        <v>157</v>
      </c>
      <c r="M65" s="4">
        <v>156</v>
      </c>
      <c r="N65" s="4">
        <v>157</v>
      </c>
      <c r="O65" s="4">
        <v>155</v>
      </c>
      <c r="P65" s="4">
        <v>154</v>
      </c>
      <c r="Q65" s="4">
        <v>154</v>
      </c>
      <c r="R65" s="4">
        <v>154</v>
      </c>
      <c r="S65" s="4">
        <v>153</v>
      </c>
      <c r="T65" s="4">
        <v>153</v>
      </c>
      <c r="U65" s="4">
        <v>151</v>
      </c>
    </row>
    <row r="66" spans="3:21" ht="12.75" customHeight="1">
      <c r="C66" s="24" t="s">
        <v>148</v>
      </c>
      <c r="D66" s="24" t="s">
        <v>240</v>
      </c>
      <c r="E66" s="4">
        <v>130</v>
      </c>
      <c r="F66" s="4">
        <v>130</v>
      </c>
      <c r="G66" s="4">
        <v>130</v>
      </c>
      <c r="H66" s="4">
        <v>132</v>
      </c>
      <c r="I66" s="4">
        <v>131</v>
      </c>
      <c r="J66" s="4">
        <v>131</v>
      </c>
      <c r="K66" s="4">
        <v>131</v>
      </c>
      <c r="L66" s="4">
        <v>132</v>
      </c>
      <c r="M66" s="4">
        <v>133</v>
      </c>
      <c r="N66" s="4">
        <v>133</v>
      </c>
      <c r="O66" s="4">
        <v>134</v>
      </c>
      <c r="P66" s="4">
        <v>133</v>
      </c>
      <c r="Q66" s="4">
        <v>134</v>
      </c>
      <c r="R66" s="4">
        <v>134</v>
      </c>
      <c r="S66" s="4">
        <v>131</v>
      </c>
      <c r="T66" s="4">
        <v>131</v>
      </c>
      <c r="U66" s="4">
        <v>131</v>
      </c>
    </row>
    <row r="67" spans="3:21" ht="12.75" customHeight="1">
      <c r="C67" s="24" t="s">
        <v>328</v>
      </c>
      <c r="D67" s="24" t="s">
        <v>57</v>
      </c>
      <c r="E67" s="4">
        <v>28</v>
      </c>
      <c r="F67" s="4">
        <v>29</v>
      </c>
      <c r="G67" s="4">
        <v>28</v>
      </c>
      <c r="H67" s="4">
        <v>29</v>
      </c>
      <c r="I67" s="4">
        <v>28</v>
      </c>
      <c r="J67" s="4">
        <v>28</v>
      </c>
      <c r="K67" s="4">
        <v>26</v>
      </c>
      <c r="L67" s="4">
        <v>26</v>
      </c>
      <c r="M67" s="4">
        <v>27</v>
      </c>
      <c r="N67" s="4">
        <v>26</v>
      </c>
      <c r="O67" s="4">
        <v>27</v>
      </c>
      <c r="P67" s="4">
        <v>27</v>
      </c>
      <c r="Q67" s="4">
        <v>25</v>
      </c>
      <c r="R67" s="4">
        <v>25</v>
      </c>
      <c r="S67" s="4">
        <v>26</v>
      </c>
      <c r="T67" s="4">
        <v>26</v>
      </c>
      <c r="U67" s="4">
        <v>27</v>
      </c>
    </row>
    <row r="68" spans="3:21" ht="12.75" customHeight="1">
      <c r="C68" s="24" t="s">
        <v>17</v>
      </c>
      <c r="D68" s="24" t="s">
        <v>120</v>
      </c>
      <c r="E68" s="4">
        <v>15</v>
      </c>
      <c r="F68" s="4">
        <v>16</v>
      </c>
      <c r="G68" s="4">
        <v>15</v>
      </c>
      <c r="H68" s="4">
        <v>19</v>
      </c>
      <c r="I68" s="4">
        <v>18</v>
      </c>
      <c r="J68" s="4">
        <v>18</v>
      </c>
      <c r="K68" s="4">
        <v>18</v>
      </c>
      <c r="L68" s="4">
        <v>18</v>
      </c>
      <c r="M68" s="4">
        <v>2</v>
      </c>
      <c r="N68" s="4">
        <v>2</v>
      </c>
      <c r="O68" s="4">
        <v>4</v>
      </c>
      <c r="P68" s="4">
        <v>3</v>
      </c>
      <c r="Q68" s="4">
        <v>2</v>
      </c>
      <c r="R68" s="4">
        <v>2</v>
      </c>
      <c r="S68" s="4">
        <v>7</v>
      </c>
      <c r="T68" s="4">
        <v>7</v>
      </c>
      <c r="U68" s="4">
        <v>8</v>
      </c>
    </row>
    <row r="69" spans="3:21" ht="12.75" customHeight="1">
      <c r="C69" s="24" t="s">
        <v>133</v>
      </c>
      <c r="D69" s="24" t="s">
        <v>122</v>
      </c>
      <c r="E69" s="4">
        <v>119</v>
      </c>
      <c r="F69" s="4">
        <v>123</v>
      </c>
      <c r="G69" s="4">
        <v>118</v>
      </c>
      <c r="H69" s="4">
        <v>120</v>
      </c>
      <c r="I69" s="4">
        <v>111</v>
      </c>
      <c r="J69" s="4">
        <v>112</v>
      </c>
      <c r="K69" s="4">
        <v>133</v>
      </c>
      <c r="L69" s="4">
        <v>127</v>
      </c>
      <c r="M69" s="4">
        <v>138</v>
      </c>
      <c r="N69" s="4">
        <v>137</v>
      </c>
      <c r="O69" s="4">
        <v>142</v>
      </c>
      <c r="P69" s="4">
        <v>140</v>
      </c>
      <c r="Q69" s="4">
        <v>141</v>
      </c>
      <c r="R69" s="4">
        <v>143</v>
      </c>
      <c r="S69" s="4">
        <v>146</v>
      </c>
      <c r="T69" s="4">
        <v>149</v>
      </c>
      <c r="U69" s="4">
        <v>154</v>
      </c>
    </row>
    <row r="70" spans="3:21" ht="12.75" customHeight="1">
      <c r="C70" s="24" t="s">
        <v>37</v>
      </c>
      <c r="D70" s="24" t="s">
        <v>238</v>
      </c>
      <c r="E70" s="4">
        <v>31</v>
      </c>
      <c r="F70" s="4">
        <v>31</v>
      </c>
      <c r="G70" s="4">
        <v>30</v>
      </c>
      <c r="H70" s="4">
        <v>31</v>
      </c>
      <c r="I70" s="4">
        <v>30</v>
      </c>
      <c r="J70" s="4">
        <v>30</v>
      </c>
      <c r="K70" s="4">
        <v>28</v>
      </c>
      <c r="L70" s="4">
        <v>28</v>
      </c>
      <c r="M70" s="4">
        <v>29</v>
      </c>
      <c r="N70" s="4">
        <v>29</v>
      </c>
      <c r="O70" s="4">
        <v>28</v>
      </c>
      <c r="P70" s="4">
        <v>28</v>
      </c>
      <c r="Q70" s="4">
        <v>28</v>
      </c>
      <c r="R70" s="4">
        <v>26</v>
      </c>
      <c r="S70" s="4">
        <v>28</v>
      </c>
      <c r="T70" s="4">
        <v>27</v>
      </c>
      <c r="U70" s="4">
        <v>28</v>
      </c>
    </row>
    <row r="71" spans="3:21" ht="12.75" customHeight="1">
      <c r="C71" s="24" t="s">
        <v>375</v>
      </c>
      <c r="D71" s="24" t="s">
        <v>224</v>
      </c>
      <c r="E71" s="4">
        <v>67</v>
      </c>
      <c r="F71" s="4">
        <v>66</v>
      </c>
      <c r="G71" s="4">
        <v>67</v>
      </c>
      <c r="H71" s="4">
        <v>68</v>
      </c>
      <c r="I71" s="4">
        <v>69</v>
      </c>
      <c r="J71" s="4">
        <v>69</v>
      </c>
      <c r="K71" s="4">
        <v>69</v>
      </c>
      <c r="L71" s="4">
        <v>69</v>
      </c>
      <c r="M71" s="4">
        <v>69</v>
      </c>
      <c r="N71" s="4">
        <v>70</v>
      </c>
      <c r="O71" s="4">
        <v>71</v>
      </c>
      <c r="P71" s="4">
        <v>71</v>
      </c>
      <c r="Q71" s="4">
        <v>72</v>
      </c>
      <c r="R71" s="4">
        <v>69</v>
      </c>
      <c r="S71" s="4">
        <v>69</v>
      </c>
      <c r="T71" s="4">
        <v>71</v>
      </c>
      <c r="U71" s="4">
        <v>72</v>
      </c>
    </row>
    <row r="72" spans="3:21" ht="12.75" customHeight="1">
      <c r="C72" s="24" t="s">
        <v>377</v>
      </c>
      <c r="D72" s="24" t="s">
        <v>393</v>
      </c>
      <c r="E72" s="4">
        <v>115</v>
      </c>
      <c r="F72" s="4">
        <v>118</v>
      </c>
      <c r="G72" s="4">
        <v>116</v>
      </c>
      <c r="H72" s="4">
        <v>106</v>
      </c>
      <c r="I72" s="4">
        <v>103</v>
      </c>
      <c r="J72" s="4">
        <v>102</v>
      </c>
      <c r="K72" s="4">
        <v>102</v>
      </c>
      <c r="L72" s="4">
        <v>97</v>
      </c>
      <c r="M72" s="4">
        <v>94</v>
      </c>
      <c r="N72" s="4">
        <v>93</v>
      </c>
      <c r="O72" s="4">
        <v>90</v>
      </c>
      <c r="P72" s="4">
        <v>90</v>
      </c>
      <c r="Q72" s="4">
        <v>90</v>
      </c>
      <c r="R72" s="4">
        <v>89</v>
      </c>
      <c r="S72" s="4">
        <v>85</v>
      </c>
      <c r="T72" s="4">
        <v>80</v>
      </c>
      <c r="U72" s="4">
        <v>77</v>
      </c>
    </row>
    <row r="73" spans="3:21" ht="12.75" customHeight="1">
      <c r="C73" s="24" t="s">
        <v>213</v>
      </c>
      <c r="D73" s="24" t="s">
        <v>211</v>
      </c>
      <c r="E73" s="4">
        <v>139</v>
      </c>
      <c r="F73" s="4">
        <v>139</v>
      </c>
      <c r="G73" s="4">
        <v>139</v>
      </c>
      <c r="H73" s="4">
        <v>140</v>
      </c>
      <c r="I73" s="4">
        <v>141</v>
      </c>
      <c r="J73" s="4">
        <v>140</v>
      </c>
      <c r="K73" s="4">
        <v>148</v>
      </c>
      <c r="L73" s="4">
        <v>149</v>
      </c>
      <c r="M73" s="4">
        <v>158</v>
      </c>
      <c r="N73" s="4">
        <v>154</v>
      </c>
      <c r="O73" s="4">
        <v>154</v>
      </c>
      <c r="P73" s="4">
        <v>157</v>
      </c>
      <c r="Q73" s="4">
        <v>157</v>
      </c>
      <c r="R73" s="4">
        <v>158</v>
      </c>
      <c r="S73" s="4">
        <v>160</v>
      </c>
      <c r="T73" s="4">
        <v>162</v>
      </c>
      <c r="U73" s="4">
        <v>163</v>
      </c>
    </row>
    <row r="74" spans="3:21" ht="12.75" customHeight="1">
      <c r="C74" s="24" t="s">
        <v>40</v>
      </c>
      <c r="D74" s="24" t="s">
        <v>232</v>
      </c>
      <c r="E74" s="4">
        <v>154</v>
      </c>
      <c r="F74" s="4">
        <v>158</v>
      </c>
      <c r="G74" s="4">
        <v>157</v>
      </c>
      <c r="H74" s="4">
        <v>157</v>
      </c>
      <c r="I74" s="4">
        <v>136</v>
      </c>
      <c r="J74" s="4">
        <v>128</v>
      </c>
      <c r="K74" s="4">
        <v>123</v>
      </c>
      <c r="L74" s="4">
        <v>113</v>
      </c>
      <c r="M74" s="4">
        <v>113</v>
      </c>
      <c r="N74" s="4">
        <v>108</v>
      </c>
      <c r="O74" s="4">
        <v>105</v>
      </c>
      <c r="P74" s="4">
        <v>101</v>
      </c>
      <c r="Q74" s="4">
        <v>99</v>
      </c>
      <c r="R74" s="4">
        <v>95</v>
      </c>
      <c r="S74" s="4">
        <v>92</v>
      </c>
      <c r="T74" s="4">
        <v>88</v>
      </c>
      <c r="U74" s="4">
        <v>85</v>
      </c>
    </row>
    <row r="75" spans="3:21" ht="12.75" customHeight="1">
      <c r="C75" s="24" t="s">
        <v>310</v>
      </c>
      <c r="D75" s="24" t="s">
        <v>397</v>
      </c>
      <c r="E75" s="4">
        <v>167</v>
      </c>
      <c r="F75" s="4">
        <v>167</v>
      </c>
      <c r="G75" s="4">
        <v>167</v>
      </c>
      <c r="H75" s="4">
        <v>167</v>
      </c>
      <c r="I75" s="4">
        <v>167</v>
      </c>
      <c r="J75" s="4">
        <v>167</v>
      </c>
      <c r="K75" s="4">
        <v>168</v>
      </c>
      <c r="L75" s="4">
        <v>168</v>
      </c>
      <c r="M75" s="4">
        <v>167</v>
      </c>
      <c r="N75" s="4">
        <v>166</v>
      </c>
      <c r="O75" s="4">
        <v>166</v>
      </c>
      <c r="P75" s="4">
        <v>165</v>
      </c>
      <c r="Q75" s="4">
        <v>163</v>
      </c>
      <c r="R75" s="4">
        <v>162</v>
      </c>
      <c r="S75" s="4">
        <v>162</v>
      </c>
      <c r="T75" s="4">
        <v>160</v>
      </c>
      <c r="U75" s="4">
        <v>160</v>
      </c>
    </row>
    <row r="76" spans="3:21" ht="12.75" customHeight="1">
      <c r="C76" s="24" t="s">
        <v>198</v>
      </c>
      <c r="D76" s="24" t="s">
        <v>15</v>
      </c>
      <c r="E76" s="4">
        <v>121</v>
      </c>
      <c r="F76" s="4">
        <v>122</v>
      </c>
      <c r="G76" s="4">
        <v>123</v>
      </c>
      <c r="H76" s="4">
        <v>121</v>
      </c>
      <c r="I76" s="4">
        <v>121</v>
      </c>
      <c r="J76" s="4">
        <v>121</v>
      </c>
      <c r="K76" s="4">
        <v>120</v>
      </c>
      <c r="L76" s="4">
        <v>121</v>
      </c>
      <c r="M76" s="4">
        <v>121</v>
      </c>
      <c r="N76" s="4">
        <v>119</v>
      </c>
      <c r="O76" s="4">
        <v>120</v>
      </c>
      <c r="P76" s="4">
        <v>120</v>
      </c>
      <c r="Q76" s="4">
        <v>121</v>
      </c>
      <c r="R76" s="4">
        <v>119</v>
      </c>
      <c r="S76" s="4">
        <v>119</v>
      </c>
      <c r="T76" s="4">
        <v>119</v>
      </c>
      <c r="U76" s="4">
        <v>118</v>
      </c>
    </row>
    <row r="77" spans="3:21" ht="12.75" customHeight="1">
      <c r="C77" s="24" t="s">
        <v>287</v>
      </c>
      <c r="D77" s="24" t="s">
        <v>178</v>
      </c>
      <c r="E77" s="4">
        <v>126</v>
      </c>
      <c r="F77" s="4">
        <v>126</v>
      </c>
      <c r="G77" s="4">
        <v>126</v>
      </c>
      <c r="H77" s="4">
        <v>127</v>
      </c>
      <c r="I77" s="4">
        <v>127</v>
      </c>
      <c r="J77" s="4">
        <v>126</v>
      </c>
      <c r="K77" s="4">
        <v>127</v>
      </c>
      <c r="L77" s="4">
        <v>129</v>
      </c>
      <c r="M77" s="4">
        <v>129</v>
      </c>
      <c r="N77" s="4">
        <v>129</v>
      </c>
      <c r="O77" s="4">
        <v>129</v>
      </c>
      <c r="P77" s="4">
        <v>130</v>
      </c>
      <c r="Q77" s="4">
        <v>129</v>
      </c>
      <c r="R77" s="4">
        <v>129</v>
      </c>
      <c r="S77" s="4">
        <v>128</v>
      </c>
      <c r="T77" s="4">
        <v>127</v>
      </c>
      <c r="U77" s="4">
        <v>126</v>
      </c>
    </row>
    <row r="78" spans="3:21" ht="12.75" customHeight="1">
      <c r="C78" s="24" t="s">
        <v>47</v>
      </c>
      <c r="D78" s="24" t="s">
        <v>158</v>
      </c>
      <c r="E78" s="4">
        <v>91</v>
      </c>
      <c r="F78" s="4">
        <v>92</v>
      </c>
      <c r="G78" s="4">
        <v>93</v>
      </c>
      <c r="H78" s="4">
        <v>92</v>
      </c>
      <c r="I78" s="4">
        <v>90</v>
      </c>
      <c r="J78" s="4">
        <v>90</v>
      </c>
      <c r="K78" s="4">
        <v>91</v>
      </c>
      <c r="L78" s="4">
        <v>91</v>
      </c>
      <c r="M78" s="4">
        <v>90</v>
      </c>
      <c r="N78" s="4">
        <v>94</v>
      </c>
      <c r="O78" s="4">
        <v>96</v>
      </c>
      <c r="P78" s="4">
        <v>99</v>
      </c>
      <c r="Q78" s="4">
        <v>100</v>
      </c>
      <c r="R78" s="4">
        <v>101</v>
      </c>
      <c r="S78" s="4">
        <v>99</v>
      </c>
      <c r="T78" s="4">
        <v>100</v>
      </c>
      <c r="U78" s="4">
        <v>102</v>
      </c>
    </row>
    <row r="79" spans="3:21" ht="12.75" customHeight="1">
      <c r="C79" s="24" t="s">
        <v>316</v>
      </c>
      <c r="D79" s="24" t="s">
        <v>331</v>
      </c>
      <c r="E79" s="4">
        <v>120</v>
      </c>
      <c r="F79" s="4">
        <v>117</v>
      </c>
      <c r="G79" s="4">
        <v>119</v>
      </c>
      <c r="H79" s="4">
        <v>115</v>
      </c>
      <c r="I79" s="4">
        <v>114</v>
      </c>
      <c r="J79" s="4">
        <v>113</v>
      </c>
      <c r="K79" s="4">
        <v>109</v>
      </c>
      <c r="L79" s="4">
        <v>108</v>
      </c>
      <c r="M79" s="4">
        <v>104</v>
      </c>
      <c r="N79" s="4">
        <v>103</v>
      </c>
      <c r="O79" s="4">
        <v>103</v>
      </c>
      <c r="P79" s="4">
        <v>102</v>
      </c>
      <c r="Q79" s="4">
        <v>102</v>
      </c>
      <c r="R79" s="4">
        <v>102</v>
      </c>
      <c r="S79" s="4">
        <v>98</v>
      </c>
      <c r="T79" s="4">
        <v>97</v>
      </c>
      <c r="U79" s="4">
        <v>97</v>
      </c>
    </row>
    <row r="80" spans="3:21" ht="12.75" customHeight="1">
      <c r="C80" s="24" t="s">
        <v>343</v>
      </c>
      <c r="D80" s="24" t="s">
        <v>195</v>
      </c>
      <c r="E80" s="4">
        <v>75</v>
      </c>
      <c r="F80" s="4">
        <v>74</v>
      </c>
      <c r="G80" s="4">
        <v>74</v>
      </c>
      <c r="H80" s="4">
        <v>73</v>
      </c>
      <c r="I80" s="4">
        <v>86</v>
      </c>
      <c r="J80" s="4">
        <v>87</v>
      </c>
      <c r="K80" s="4">
        <v>87</v>
      </c>
      <c r="L80" s="4">
        <v>87</v>
      </c>
      <c r="M80" s="4">
        <v>84</v>
      </c>
      <c r="N80" s="4">
        <v>86</v>
      </c>
      <c r="O80" s="4">
        <v>87</v>
      </c>
      <c r="P80" s="4">
        <v>87</v>
      </c>
      <c r="Q80" s="4">
        <v>88</v>
      </c>
      <c r="R80" s="4">
        <v>87</v>
      </c>
      <c r="S80" s="4">
        <v>90</v>
      </c>
      <c r="T80" s="4">
        <v>92</v>
      </c>
      <c r="U80" s="4">
        <v>90</v>
      </c>
    </row>
    <row r="81" spans="3:21" ht="12.75" customHeight="1">
      <c r="C81" s="24" t="s">
        <v>8</v>
      </c>
      <c r="D81" s="24" t="s">
        <v>132</v>
      </c>
      <c r="E81" s="4">
        <v>77</v>
      </c>
      <c r="F81" s="4">
        <v>88</v>
      </c>
      <c r="G81" s="4">
        <v>75</v>
      </c>
      <c r="H81" s="4">
        <v>87</v>
      </c>
      <c r="I81" s="4">
        <v>88</v>
      </c>
      <c r="J81" s="4">
        <v>74</v>
      </c>
      <c r="K81" s="4">
        <v>73</v>
      </c>
      <c r="L81" s="4">
        <v>73</v>
      </c>
      <c r="M81" s="4">
        <v>72</v>
      </c>
      <c r="N81" s="4">
        <v>76</v>
      </c>
      <c r="O81" s="4">
        <v>77</v>
      </c>
      <c r="P81" s="4">
        <v>77</v>
      </c>
      <c r="Q81" s="4">
        <v>71</v>
      </c>
      <c r="R81" s="4">
        <v>72</v>
      </c>
      <c r="S81" s="4">
        <v>70</v>
      </c>
      <c r="T81" s="4">
        <v>70</v>
      </c>
      <c r="U81" s="4">
        <v>70</v>
      </c>
    </row>
    <row r="82" spans="3:21" ht="12.75" customHeight="1">
      <c r="C82" s="24" t="s">
        <v>84</v>
      </c>
      <c r="D82" s="24" t="s">
        <v>279</v>
      </c>
      <c r="E82" s="4">
        <v>85</v>
      </c>
      <c r="F82" s="4">
        <v>79</v>
      </c>
      <c r="G82" s="4">
        <v>73</v>
      </c>
      <c r="H82" s="4">
        <v>74</v>
      </c>
      <c r="I82" s="4">
        <v>71</v>
      </c>
      <c r="J82" s="4">
        <v>68</v>
      </c>
      <c r="K82" s="4">
        <v>63</v>
      </c>
      <c r="L82" s="4">
        <v>62</v>
      </c>
      <c r="M82" s="4">
        <v>62</v>
      </c>
      <c r="N82" s="4">
        <v>58</v>
      </c>
      <c r="O82" s="4">
        <v>58</v>
      </c>
      <c r="P82" s="4">
        <v>55</v>
      </c>
      <c r="Q82" s="4">
        <v>55</v>
      </c>
      <c r="R82" s="4">
        <v>54</v>
      </c>
      <c r="S82" s="4">
        <v>53</v>
      </c>
      <c r="T82" s="4">
        <v>47</v>
      </c>
      <c r="U82" s="4">
        <v>43</v>
      </c>
    </row>
    <row r="83" spans="3:21" ht="12.75" customHeight="1">
      <c r="C83" s="24" t="s">
        <v>360</v>
      </c>
      <c r="D83" s="24" t="s">
        <v>66</v>
      </c>
      <c r="E83" s="4">
        <v>37</v>
      </c>
      <c r="F83" s="4">
        <v>37</v>
      </c>
      <c r="G83" s="4">
        <v>39</v>
      </c>
      <c r="H83" s="4">
        <v>42</v>
      </c>
      <c r="I83" s="4">
        <v>42</v>
      </c>
      <c r="J83" s="4">
        <v>41</v>
      </c>
      <c r="K83" s="4">
        <v>42</v>
      </c>
      <c r="L83" s="4">
        <v>42</v>
      </c>
      <c r="M83" s="4">
        <v>42</v>
      </c>
      <c r="N83" s="4">
        <v>43</v>
      </c>
      <c r="O83" s="4">
        <v>44</v>
      </c>
      <c r="P83" s="4">
        <v>44</v>
      </c>
      <c r="Q83" s="4">
        <v>44</v>
      </c>
      <c r="R83" s="4">
        <v>45</v>
      </c>
      <c r="S83" s="4">
        <v>47</v>
      </c>
      <c r="T83" s="4">
        <v>51</v>
      </c>
      <c r="U83" s="4">
        <v>52</v>
      </c>
    </row>
    <row r="84" spans="3:21" ht="12.75" customHeight="1">
      <c r="C84" s="24" t="s">
        <v>358</v>
      </c>
      <c r="D84" s="24" t="s">
        <v>229</v>
      </c>
      <c r="E84" s="4">
        <v>27</v>
      </c>
      <c r="F84" s="4">
        <v>28</v>
      </c>
      <c r="G84" s="4">
        <v>27</v>
      </c>
      <c r="H84" s="4">
        <v>3</v>
      </c>
      <c r="I84" s="4">
        <v>3</v>
      </c>
      <c r="J84" s="4">
        <v>2</v>
      </c>
      <c r="K84" s="4">
        <v>2</v>
      </c>
      <c r="L84" s="4">
        <v>2</v>
      </c>
      <c r="M84" s="4">
        <v>2</v>
      </c>
      <c r="N84" s="4">
        <v>20</v>
      </c>
      <c r="O84" s="4">
        <v>2</v>
      </c>
      <c r="P84" s="4">
        <v>2</v>
      </c>
      <c r="Q84" s="4">
        <v>4</v>
      </c>
      <c r="R84" s="4">
        <v>5</v>
      </c>
      <c r="S84" s="4">
        <v>4</v>
      </c>
      <c r="T84" s="4">
        <v>4</v>
      </c>
      <c r="U84" s="4">
        <v>4</v>
      </c>
    </row>
    <row r="85" spans="3:21" ht="12.75" customHeight="1">
      <c r="C85" s="24" t="s">
        <v>362</v>
      </c>
      <c r="D85" s="24" t="s">
        <v>100</v>
      </c>
      <c r="E85" s="4">
        <v>3</v>
      </c>
      <c r="F85" s="4">
        <v>3</v>
      </c>
      <c r="G85" s="4">
        <v>3</v>
      </c>
      <c r="H85" s="4">
        <v>3</v>
      </c>
      <c r="I85" s="4">
        <v>3</v>
      </c>
      <c r="J85" s="4">
        <v>2</v>
      </c>
      <c r="K85" s="4">
        <v>2</v>
      </c>
      <c r="L85" s="4">
        <v>2</v>
      </c>
      <c r="M85" s="4">
        <v>2</v>
      </c>
      <c r="N85" s="4">
        <v>3</v>
      </c>
      <c r="O85" s="4">
        <v>5</v>
      </c>
      <c r="P85" s="4">
        <v>5</v>
      </c>
      <c r="Q85" s="4">
        <v>4</v>
      </c>
      <c r="R85" s="4">
        <v>5</v>
      </c>
      <c r="S85" s="4">
        <v>10</v>
      </c>
      <c r="T85" s="4">
        <v>10</v>
      </c>
      <c r="U85" s="4">
        <v>10</v>
      </c>
    </row>
    <row r="86" spans="3:21" ht="12.75" customHeight="1">
      <c r="C86" s="24" t="s">
        <v>341</v>
      </c>
      <c r="D86" s="24" t="s">
        <v>376</v>
      </c>
      <c r="E86" s="4">
        <v>3</v>
      </c>
      <c r="F86" s="4">
        <v>3</v>
      </c>
      <c r="G86" s="4">
        <v>3</v>
      </c>
      <c r="H86" s="4">
        <v>3</v>
      </c>
      <c r="I86" s="4">
        <v>3</v>
      </c>
      <c r="J86" s="4">
        <v>2</v>
      </c>
      <c r="K86" s="4">
        <v>2</v>
      </c>
      <c r="L86" s="4">
        <v>2</v>
      </c>
      <c r="M86" s="4">
        <v>2</v>
      </c>
      <c r="N86" s="4">
        <v>3</v>
      </c>
      <c r="O86" s="4">
        <v>5</v>
      </c>
      <c r="P86" s="4">
        <v>5</v>
      </c>
      <c r="Q86" s="4">
        <v>4</v>
      </c>
      <c r="R86" s="4">
        <v>5</v>
      </c>
      <c r="S86" s="4">
        <v>10</v>
      </c>
      <c r="T86" s="4">
        <v>10</v>
      </c>
      <c r="U86" s="4">
        <v>10</v>
      </c>
    </row>
    <row r="87" spans="3:21" ht="12.75" customHeight="1">
      <c r="C87" s="24" t="s">
        <v>354</v>
      </c>
      <c r="D87" s="24" t="s">
        <v>36</v>
      </c>
      <c r="E87" s="4">
        <v>57</v>
      </c>
      <c r="F87" s="4">
        <v>57</v>
      </c>
      <c r="G87" s="4">
        <v>57</v>
      </c>
      <c r="H87" s="4">
        <v>56</v>
      </c>
      <c r="I87" s="4">
        <v>56</v>
      </c>
      <c r="J87" s="4">
        <v>56</v>
      </c>
      <c r="K87" s="4">
        <v>55</v>
      </c>
      <c r="L87" s="4">
        <v>55</v>
      </c>
      <c r="M87" s="4">
        <v>55</v>
      </c>
      <c r="N87" s="4">
        <v>54</v>
      </c>
      <c r="O87" s="4">
        <v>55</v>
      </c>
      <c r="P87" s="4">
        <v>54</v>
      </c>
      <c r="Q87" s="4">
        <v>56</v>
      </c>
      <c r="R87" s="4">
        <v>57</v>
      </c>
      <c r="S87" s="4">
        <v>56</v>
      </c>
      <c r="T87" s="4">
        <v>57</v>
      </c>
      <c r="U87" s="4">
        <v>57</v>
      </c>
    </row>
    <row r="88" spans="3:21" ht="12.75" customHeight="1">
      <c r="C88" s="24" t="s">
        <v>172</v>
      </c>
      <c r="D88" s="24" t="s">
        <v>164</v>
      </c>
      <c r="E88" s="4">
        <v>54</v>
      </c>
      <c r="F88" s="4">
        <v>53</v>
      </c>
      <c r="G88" s="4">
        <v>53</v>
      </c>
      <c r="H88" s="4">
        <v>51</v>
      </c>
      <c r="I88" s="4">
        <v>51</v>
      </c>
      <c r="J88" s="4">
        <v>49</v>
      </c>
      <c r="K88" s="4">
        <v>49</v>
      </c>
      <c r="L88" s="4">
        <v>49</v>
      </c>
      <c r="M88" s="4">
        <v>48</v>
      </c>
      <c r="N88" s="4">
        <v>49</v>
      </c>
      <c r="O88" s="4">
        <v>49</v>
      </c>
      <c r="P88" s="4">
        <v>49</v>
      </c>
      <c r="Q88" s="4">
        <v>49</v>
      </c>
      <c r="R88" s="4">
        <v>50</v>
      </c>
      <c r="S88" s="4">
        <v>50</v>
      </c>
      <c r="T88" s="4">
        <v>49</v>
      </c>
      <c r="U88" s="4">
        <v>49</v>
      </c>
    </row>
    <row r="89" spans="3:21" ht="12.75" customHeight="1">
      <c r="C89" s="24" t="s">
        <v>5</v>
      </c>
      <c r="D89" s="24" t="s">
        <v>335</v>
      </c>
      <c r="E89" s="4">
        <v>3</v>
      </c>
      <c r="F89" s="4">
        <v>3</v>
      </c>
      <c r="G89" s="4">
        <v>3</v>
      </c>
      <c r="H89" s="4">
        <v>3</v>
      </c>
      <c r="I89" s="4">
        <v>3</v>
      </c>
      <c r="J89" s="4">
        <v>2</v>
      </c>
      <c r="K89" s="4">
        <v>2</v>
      </c>
      <c r="L89" s="4">
        <v>2</v>
      </c>
      <c r="M89" s="4">
        <v>2</v>
      </c>
      <c r="N89" s="4">
        <v>3</v>
      </c>
      <c r="O89" s="4">
        <v>5</v>
      </c>
      <c r="P89" s="4">
        <v>5</v>
      </c>
      <c r="Q89" s="4">
        <v>4</v>
      </c>
      <c r="R89" s="4">
        <v>5</v>
      </c>
      <c r="S89" s="4">
        <v>10</v>
      </c>
      <c r="T89" s="4">
        <v>10</v>
      </c>
      <c r="U89" s="4">
        <v>10</v>
      </c>
    </row>
    <row r="90" spans="3:21" ht="12.75" customHeight="1">
      <c r="C90" s="24" t="s">
        <v>27</v>
      </c>
      <c r="D90" s="24" t="s">
        <v>352</v>
      </c>
      <c r="E90" s="4">
        <v>50</v>
      </c>
      <c r="F90" s="4">
        <v>45</v>
      </c>
      <c r="G90" s="4">
        <v>41</v>
      </c>
      <c r="H90" s="4">
        <v>39</v>
      </c>
      <c r="I90" s="4">
        <v>40</v>
      </c>
      <c r="J90" s="4">
        <v>39</v>
      </c>
      <c r="K90" s="4">
        <v>37</v>
      </c>
      <c r="L90" s="4">
        <v>35</v>
      </c>
      <c r="M90" s="4">
        <v>26</v>
      </c>
      <c r="N90" s="4">
        <v>27</v>
      </c>
      <c r="O90" s="4">
        <v>30</v>
      </c>
      <c r="P90" s="4">
        <v>29</v>
      </c>
      <c r="Q90" s="4">
        <v>30</v>
      </c>
      <c r="R90" s="4">
        <v>33</v>
      </c>
      <c r="S90" s="4">
        <v>25</v>
      </c>
      <c r="T90" s="4">
        <v>25</v>
      </c>
      <c r="U90" s="4">
        <v>25</v>
      </c>
    </row>
    <row r="91" spans="3:21" ht="12.75" customHeight="1">
      <c r="C91" s="24" t="s">
        <v>129</v>
      </c>
      <c r="D91" s="24" t="s">
        <v>168</v>
      </c>
      <c r="E91" s="4">
        <v>143</v>
      </c>
      <c r="F91" s="4">
        <v>147</v>
      </c>
      <c r="G91" s="4">
        <v>147</v>
      </c>
      <c r="H91" s="4">
        <v>150</v>
      </c>
      <c r="I91" s="4">
        <v>152</v>
      </c>
      <c r="J91" s="4">
        <v>150</v>
      </c>
      <c r="K91" s="4">
        <v>151</v>
      </c>
      <c r="L91" s="4">
        <v>147</v>
      </c>
      <c r="M91" s="4">
        <v>148</v>
      </c>
      <c r="N91" s="4">
        <v>146</v>
      </c>
      <c r="O91" s="4">
        <v>146</v>
      </c>
      <c r="P91" s="4">
        <v>145</v>
      </c>
      <c r="Q91" s="4">
        <v>146</v>
      </c>
      <c r="R91" s="4">
        <v>144</v>
      </c>
      <c r="S91" s="4">
        <v>144</v>
      </c>
      <c r="T91" s="4">
        <v>143</v>
      </c>
      <c r="U91" s="4">
        <v>143</v>
      </c>
    </row>
    <row r="92" spans="3:21" ht="12.75" customHeight="1">
      <c r="C92" s="24" t="s">
        <v>196</v>
      </c>
      <c r="D92" s="24" t="s">
        <v>259</v>
      </c>
      <c r="E92" s="4" t="e">
        <v>#N/A</v>
      </c>
      <c r="F92" s="4" t="e">
        <v>#N/A</v>
      </c>
      <c r="G92" s="4" t="e">
        <v>#N/A</v>
      </c>
      <c r="H92" s="4" t="e">
        <v>#N/A</v>
      </c>
      <c r="I92" s="4" t="e">
        <v>#N/A</v>
      </c>
      <c r="J92" s="4" t="e">
        <v>#N/A</v>
      </c>
      <c r="K92" s="4" t="e">
        <v>#N/A</v>
      </c>
      <c r="L92" s="4" t="e">
        <v>#N/A</v>
      </c>
      <c r="M92" s="4" t="e">
        <v>#N/A</v>
      </c>
      <c r="N92" s="4" t="e">
        <v>#N/A</v>
      </c>
      <c r="O92" s="4" t="e">
        <v>#N/A</v>
      </c>
      <c r="P92" s="4" t="e">
        <v>#N/A</v>
      </c>
      <c r="Q92" s="4" t="e">
        <v>#N/A</v>
      </c>
      <c r="R92" s="4" t="e">
        <v>#N/A</v>
      </c>
      <c r="S92" s="4" t="e">
        <v>#N/A</v>
      </c>
      <c r="T92" s="4" t="e">
        <v>#N/A</v>
      </c>
      <c r="U92" s="4" t="e">
        <v>#N/A</v>
      </c>
    </row>
    <row r="93" spans="3:21" ht="12.75" customHeight="1">
      <c r="C93" s="24" t="s">
        <v>249</v>
      </c>
      <c r="D93" s="24" t="s">
        <v>16</v>
      </c>
      <c r="E93" s="4">
        <v>168</v>
      </c>
      <c r="F93" s="4">
        <v>168</v>
      </c>
      <c r="G93" s="4">
        <v>168</v>
      </c>
      <c r="H93" s="4">
        <v>170</v>
      </c>
      <c r="I93" s="4">
        <v>170</v>
      </c>
      <c r="J93" s="4">
        <v>171</v>
      </c>
      <c r="K93" s="4">
        <v>173</v>
      </c>
      <c r="L93" s="4">
        <v>172</v>
      </c>
      <c r="M93" s="4">
        <v>172</v>
      </c>
      <c r="N93" s="4">
        <v>171</v>
      </c>
      <c r="O93" s="4">
        <v>173</v>
      </c>
      <c r="P93" s="4">
        <v>175</v>
      </c>
      <c r="Q93" s="4">
        <v>173</v>
      </c>
      <c r="R93" s="4">
        <v>173</v>
      </c>
      <c r="S93" s="4">
        <v>173</v>
      </c>
      <c r="T93" s="4">
        <v>174</v>
      </c>
      <c r="U93" s="4">
        <v>173</v>
      </c>
    </row>
    <row r="94" spans="3:21" ht="12.75" customHeight="1">
      <c r="C94" s="24" t="s">
        <v>356</v>
      </c>
      <c r="D94" s="24" t="s">
        <v>294</v>
      </c>
      <c r="E94" s="4">
        <v>51</v>
      </c>
      <c r="F94" s="4">
        <v>55</v>
      </c>
      <c r="G94" s="4">
        <v>55</v>
      </c>
      <c r="H94" s="4">
        <v>54</v>
      </c>
      <c r="I94" s="4">
        <v>54</v>
      </c>
      <c r="J94" s="4">
        <v>53</v>
      </c>
      <c r="K94" s="4">
        <v>51</v>
      </c>
      <c r="L94" s="4">
        <v>52</v>
      </c>
      <c r="M94" s="4">
        <v>51</v>
      </c>
      <c r="N94" s="4">
        <v>38</v>
      </c>
      <c r="O94" s="4">
        <v>52</v>
      </c>
      <c r="P94" s="4">
        <v>51</v>
      </c>
      <c r="Q94" s="4">
        <v>50</v>
      </c>
      <c r="R94" s="4">
        <v>52</v>
      </c>
      <c r="S94" s="4">
        <v>52</v>
      </c>
      <c r="T94" s="4">
        <v>52</v>
      </c>
      <c r="U94" s="4">
        <v>51</v>
      </c>
    </row>
    <row r="95" spans="3:21" ht="12.75" customHeight="1">
      <c r="C95" s="24" t="s">
        <v>282</v>
      </c>
      <c r="D95" s="24" t="s">
        <v>140</v>
      </c>
      <c r="E95" s="4">
        <v>44</v>
      </c>
      <c r="F95" s="4">
        <v>44</v>
      </c>
      <c r="G95" s="4">
        <v>46</v>
      </c>
      <c r="H95" s="4">
        <v>44</v>
      </c>
      <c r="I95" s="4">
        <v>45</v>
      </c>
      <c r="J95" s="4">
        <v>45</v>
      </c>
      <c r="K95" s="4">
        <v>43</v>
      </c>
      <c r="L95" s="4">
        <v>43</v>
      </c>
      <c r="M95" s="4">
        <v>41</v>
      </c>
      <c r="N95" s="4">
        <v>42</v>
      </c>
      <c r="O95" s="4">
        <v>41</v>
      </c>
      <c r="P95" s="4">
        <v>40</v>
      </c>
      <c r="Q95" s="4">
        <v>38</v>
      </c>
      <c r="R95" s="4">
        <v>39</v>
      </c>
      <c r="S95" s="4">
        <v>37</v>
      </c>
      <c r="T95" s="4">
        <v>37</v>
      </c>
      <c r="U95" s="4">
        <v>36</v>
      </c>
    </row>
    <row r="96" spans="3:21" ht="12.75" customHeight="1">
      <c r="C96" s="24" t="s">
        <v>26</v>
      </c>
      <c r="D96" s="24" t="s">
        <v>235</v>
      </c>
      <c r="E96" s="4">
        <v>32</v>
      </c>
      <c r="F96" s="4">
        <v>32</v>
      </c>
      <c r="G96" s="4">
        <v>31</v>
      </c>
      <c r="H96" s="4">
        <v>32</v>
      </c>
      <c r="I96" s="4">
        <v>32</v>
      </c>
      <c r="J96" s="4">
        <v>31</v>
      </c>
      <c r="K96" s="4">
        <v>30</v>
      </c>
      <c r="L96" s="4">
        <v>29</v>
      </c>
      <c r="M96" s="4">
        <v>31</v>
      </c>
      <c r="N96" s="4">
        <v>30</v>
      </c>
      <c r="O96" s="4">
        <v>29</v>
      </c>
      <c r="P96" s="4">
        <v>30</v>
      </c>
      <c r="Q96" s="4">
        <v>29</v>
      </c>
      <c r="R96" s="4">
        <v>27</v>
      </c>
      <c r="S96" s="4">
        <v>29</v>
      </c>
      <c r="T96" s="4">
        <v>29</v>
      </c>
      <c r="U96" s="4">
        <v>29</v>
      </c>
    </row>
    <row r="97" spans="3:21" ht="12.75" customHeight="1">
      <c r="C97" s="24" t="s">
        <v>177</v>
      </c>
      <c r="D97" s="24" t="s">
        <v>174</v>
      </c>
      <c r="E97" s="4">
        <v>143</v>
      </c>
      <c r="F97" s="4">
        <v>143</v>
      </c>
      <c r="G97" s="4">
        <v>144</v>
      </c>
      <c r="H97" s="4">
        <v>145</v>
      </c>
      <c r="I97" s="4">
        <v>147</v>
      </c>
      <c r="J97" s="4">
        <v>146</v>
      </c>
      <c r="K97" s="4">
        <v>147</v>
      </c>
      <c r="L97" s="4">
        <v>145</v>
      </c>
      <c r="M97" s="4">
        <v>145</v>
      </c>
      <c r="N97" s="4">
        <v>148</v>
      </c>
      <c r="O97" s="4">
        <v>145</v>
      </c>
      <c r="P97" s="4">
        <v>146</v>
      </c>
      <c r="Q97" s="4">
        <v>147</v>
      </c>
      <c r="R97" s="4">
        <v>145</v>
      </c>
      <c r="S97" s="4">
        <v>145</v>
      </c>
      <c r="T97" s="4">
        <v>145</v>
      </c>
      <c r="U97" s="4">
        <v>144</v>
      </c>
    </row>
    <row r="98" spans="3:21" ht="12.75" customHeight="1">
      <c r="C98" s="24" t="s">
        <v>118</v>
      </c>
      <c r="D98" s="24" t="s">
        <v>76</v>
      </c>
      <c r="E98" s="4">
        <v>3</v>
      </c>
      <c r="F98" s="4">
        <v>3</v>
      </c>
      <c r="G98" s="4">
        <v>3</v>
      </c>
      <c r="H98" s="4">
        <v>3</v>
      </c>
      <c r="I98" s="4">
        <v>3</v>
      </c>
      <c r="J98" s="4">
        <v>2</v>
      </c>
      <c r="K98" s="4">
        <v>2</v>
      </c>
      <c r="L98" s="4">
        <v>2</v>
      </c>
      <c r="M98" s="4">
        <v>2</v>
      </c>
      <c r="N98" s="4">
        <v>3</v>
      </c>
      <c r="O98" s="4">
        <v>5</v>
      </c>
      <c r="P98" s="4">
        <v>5</v>
      </c>
      <c r="Q98" s="4">
        <v>4</v>
      </c>
      <c r="R98" s="4">
        <v>5</v>
      </c>
      <c r="S98" s="4">
        <v>10</v>
      </c>
      <c r="T98" s="4">
        <v>10</v>
      </c>
      <c r="U98" s="4">
        <v>10</v>
      </c>
    </row>
    <row r="99" spans="3:21" ht="12.75" customHeight="1">
      <c r="C99" s="24" t="s">
        <v>384</v>
      </c>
      <c r="D99" s="24" t="s">
        <v>183</v>
      </c>
      <c r="E99" s="4">
        <v>24</v>
      </c>
      <c r="F99" s="4">
        <v>24</v>
      </c>
      <c r="G99" s="4">
        <v>32</v>
      </c>
      <c r="H99" s="4">
        <v>35</v>
      </c>
      <c r="I99" s="4">
        <v>39</v>
      </c>
      <c r="J99" s="4">
        <v>43</v>
      </c>
      <c r="K99" s="4">
        <v>46</v>
      </c>
      <c r="L99" s="4">
        <v>51</v>
      </c>
      <c r="M99" s="4">
        <v>54</v>
      </c>
      <c r="N99" s="4">
        <v>56</v>
      </c>
      <c r="O99" s="4">
        <v>59</v>
      </c>
      <c r="P99" s="4">
        <v>62</v>
      </c>
      <c r="Q99" s="4">
        <v>66</v>
      </c>
      <c r="R99" s="4">
        <v>68</v>
      </c>
      <c r="S99" s="4">
        <v>71</v>
      </c>
      <c r="T99" s="4">
        <v>76</v>
      </c>
      <c r="U99" s="4">
        <v>79</v>
      </c>
    </row>
    <row r="100" spans="3:21" ht="12.75" customHeight="1">
      <c r="C100" s="24" t="s">
        <v>135</v>
      </c>
      <c r="D100" s="24" t="s">
        <v>199</v>
      </c>
      <c r="E100" s="4">
        <v>133</v>
      </c>
      <c r="F100" s="4">
        <v>134</v>
      </c>
      <c r="G100" s="4">
        <v>138</v>
      </c>
      <c r="H100" s="4">
        <v>138</v>
      </c>
      <c r="I100" s="4">
        <v>135</v>
      </c>
      <c r="J100" s="4">
        <v>136</v>
      </c>
      <c r="K100" s="4">
        <v>134</v>
      </c>
      <c r="L100" s="4">
        <v>137</v>
      </c>
      <c r="M100" s="4">
        <v>134</v>
      </c>
      <c r="N100" s="4">
        <v>136</v>
      </c>
      <c r="O100" s="4">
        <v>136</v>
      </c>
      <c r="P100" s="4">
        <v>134</v>
      </c>
      <c r="Q100" s="4">
        <v>135</v>
      </c>
      <c r="R100" s="4">
        <v>135</v>
      </c>
      <c r="S100" s="4">
        <v>132</v>
      </c>
      <c r="T100" s="4">
        <v>130</v>
      </c>
      <c r="U100" s="4">
        <v>129</v>
      </c>
    </row>
    <row r="101" spans="3:21" ht="12.75" customHeight="1">
      <c r="C101" s="24" t="s">
        <v>345</v>
      </c>
      <c r="D101" s="24" t="s">
        <v>200</v>
      </c>
      <c r="E101" s="4">
        <v>169</v>
      </c>
      <c r="F101" s="4">
        <v>169</v>
      </c>
      <c r="G101" s="4">
        <v>169</v>
      </c>
      <c r="H101" s="4">
        <v>171</v>
      </c>
      <c r="I101" s="4">
        <v>172</v>
      </c>
      <c r="J101" s="4">
        <v>172</v>
      </c>
      <c r="K101" s="4">
        <v>171</v>
      </c>
      <c r="L101" s="4">
        <v>171</v>
      </c>
      <c r="M101" s="4">
        <v>171</v>
      </c>
      <c r="N101" s="4">
        <v>169</v>
      </c>
      <c r="O101" s="4">
        <v>169</v>
      </c>
      <c r="P101" s="4">
        <v>168</v>
      </c>
      <c r="Q101" s="4">
        <v>167</v>
      </c>
      <c r="R101" s="4">
        <v>164</v>
      </c>
      <c r="S101" s="4">
        <v>164</v>
      </c>
      <c r="T101" s="4">
        <v>164</v>
      </c>
      <c r="U101" s="4">
        <v>164</v>
      </c>
    </row>
    <row r="102" spans="3:21" ht="12.75" customHeight="1">
      <c r="C102" s="24" t="s">
        <v>139</v>
      </c>
      <c r="D102" s="24" t="s">
        <v>253</v>
      </c>
      <c r="E102" s="4">
        <v>71</v>
      </c>
      <c r="F102" s="4">
        <v>72</v>
      </c>
      <c r="G102" s="4">
        <v>72</v>
      </c>
      <c r="H102" s="4">
        <v>72</v>
      </c>
      <c r="I102" s="4">
        <v>73</v>
      </c>
      <c r="J102" s="4">
        <v>73</v>
      </c>
      <c r="K102" s="4">
        <v>75</v>
      </c>
      <c r="L102" s="4">
        <v>75</v>
      </c>
      <c r="M102" s="4">
        <v>74</v>
      </c>
      <c r="N102" s="4">
        <v>73</v>
      </c>
      <c r="O102" s="4">
        <v>74</v>
      </c>
      <c r="P102" s="4">
        <v>73</v>
      </c>
      <c r="Q102" s="4">
        <v>75</v>
      </c>
      <c r="R102" s="4">
        <v>74</v>
      </c>
      <c r="S102" s="4">
        <v>75</v>
      </c>
      <c r="T102" s="4">
        <v>74</v>
      </c>
      <c r="U102" s="4">
        <v>74</v>
      </c>
    </row>
    <row r="103" spans="3:21" ht="12.75" customHeight="1">
      <c r="C103" s="24" t="s">
        <v>141</v>
      </c>
      <c r="D103" s="24" t="s">
        <v>77</v>
      </c>
      <c r="E103" s="4" t="e">
        <v>#N/A</v>
      </c>
      <c r="F103" s="4" t="e">
        <v>#N/A</v>
      </c>
      <c r="G103" s="4" t="e">
        <v>#N/A</v>
      </c>
      <c r="H103" s="4" t="e">
        <v>#N/A</v>
      </c>
      <c r="I103" s="4" t="e">
        <v>#N/A</v>
      </c>
      <c r="J103" s="4" t="e">
        <v>#N/A</v>
      </c>
      <c r="K103" s="4" t="e">
        <v>#N/A</v>
      </c>
      <c r="L103" s="4" t="e">
        <v>#N/A</v>
      </c>
      <c r="M103" s="4" t="e">
        <v>#N/A</v>
      </c>
      <c r="N103" s="4" t="e">
        <v>#N/A</v>
      </c>
      <c r="O103" s="4" t="e">
        <v>#N/A</v>
      </c>
      <c r="P103" s="4" t="e">
        <v>#N/A</v>
      </c>
      <c r="Q103" s="4" t="e">
        <v>#N/A</v>
      </c>
      <c r="R103" s="4" t="e">
        <v>#N/A</v>
      </c>
      <c r="S103" s="4" t="e">
        <v>#N/A</v>
      </c>
      <c r="T103" s="4" t="e">
        <v>#N/A</v>
      </c>
      <c r="U103" s="4" t="e">
        <v>#N/A</v>
      </c>
    </row>
    <row r="104" spans="3:21" ht="12.75" customHeight="1">
      <c r="C104" s="24" t="s">
        <v>201</v>
      </c>
      <c r="D104" s="24" t="s">
        <v>21</v>
      </c>
      <c r="E104" s="4">
        <v>113</v>
      </c>
      <c r="F104" s="4">
        <v>114</v>
      </c>
      <c r="G104" s="4">
        <v>113</v>
      </c>
      <c r="H104" s="4">
        <v>114</v>
      </c>
      <c r="I104" s="4">
        <v>116</v>
      </c>
      <c r="J104" s="4">
        <v>116</v>
      </c>
      <c r="K104" s="4">
        <v>112</v>
      </c>
      <c r="L104" s="4">
        <v>112</v>
      </c>
      <c r="M104" s="4">
        <v>114</v>
      </c>
      <c r="N104" s="4">
        <v>113</v>
      </c>
      <c r="O104" s="4">
        <v>113</v>
      </c>
      <c r="P104" s="4">
        <v>113</v>
      </c>
      <c r="Q104" s="4">
        <v>112</v>
      </c>
      <c r="R104" s="4">
        <v>111</v>
      </c>
      <c r="S104" s="4">
        <v>109</v>
      </c>
      <c r="T104" s="4">
        <v>110</v>
      </c>
      <c r="U104" s="4">
        <v>110</v>
      </c>
    </row>
    <row r="105" spans="3:21" ht="12.75" customHeight="1">
      <c r="C105" s="24" t="s">
        <v>391</v>
      </c>
      <c r="D105" s="24" t="s">
        <v>389</v>
      </c>
      <c r="E105" s="4">
        <v>15</v>
      </c>
      <c r="F105" s="4">
        <v>3</v>
      </c>
      <c r="G105" s="4">
        <v>16</v>
      </c>
      <c r="H105" s="4">
        <v>3</v>
      </c>
      <c r="I105" s="4">
        <v>3</v>
      </c>
      <c r="J105" s="4">
        <v>2</v>
      </c>
      <c r="K105" s="4">
        <v>2</v>
      </c>
      <c r="L105" s="4">
        <v>2</v>
      </c>
      <c r="M105" s="4">
        <v>2</v>
      </c>
      <c r="N105" s="4">
        <v>3</v>
      </c>
      <c r="O105" s="4">
        <v>3</v>
      </c>
      <c r="P105" s="4">
        <v>4</v>
      </c>
      <c r="Q105" s="4">
        <v>3</v>
      </c>
      <c r="R105" s="4">
        <v>3</v>
      </c>
      <c r="S105" s="4">
        <v>8</v>
      </c>
      <c r="T105" s="4">
        <v>9</v>
      </c>
      <c r="U105" s="4">
        <v>9</v>
      </c>
    </row>
    <row r="106" spans="3:21" ht="12.75" customHeight="1">
      <c r="C106" s="24" t="s">
        <v>381</v>
      </c>
      <c r="D106" s="24" t="s">
        <v>280</v>
      </c>
      <c r="E106" s="4">
        <v>150</v>
      </c>
      <c r="F106" s="4">
        <v>151</v>
      </c>
      <c r="G106" s="4">
        <v>154</v>
      </c>
      <c r="H106" s="4">
        <v>154</v>
      </c>
      <c r="I106" s="4">
        <v>155</v>
      </c>
      <c r="J106" s="4">
        <v>154</v>
      </c>
      <c r="K106" s="4">
        <v>155</v>
      </c>
      <c r="L106" s="4">
        <v>154</v>
      </c>
      <c r="M106" s="4">
        <v>152</v>
      </c>
      <c r="N106" s="4">
        <v>152</v>
      </c>
      <c r="O106" s="4">
        <v>151</v>
      </c>
      <c r="P106" s="4">
        <v>151</v>
      </c>
      <c r="Q106" s="4">
        <v>151</v>
      </c>
      <c r="R106" s="4">
        <v>151</v>
      </c>
      <c r="S106" s="4">
        <v>151</v>
      </c>
      <c r="T106" s="4">
        <v>151</v>
      </c>
      <c r="U106" s="4">
        <v>150</v>
      </c>
    </row>
    <row r="107" spans="3:21" ht="12.75" customHeight="1">
      <c r="C107" s="24" t="s">
        <v>101</v>
      </c>
      <c r="D107" s="24" t="s">
        <v>92</v>
      </c>
      <c r="E107" s="4">
        <v>73</v>
      </c>
      <c r="F107" s="4">
        <v>75</v>
      </c>
      <c r="G107" s="4">
        <v>76</v>
      </c>
      <c r="H107" s="4">
        <v>79</v>
      </c>
      <c r="I107" s="4">
        <v>80</v>
      </c>
      <c r="J107" s="4">
        <v>84</v>
      </c>
      <c r="K107" s="4">
        <v>88</v>
      </c>
      <c r="L107" s="4">
        <v>88</v>
      </c>
      <c r="M107" s="4">
        <v>87</v>
      </c>
      <c r="N107" s="4">
        <v>90</v>
      </c>
      <c r="O107" s="4">
        <v>93</v>
      </c>
      <c r="P107" s="4">
        <v>95</v>
      </c>
      <c r="Q107" s="4">
        <v>96</v>
      </c>
      <c r="R107" s="4">
        <v>99</v>
      </c>
      <c r="S107" s="4">
        <v>103</v>
      </c>
      <c r="T107" s="4">
        <v>105</v>
      </c>
      <c r="U107" s="4">
        <v>105</v>
      </c>
    </row>
    <row r="108" spans="3:21" ht="12.75" customHeight="1">
      <c r="C108" s="24" t="s">
        <v>292</v>
      </c>
      <c r="D108" s="24" t="s">
        <v>263</v>
      </c>
      <c r="E108" s="4">
        <v>53</v>
      </c>
      <c r="F108" s="4">
        <v>54</v>
      </c>
      <c r="G108" s="4">
        <v>54</v>
      </c>
      <c r="H108" s="4">
        <v>52</v>
      </c>
      <c r="I108" s="4">
        <v>53</v>
      </c>
      <c r="J108" s="4">
        <v>51</v>
      </c>
      <c r="K108" s="4">
        <v>48</v>
      </c>
      <c r="L108" s="4">
        <v>46</v>
      </c>
      <c r="M108" s="4">
        <v>46</v>
      </c>
      <c r="N108" s="4">
        <v>44</v>
      </c>
      <c r="O108" s="4">
        <v>45</v>
      </c>
      <c r="P108" s="4">
        <v>43</v>
      </c>
      <c r="Q108" s="4">
        <v>43</v>
      </c>
      <c r="R108" s="4">
        <v>43</v>
      </c>
      <c r="S108" s="4">
        <v>43</v>
      </c>
      <c r="T108" s="4">
        <v>40</v>
      </c>
      <c r="U108" s="4">
        <v>38</v>
      </c>
    </row>
    <row r="109" spans="3:21" ht="12.75" customHeight="1">
      <c r="C109" s="24" t="s">
        <v>41</v>
      </c>
      <c r="D109" s="24" t="s">
        <v>107</v>
      </c>
      <c r="E109" s="4">
        <v>1</v>
      </c>
      <c r="F109" s="4">
        <v>1</v>
      </c>
      <c r="G109" s="4">
        <v>1</v>
      </c>
      <c r="H109" s="4">
        <v>1</v>
      </c>
      <c r="I109" s="4">
        <v>1</v>
      </c>
      <c r="J109" s="4">
        <v>1</v>
      </c>
      <c r="K109" s="4">
        <v>1</v>
      </c>
      <c r="L109" s="4">
        <v>1</v>
      </c>
      <c r="M109" s="4">
        <v>1</v>
      </c>
      <c r="N109" s="4">
        <v>1</v>
      </c>
      <c r="O109" s="4">
        <v>5</v>
      </c>
      <c r="P109" s="4">
        <v>24</v>
      </c>
      <c r="Q109" s="4">
        <v>26</v>
      </c>
      <c r="R109" s="4">
        <v>29</v>
      </c>
      <c r="S109" s="4">
        <v>33</v>
      </c>
      <c r="T109" s="4">
        <v>43</v>
      </c>
      <c r="U109" s="4">
        <v>48</v>
      </c>
    </row>
    <row r="110" spans="3:21" ht="12.75" customHeight="1">
      <c r="C110" s="24" t="s">
        <v>98</v>
      </c>
      <c r="D110" s="24" t="s">
        <v>33</v>
      </c>
      <c r="E110" s="4">
        <v>148</v>
      </c>
      <c r="F110" s="4">
        <v>147</v>
      </c>
      <c r="G110" s="4">
        <v>147</v>
      </c>
      <c r="H110" s="4">
        <v>150</v>
      </c>
      <c r="I110" s="4">
        <v>152</v>
      </c>
      <c r="J110" s="4">
        <v>150</v>
      </c>
      <c r="K110" s="4">
        <v>143</v>
      </c>
      <c r="L110" s="4">
        <v>143</v>
      </c>
      <c r="M110" s="4">
        <v>140</v>
      </c>
      <c r="N110" s="4">
        <v>138</v>
      </c>
      <c r="O110" s="4">
        <v>135</v>
      </c>
      <c r="P110" s="4">
        <v>135</v>
      </c>
      <c r="Q110" s="4">
        <v>133</v>
      </c>
      <c r="R110" s="4">
        <v>131</v>
      </c>
      <c r="S110" s="4">
        <v>126</v>
      </c>
      <c r="T110" s="4">
        <v>124</v>
      </c>
      <c r="U110" s="4">
        <v>121</v>
      </c>
    </row>
    <row r="111" spans="3:21" ht="12.75" customHeight="1">
      <c r="C111" s="24" t="s">
        <v>208</v>
      </c>
      <c r="D111" s="24" t="s">
        <v>278</v>
      </c>
      <c r="E111" s="4">
        <v>24</v>
      </c>
      <c r="F111" s="4">
        <v>24</v>
      </c>
      <c r="G111" s="4">
        <v>24</v>
      </c>
      <c r="H111" s="4">
        <v>28</v>
      </c>
      <c r="I111" s="4">
        <v>29</v>
      </c>
      <c r="J111" s="4">
        <v>34</v>
      </c>
      <c r="K111" s="4">
        <v>34</v>
      </c>
      <c r="L111" s="4">
        <v>31</v>
      </c>
      <c r="M111" s="4">
        <v>34</v>
      </c>
      <c r="N111" s="4">
        <v>34</v>
      </c>
      <c r="O111" s="4">
        <v>36</v>
      </c>
      <c r="P111" s="4">
        <v>37</v>
      </c>
      <c r="Q111" s="4">
        <v>39</v>
      </c>
      <c r="R111" s="4">
        <v>35</v>
      </c>
      <c r="S111" s="4">
        <v>44</v>
      </c>
      <c r="T111" s="4">
        <v>44</v>
      </c>
      <c r="U111" s="4">
        <v>47</v>
      </c>
    </row>
    <row r="112" spans="3:21" ht="12.75" customHeight="1">
      <c r="C112" s="24" t="s">
        <v>217</v>
      </c>
      <c r="D112" s="24" t="s">
        <v>269</v>
      </c>
      <c r="E112" s="4" t="e">
        <v>#N/A</v>
      </c>
      <c r="F112" s="4" t="e">
        <v>#N/A</v>
      </c>
      <c r="G112" s="4" t="e">
        <v>#N/A</v>
      </c>
      <c r="H112" s="4" t="e">
        <v>#N/A</v>
      </c>
      <c r="I112" s="4" t="e">
        <v>#N/A</v>
      </c>
      <c r="J112" s="4" t="e">
        <v>#N/A</v>
      </c>
      <c r="K112" s="4" t="e">
        <v>#N/A</v>
      </c>
      <c r="L112" s="4" t="e">
        <v>#N/A</v>
      </c>
      <c r="M112" s="4" t="e">
        <v>#N/A</v>
      </c>
      <c r="N112" s="4" t="e">
        <v>#N/A</v>
      </c>
      <c r="O112" s="4" t="e">
        <v>#N/A</v>
      </c>
      <c r="P112" s="4" t="e">
        <v>#N/A</v>
      </c>
      <c r="Q112" s="4" t="e">
        <v>#N/A</v>
      </c>
      <c r="R112" s="4" t="e">
        <v>#N/A</v>
      </c>
      <c r="S112" s="4" t="e">
        <v>#N/A</v>
      </c>
      <c r="T112" s="4" t="e">
        <v>#N/A</v>
      </c>
      <c r="U112" s="4" t="e">
        <v>#N/A</v>
      </c>
    </row>
    <row r="113" spans="3:21" ht="12.75" customHeight="1">
      <c r="C113" s="24" t="s">
        <v>275</v>
      </c>
      <c r="D113" s="24" t="s">
        <v>194</v>
      </c>
      <c r="E113" s="4">
        <v>81</v>
      </c>
      <c r="F113" s="4">
        <v>86</v>
      </c>
      <c r="G113" s="4">
        <v>88</v>
      </c>
      <c r="H113" s="4">
        <v>91</v>
      </c>
      <c r="I113" s="4">
        <v>91</v>
      </c>
      <c r="J113" s="4">
        <v>92</v>
      </c>
      <c r="K113" s="4">
        <v>95</v>
      </c>
      <c r="L113" s="4">
        <v>99</v>
      </c>
      <c r="M113" s="4">
        <v>102</v>
      </c>
      <c r="N113" s="4">
        <v>105</v>
      </c>
      <c r="O113" s="4">
        <v>109</v>
      </c>
      <c r="P113" s="4">
        <v>115</v>
      </c>
      <c r="Q113" s="4">
        <v>116</v>
      </c>
      <c r="R113" s="4">
        <v>122</v>
      </c>
      <c r="S113" s="4">
        <v>125</v>
      </c>
      <c r="T113" s="4">
        <v>128</v>
      </c>
      <c r="U113" s="4">
        <v>133</v>
      </c>
    </row>
    <row r="114" spans="3:21" ht="12.75" customHeight="1">
      <c r="C114" s="24" t="s">
        <v>370</v>
      </c>
      <c r="D114" s="24" t="s">
        <v>114</v>
      </c>
      <c r="E114" s="4">
        <v>29</v>
      </c>
      <c r="F114" s="4">
        <v>24</v>
      </c>
      <c r="G114" s="4">
        <v>24</v>
      </c>
      <c r="H114" s="4">
        <v>26</v>
      </c>
      <c r="I114" s="4">
        <v>24</v>
      </c>
      <c r="J114" s="4">
        <v>22</v>
      </c>
      <c r="K114" s="4">
        <v>22</v>
      </c>
      <c r="L114" s="4">
        <v>22</v>
      </c>
      <c r="M114" s="4">
        <v>2</v>
      </c>
      <c r="N114" s="4">
        <v>3</v>
      </c>
      <c r="O114" s="4">
        <v>5</v>
      </c>
      <c r="P114" s="4">
        <v>22</v>
      </c>
      <c r="Q114" s="4">
        <v>22</v>
      </c>
      <c r="R114" s="4">
        <v>22</v>
      </c>
      <c r="S114" s="4">
        <v>9</v>
      </c>
      <c r="T114" s="4">
        <v>8</v>
      </c>
      <c r="U114" s="4">
        <v>7</v>
      </c>
    </row>
    <row r="115" spans="3:21" ht="12.75" customHeight="1">
      <c r="C115" s="24" t="s">
        <v>321</v>
      </c>
      <c r="D115" s="24" t="s">
        <v>333</v>
      </c>
      <c r="E115" s="4">
        <v>107</v>
      </c>
      <c r="F115" s="4">
        <v>105</v>
      </c>
      <c r="G115" s="4">
        <v>108</v>
      </c>
      <c r="H115" s="4">
        <v>102</v>
      </c>
      <c r="I115" s="4">
        <v>106</v>
      </c>
      <c r="J115" s="4">
        <v>106</v>
      </c>
      <c r="K115" s="4">
        <v>106</v>
      </c>
      <c r="L115" s="4">
        <v>104</v>
      </c>
      <c r="M115" s="4">
        <v>99</v>
      </c>
      <c r="N115" s="4">
        <v>100</v>
      </c>
      <c r="O115" s="4">
        <v>100</v>
      </c>
      <c r="P115" s="4">
        <v>104</v>
      </c>
      <c r="Q115" s="4">
        <v>104</v>
      </c>
      <c r="R115" s="4">
        <v>104</v>
      </c>
      <c r="S115" s="4">
        <v>104</v>
      </c>
      <c r="T115" s="4">
        <v>102</v>
      </c>
      <c r="U115" s="4">
        <v>101</v>
      </c>
    </row>
    <row r="116" spans="3:21" ht="12.75" customHeight="1">
      <c r="C116" s="24" t="s">
        <v>83</v>
      </c>
      <c r="D116" s="24" t="s">
        <v>192</v>
      </c>
      <c r="E116" s="4">
        <v>135</v>
      </c>
      <c r="F116" s="4">
        <v>135</v>
      </c>
      <c r="G116" s="4">
        <v>135</v>
      </c>
      <c r="H116" s="4">
        <v>137</v>
      </c>
      <c r="I116" s="4">
        <v>137</v>
      </c>
      <c r="J116" s="4">
        <v>137</v>
      </c>
      <c r="K116" s="4">
        <v>135</v>
      </c>
      <c r="L116" s="4">
        <v>138</v>
      </c>
      <c r="M116" s="4">
        <v>139</v>
      </c>
      <c r="N116" s="4">
        <v>140</v>
      </c>
      <c r="O116" s="4">
        <v>138</v>
      </c>
      <c r="P116" s="4">
        <v>138</v>
      </c>
      <c r="Q116" s="4">
        <v>137</v>
      </c>
      <c r="R116" s="4">
        <v>138</v>
      </c>
      <c r="S116" s="4">
        <v>136</v>
      </c>
      <c r="T116" s="4">
        <v>136</v>
      </c>
      <c r="U116" s="4">
        <v>135</v>
      </c>
    </row>
    <row r="117" spans="3:21" ht="12.75" customHeight="1">
      <c r="C117" s="24" t="s">
        <v>170</v>
      </c>
      <c r="D117" s="24" t="s">
        <v>293</v>
      </c>
      <c r="E117" s="4">
        <v>35</v>
      </c>
      <c r="F117" s="4">
        <v>36</v>
      </c>
      <c r="G117" s="4">
        <v>36</v>
      </c>
      <c r="H117" s="4">
        <v>37</v>
      </c>
      <c r="I117" s="4">
        <v>36</v>
      </c>
      <c r="J117" s="4">
        <v>37</v>
      </c>
      <c r="K117" s="4">
        <v>38</v>
      </c>
      <c r="L117" s="4">
        <v>38</v>
      </c>
      <c r="M117" s="4">
        <v>38</v>
      </c>
      <c r="N117" s="4">
        <v>40</v>
      </c>
      <c r="O117" s="4">
        <v>39</v>
      </c>
      <c r="P117" s="4">
        <v>39</v>
      </c>
      <c r="Q117" s="4">
        <v>40</v>
      </c>
      <c r="R117" s="4">
        <v>41</v>
      </c>
      <c r="S117" s="4">
        <v>42</v>
      </c>
      <c r="T117" s="4">
        <v>42</v>
      </c>
      <c r="U117" s="4">
        <v>42</v>
      </c>
    </row>
    <row r="118" spans="3:21" ht="12.75" customHeight="1">
      <c r="C118" s="24" t="s">
        <v>106</v>
      </c>
      <c r="D118" s="24" t="s">
        <v>237</v>
      </c>
      <c r="E118" s="4">
        <v>3</v>
      </c>
      <c r="F118" s="4">
        <v>3</v>
      </c>
      <c r="G118" s="4">
        <v>3</v>
      </c>
      <c r="H118" s="4">
        <v>3</v>
      </c>
      <c r="I118" s="4">
        <v>3</v>
      </c>
      <c r="J118" s="4">
        <v>2</v>
      </c>
      <c r="K118" s="4">
        <v>2</v>
      </c>
      <c r="L118" s="4">
        <v>2</v>
      </c>
      <c r="M118" s="4">
        <v>2</v>
      </c>
      <c r="N118" s="4">
        <v>3</v>
      </c>
      <c r="O118" s="4">
        <v>5</v>
      </c>
      <c r="P118" s="4">
        <v>5</v>
      </c>
      <c r="Q118" s="4">
        <v>4</v>
      </c>
      <c r="R118" s="4">
        <v>5</v>
      </c>
      <c r="S118" s="4">
        <v>10</v>
      </c>
      <c r="T118" s="4">
        <v>10</v>
      </c>
      <c r="U118" s="4">
        <v>10</v>
      </c>
    </row>
    <row r="119" spans="3:21" ht="12.75" customHeight="1">
      <c r="C119" s="24" t="s">
        <v>146</v>
      </c>
      <c r="D119" s="24" t="s">
        <v>112</v>
      </c>
      <c r="E119" s="4">
        <v>62</v>
      </c>
      <c r="F119" s="4">
        <v>63</v>
      </c>
      <c r="G119" s="4">
        <v>64</v>
      </c>
      <c r="H119" s="4">
        <v>64</v>
      </c>
      <c r="I119" s="4">
        <v>65</v>
      </c>
      <c r="J119" s="4">
        <v>71</v>
      </c>
      <c r="K119" s="4">
        <v>71</v>
      </c>
      <c r="L119" s="4">
        <v>72</v>
      </c>
      <c r="M119" s="4">
        <v>79</v>
      </c>
      <c r="N119" s="4">
        <v>78</v>
      </c>
      <c r="O119" s="4">
        <v>76</v>
      </c>
      <c r="P119" s="4">
        <v>76</v>
      </c>
      <c r="Q119" s="4">
        <v>76</v>
      </c>
      <c r="R119" s="4">
        <v>76</v>
      </c>
      <c r="S119" s="4">
        <v>79</v>
      </c>
      <c r="T119" s="4">
        <v>81</v>
      </c>
      <c r="U119" s="4">
        <v>83</v>
      </c>
    </row>
    <row r="120" spans="3:21" ht="12.75" customHeight="1">
      <c r="C120" s="24" t="s">
        <v>227</v>
      </c>
      <c r="D120" s="24" t="s">
        <v>348</v>
      </c>
      <c r="E120" s="4">
        <v>173</v>
      </c>
      <c r="F120" s="4">
        <v>173</v>
      </c>
      <c r="G120" s="4">
        <v>175</v>
      </c>
      <c r="H120" s="4">
        <v>175</v>
      </c>
      <c r="I120" s="4">
        <v>174</v>
      </c>
      <c r="J120" s="4">
        <v>174</v>
      </c>
      <c r="K120" s="4">
        <v>174</v>
      </c>
      <c r="L120" s="4">
        <v>175</v>
      </c>
      <c r="M120" s="4">
        <v>175</v>
      </c>
      <c r="N120" s="4">
        <v>174</v>
      </c>
      <c r="O120" s="4">
        <v>174</v>
      </c>
      <c r="P120" s="4">
        <v>172</v>
      </c>
      <c r="Q120" s="4">
        <v>171</v>
      </c>
      <c r="R120" s="4">
        <v>171</v>
      </c>
      <c r="S120" s="4">
        <v>171</v>
      </c>
      <c r="T120" s="4">
        <v>169</v>
      </c>
      <c r="U120" s="4">
        <v>169</v>
      </c>
    </row>
    <row r="121" spans="3:21" ht="12.75" customHeight="1">
      <c r="C121" s="24" t="s">
        <v>190</v>
      </c>
      <c r="D121" s="24" t="s">
        <v>210</v>
      </c>
      <c r="E121" s="4" t="e">
        <v>#N/A</v>
      </c>
      <c r="F121" s="4" t="e">
        <v>#N/A</v>
      </c>
      <c r="G121" s="4" t="e">
        <v>#N/A</v>
      </c>
      <c r="H121" s="4" t="e">
        <v>#N/A</v>
      </c>
      <c r="I121" s="4" t="e">
        <v>#N/A</v>
      </c>
      <c r="J121" s="4" t="e">
        <v>#N/A</v>
      </c>
      <c r="K121" s="4" t="e">
        <v>#N/A</v>
      </c>
      <c r="L121" s="4" t="e">
        <v>#N/A</v>
      </c>
      <c r="M121" s="4" t="e">
        <v>#N/A</v>
      </c>
      <c r="N121" s="4" t="e">
        <v>#N/A</v>
      </c>
      <c r="O121" s="4" t="e">
        <v>#N/A</v>
      </c>
      <c r="P121" s="4" t="e">
        <v>#N/A</v>
      </c>
      <c r="Q121" s="4" t="e">
        <v>#N/A</v>
      </c>
      <c r="R121" s="4" t="e">
        <v>#N/A</v>
      </c>
      <c r="S121" s="4" t="e">
        <v>#N/A</v>
      </c>
      <c r="T121" s="4" t="e">
        <v>#N/A</v>
      </c>
      <c r="U121" s="4" t="e">
        <v>#N/A</v>
      </c>
    </row>
    <row r="122" spans="3:21" ht="12.75" customHeight="1">
      <c r="C122" s="24" t="s">
        <v>191</v>
      </c>
      <c r="D122" s="24" t="s">
        <v>242</v>
      </c>
      <c r="E122" s="4">
        <v>84</v>
      </c>
      <c r="F122" s="4">
        <v>83</v>
      </c>
      <c r="G122" s="4">
        <v>78</v>
      </c>
      <c r="H122" s="4">
        <v>77</v>
      </c>
      <c r="I122" s="4">
        <v>74</v>
      </c>
      <c r="J122" s="4">
        <v>75</v>
      </c>
      <c r="K122" s="4">
        <v>76</v>
      </c>
      <c r="L122" s="4">
        <v>76</v>
      </c>
      <c r="M122" s="4">
        <v>76</v>
      </c>
      <c r="N122" s="4">
        <v>74</v>
      </c>
      <c r="O122" s="4">
        <v>69</v>
      </c>
      <c r="P122" s="4">
        <v>69</v>
      </c>
      <c r="Q122" s="4">
        <v>67</v>
      </c>
      <c r="R122" s="4">
        <v>62</v>
      </c>
      <c r="S122" s="4">
        <v>66</v>
      </c>
      <c r="T122" s="4">
        <v>64</v>
      </c>
      <c r="U122" s="4">
        <v>61</v>
      </c>
    </row>
    <row r="123" spans="3:21" ht="12.75" customHeight="1">
      <c r="C123" s="24" t="s">
        <v>165</v>
      </c>
      <c r="D123" s="24" t="s">
        <v>173</v>
      </c>
      <c r="E123" s="4">
        <v>132</v>
      </c>
      <c r="F123" s="4">
        <v>132</v>
      </c>
      <c r="G123" s="4">
        <v>132</v>
      </c>
      <c r="H123" s="4">
        <v>134</v>
      </c>
      <c r="I123" s="4">
        <v>134</v>
      </c>
      <c r="J123" s="4">
        <v>133</v>
      </c>
      <c r="K123" s="4">
        <v>132</v>
      </c>
      <c r="L123" s="4">
        <v>131</v>
      </c>
      <c r="M123" s="4">
        <v>132</v>
      </c>
      <c r="N123" s="4">
        <v>131</v>
      </c>
      <c r="O123" s="4">
        <v>131</v>
      </c>
      <c r="P123" s="4">
        <v>131</v>
      </c>
      <c r="Q123" s="4">
        <v>131</v>
      </c>
      <c r="R123" s="4">
        <v>127</v>
      </c>
      <c r="S123" s="4">
        <v>127</v>
      </c>
      <c r="T123" s="4">
        <v>126</v>
      </c>
      <c r="U123" s="4">
        <v>125</v>
      </c>
    </row>
    <row r="124" spans="3:21" ht="12.75" customHeight="1">
      <c r="C124" s="24" t="s">
        <v>180</v>
      </c>
      <c r="D124" s="24" t="s">
        <v>307</v>
      </c>
      <c r="E124" s="4">
        <v>147</v>
      </c>
      <c r="F124" s="4">
        <v>146</v>
      </c>
      <c r="G124" s="4">
        <v>151</v>
      </c>
      <c r="H124" s="4">
        <v>152</v>
      </c>
      <c r="I124" s="4">
        <v>156</v>
      </c>
      <c r="J124" s="4">
        <v>156</v>
      </c>
      <c r="K124" s="4">
        <v>154</v>
      </c>
      <c r="L124" s="4">
        <v>153</v>
      </c>
      <c r="M124" s="4">
        <v>151</v>
      </c>
      <c r="N124" s="4">
        <v>153</v>
      </c>
      <c r="O124" s="4">
        <v>148</v>
      </c>
      <c r="P124" s="4">
        <v>153</v>
      </c>
      <c r="Q124" s="4">
        <v>153</v>
      </c>
      <c r="R124" s="4">
        <v>152</v>
      </c>
      <c r="S124" s="4">
        <v>152</v>
      </c>
      <c r="T124" s="4">
        <v>152</v>
      </c>
      <c r="U124" s="4">
        <v>153</v>
      </c>
    </row>
    <row r="125" spans="3:21" ht="12.75" customHeight="1">
      <c r="C125" s="24" t="s">
        <v>205</v>
      </c>
      <c r="D125" s="24" t="s">
        <v>357</v>
      </c>
      <c r="E125" s="4">
        <v>163</v>
      </c>
      <c r="F125" s="4">
        <v>153</v>
      </c>
      <c r="G125" s="4">
        <v>145</v>
      </c>
      <c r="H125" s="4">
        <v>146</v>
      </c>
      <c r="I125" s="4">
        <v>148</v>
      </c>
      <c r="J125" s="4">
        <v>148</v>
      </c>
      <c r="K125" s="4">
        <v>146</v>
      </c>
      <c r="L125" s="4">
        <v>150</v>
      </c>
      <c r="M125" s="4">
        <v>143</v>
      </c>
      <c r="N125" s="4">
        <v>142</v>
      </c>
      <c r="O125" s="4">
        <v>139</v>
      </c>
      <c r="P125" s="4">
        <v>139</v>
      </c>
      <c r="Q125" s="4">
        <v>138</v>
      </c>
      <c r="R125" s="4">
        <v>136</v>
      </c>
      <c r="S125" s="4">
        <v>135</v>
      </c>
      <c r="T125" s="4">
        <v>132</v>
      </c>
      <c r="U125" s="4">
        <v>130</v>
      </c>
    </row>
    <row r="126" spans="3:21" ht="12.75" customHeight="1">
      <c r="C126" s="24" t="s">
        <v>30</v>
      </c>
      <c r="D126" s="24" t="s">
        <v>137</v>
      </c>
      <c r="E126" s="4" t="e">
        <v>#N/A</v>
      </c>
      <c r="F126" s="4" t="e">
        <v>#N/A</v>
      </c>
      <c r="G126" s="4" t="e">
        <v>#N/A</v>
      </c>
      <c r="H126" s="4" t="e">
        <v>#N/A</v>
      </c>
      <c r="I126" s="4" t="e">
        <v>#N/A</v>
      </c>
      <c r="J126" s="4" t="e">
        <v>#N/A</v>
      </c>
      <c r="K126" s="4" t="e">
        <v>#N/A</v>
      </c>
      <c r="L126" s="4" t="e">
        <v>#N/A</v>
      </c>
      <c r="M126" s="4" t="e">
        <v>#N/A</v>
      </c>
      <c r="N126" s="4" t="e">
        <v>#N/A</v>
      </c>
      <c r="O126" s="4" t="e">
        <v>#N/A</v>
      </c>
      <c r="P126" s="4" t="e">
        <v>#N/A</v>
      </c>
      <c r="Q126" s="4" t="e">
        <v>#N/A</v>
      </c>
      <c r="R126" s="4" t="e">
        <v>#N/A</v>
      </c>
      <c r="S126" s="4" t="e">
        <v>#N/A</v>
      </c>
      <c r="T126" s="4" t="e">
        <v>#N/A</v>
      </c>
      <c r="U126" s="4" t="e">
        <v>#N/A</v>
      </c>
    </row>
    <row r="127" spans="3:21" ht="12.75" customHeight="1">
      <c r="C127" s="24" t="s">
        <v>361</v>
      </c>
      <c r="D127" s="24" t="s">
        <v>337</v>
      </c>
      <c r="E127" s="4">
        <v>95</v>
      </c>
      <c r="F127" s="4">
        <v>95</v>
      </c>
      <c r="G127" s="4">
        <v>92</v>
      </c>
      <c r="H127" s="4">
        <v>89</v>
      </c>
      <c r="I127" s="4">
        <v>85</v>
      </c>
      <c r="J127" s="4">
        <v>86</v>
      </c>
      <c r="K127" s="4">
        <v>83</v>
      </c>
      <c r="L127" s="4">
        <v>79</v>
      </c>
      <c r="M127" s="4">
        <v>77</v>
      </c>
      <c r="N127" s="4">
        <v>75</v>
      </c>
      <c r="O127" s="4">
        <v>75</v>
      </c>
      <c r="P127" s="4">
        <v>74</v>
      </c>
      <c r="Q127" s="4">
        <v>73</v>
      </c>
      <c r="R127" s="4">
        <v>70</v>
      </c>
      <c r="S127" s="4">
        <v>67</v>
      </c>
      <c r="T127" s="4">
        <v>67</v>
      </c>
      <c r="U127" s="4">
        <v>68</v>
      </c>
    </row>
    <row r="128" spans="3:21" ht="12.75" customHeight="1">
      <c r="C128" s="24" t="s">
        <v>212</v>
      </c>
      <c r="D128" s="24" t="s">
        <v>156</v>
      </c>
      <c r="E128" s="4">
        <v>33</v>
      </c>
      <c r="F128" s="4">
        <v>33</v>
      </c>
      <c r="G128" s="4">
        <v>33</v>
      </c>
      <c r="H128" s="4">
        <v>33</v>
      </c>
      <c r="I128" s="4">
        <v>33</v>
      </c>
      <c r="J128" s="4">
        <v>32</v>
      </c>
      <c r="K128" s="4">
        <v>32</v>
      </c>
      <c r="L128" s="4">
        <v>31</v>
      </c>
      <c r="M128" s="4">
        <v>32</v>
      </c>
      <c r="N128" s="4">
        <v>32</v>
      </c>
      <c r="O128" s="4">
        <v>31</v>
      </c>
      <c r="P128" s="4">
        <v>31</v>
      </c>
      <c r="Q128" s="4">
        <v>31</v>
      </c>
      <c r="R128" s="4">
        <v>31</v>
      </c>
      <c r="S128" s="4">
        <v>30</v>
      </c>
      <c r="T128" s="4">
        <v>31</v>
      </c>
      <c r="U128" s="4">
        <v>33</v>
      </c>
    </row>
    <row r="129" spans="3:21" ht="12.75" customHeight="1">
      <c r="C129" s="24" t="s">
        <v>270</v>
      </c>
      <c r="D129" s="24" t="s">
        <v>386</v>
      </c>
      <c r="E129" s="4">
        <v>68</v>
      </c>
      <c r="F129" s="4">
        <v>68</v>
      </c>
      <c r="G129" s="4">
        <v>67</v>
      </c>
      <c r="H129" s="4">
        <v>68</v>
      </c>
      <c r="I129" s="4">
        <v>67</v>
      </c>
      <c r="J129" s="4">
        <v>64</v>
      </c>
      <c r="K129" s="4">
        <v>66</v>
      </c>
      <c r="L129" s="4">
        <v>65</v>
      </c>
      <c r="M129" s="4">
        <v>65</v>
      </c>
      <c r="N129" s="4">
        <v>65</v>
      </c>
      <c r="O129" s="4">
        <v>66</v>
      </c>
      <c r="P129" s="4">
        <v>67</v>
      </c>
      <c r="Q129" s="4">
        <v>62</v>
      </c>
      <c r="R129" s="4">
        <v>64</v>
      </c>
      <c r="S129" s="4">
        <v>63</v>
      </c>
      <c r="T129" s="4">
        <v>62</v>
      </c>
      <c r="U129" s="4">
        <v>63</v>
      </c>
    </row>
    <row r="130" spans="3:21" ht="12.75" customHeight="1">
      <c r="C130" s="24" t="s">
        <v>117</v>
      </c>
      <c r="D130" s="24" t="s">
        <v>220</v>
      </c>
      <c r="E130" s="4">
        <v>155</v>
      </c>
      <c r="F130" s="4">
        <v>157</v>
      </c>
      <c r="G130" s="4">
        <v>155</v>
      </c>
      <c r="H130" s="4">
        <v>155</v>
      </c>
      <c r="I130" s="4">
        <v>157</v>
      </c>
      <c r="J130" s="4">
        <v>157</v>
      </c>
      <c r="K130" s="4">
        <v>156</v>
      </c>
      <c r="L130" s="4">
        <v>155</v>
      </c>
      <c r="M130" s="4">
        <v>154</v>
      </c>
      <c r="N130" s="4">
        <v>151</v>
      </c>
      <c r="O130" s="4">
        <v>149</v>
      </c>
      <c r="P130" s="4">
        <v>148</v>
      </c>
      <c r="Q130" s="4">
        <v>149</v>
      </c>
      <c r="R130" s="4">
        <v>149</v>
      </c>
      <c r="S130" s="4">
        <v>148</v>
      </c>
      <c r="T130" s="4">
        <v>146</v>
      </c>
      <c r="U130" s="4">
        <v>145</v>
      </c>
    </row>
    <row r="131" spans="3:21" ht="12.75" customHeight="1">
      <c r="C131" s="24" t="s">
        <v>125</v>
      </c>
      <c r="D131" s="24" t="s">
        <v>3</v>
      </c>
      <c r="E131" s="4">
        <v>108</v>
      </c>
      <c r="F131" s="4">
        <v>108</v>
      </c>
      <c r="G131" s="4">
        <v>112</v>
      </c>
      <c r="H131" s="4">
        <v>112</v>
      </c>
      <c r="I131" s="4">
        <v>117</v>
      </c>
      <c r="J131" s="4">
        <v>118</v>
      </c>
      <c r="K131" s="4">
        <v>118</v>
      </c>
      <c r="L131" s="4">
        <v>118</v>
      </c>
      <c r="M131" s="4">
        <v>118</v>
      </c>
      <c r="N131" s="4">
        <v>128</v>
      </c>
      <c r="O131" s="4">
        <v>128</v>
      </c>
      <c r="P131" s="4">
        <v>129</v>
      </c>
      <c r="Q131" s="4">
        <v>128</v>
      </c>
      <c r="R131" s="4">
        <v>128</v>
      </c>
      <c r="S131" s="4">
        <v>134</v>
      </c>
      <c r="T131" s="4">
        <v>135</v>
      </c>
      <c r="U131" s="4">
        <v>136</v>
      </c>
    </row>
    <row r="132" spans="3:21" ht="12.75" customHeight="1">
      <c r="C132" s="24" t="s">
        <v>163</v>
      </c>
      <c r="D132" s="24" t="s">
        <v>300</v>
      </c>
      <c r="E132" s="4">
        <v>131</v>
      </c>
      <c r="F132" s="4">
        <v>133</v>
      </c>
      <c r="G132" s="4">
        <v>133</v>
      </c>
      <c r="H132" s="4">
        <v>136</v>
      </c>
      <c r="I132" s="4">
        <v>138</v>
      </c>
      <c r="J132" s="4">
        <v>139</v>
      </c>
      <c r="K132" s="4">
        <v>140</v>
      </c>
      <c r="L132" s="4">
        <v>142</v>
      </c>
      <c r="M132" s="4">
        <v>142</v>
      </c>
      <c r="N132" s="4">
        <v>143</v>
      </c>
      <c r="O132" s="4">
        <v>143</v>
      </c>
      <c r="P132" s="4">
        <v>143</v>
      </c>
      <c r="Q132" s="4">
        <v>145</v>
      </c>
      <c r="R132" s="4">
        <v>147</v>
      </c>
      <c r="S132" s="4">
        <v>147</v>
      </c>
      <c r="T132" s="4">
        <v>147</v>
      </c>
      <c r="U132" s="4">
        <v>148</v>
      </c>
    </row>
    <row r="133" spans="3:21" ht="12.75" customHeight="1">
      <c r="C133" s="24" t="s">
        <v>91</v>
      </c>
      <c r="D133" s="24" t="s">
        <v>51</v>
      </c>
      <c r="E133" s="4">
        <v>55</v>
      </c>
      <c r="F133" s="4">
        <v>56</v>
      </c>
      <c r="G133" s="4">
        <v>55</v>
      </c>
      <c r="H133" s="4">
        <v>54</v>
      </c>
      <c r="I133" s="4">
        <v>52</v>
      </c>
      <c r="J133" s="4">
        <v>52</v>
      </c>
      <c r="K133" s="4">
        <v>50</v>
      </c>
      <c r="L133" s="4">
        <v>50</v>
      </c>
      <c r="M133" s="4">
        <v>50</v>
      </c>
      <c r="N133" s="4">
        <v>48</v>
      </c>
      <c r="O133" s="4">
        <v>48</v>
      </c>
      <c r="P133" s="4">
        <v>48</v>
      </c>
      <c r="Q133" s="4">
        <v>47</v>
      </c>
      <c r="R133" s="4">
        <v>49</v>
      </c>
      <c r="S133" s="4">
        <v>46</v>
      </c>
      <c r="T133" s="4">
        <v>45</v>
      </c>
      <c r="U133" s="4">
        <v>45</v>
      </c>
    </row>
    <row r="134" spans="3:21" ht="12.75" customHeight="1">
      <c r="C134" s="24" t="s">
        <v>181</v>
      </c>
      <c r="D134" s="24" t="s">
        <v>123</v>
      </c>
      <c r="E134" s="4">
        <v>126</v>
      </c>
      <c r="F134" s="4">
        <v>107</v>
      </c>
      <c r="G134" s="4">
        <v>107</v>
      </c>
      <c r="H134" s="4">
        <v>107</v>
      </c>
      <c r="I134" s="4">
        <v>110</v>
      </c>
      <c r="J134" s="4">
        <v>110</v>
      </c>
      <c r="K134" s="4">
        <v>113</v>
      </c>
      <c r="L134" s="4">
        <v>103</v>
      </c>
      <c r="M134" s="4">
        <v>103</v>
      </c>
      <c r="N134" s="4">
        <v>98</v>
      </c>
      <c r="O134" s="4">
        <v>97</v>
      </c>
      <c r="P134" s="4">
        <v>93</v>
      </c>
      <c r="Q134" s="4">
        <v>94</v>
      </c>
      <c r="R134" s="4">
        <v>92</v>
      </c>
      <c r="S134" s="4">
        <v>93</v>
      </c>
      <c r="T134" s="4">
        <v>89</v>
      </c>
      <c r="U134" s="4">
        <v>88</v>
      </c>
    </row>
    <row r="135" spans="3:21" ht="12.75" customHeight="1">
      <c r="C135" s="24" t="s">
        <v>329</v>
      </c>
      <c r="D135" s="24" t="s">
        <v>295</v>
      </c>
      <c r="E135" s="4">
        <v>89</v>
      </c>
      <c r="F135" s="4">
        <v>91</v>
      </c>
      <c r="G135" s="4">
        <v>91</v>
      </c>
      <c r="H135" s="4">
        <v>76</v>
      </c>
      <c r="I135" s="4">
        <v>75</v>
      </c>
      <c r="J135" s="4">
        <v>76</v>
      </c>
      <c r="K135" s="4">
        <v>72</v>
      </c>
      <c r="L135" s="4">
        <v>70</v>
      </c>
      <c r="M135" s="4">
        <v>70</v>
      </c>
      <c r="N135" s="4">
        <v>63</v>
      </c>
      <c r="O135" s="4">
        <v>63</v>
      </c>
      <c r="P135" s="4">
        <v>64</v>
      </c>
      <c r="Q135" s="4">
        <v>58</v>
      </c>
      <c r="R135" s="4">
        <v>59</v>
      </c>
      <c r="S135" s="4">
        <v>57</v>
      </c>
      <c r="T135" s="4">
        <v>56</v>
      </c>
      <c r="U135" s="4">
        <v>53</v>
      </c>
    </row>
    <row r="136" spans="3:21" ht="12.75" customHeight="1">
      <c r="C136" s="24" t="s">
        <v>99</v>
      </c>
      <c r="D136" s="24" t="s">
        <v>239</v>
      </c>
      <c r="E136" s="4" t="e">
        <v>#N/A</v>
      </c>
      <c r="F136" s="4" t="e">
        <v>#N/A</v>
      </c>
      <c r="G136" s="4" t="e">
        <v>#N/A</v>
      </c>
      <c r="H136" s="4" t="e">
        <v>#N/A</v>
      </c>
      <c r="I136" s="4" t="e">
        <v>#N/A</v>
      </c>
      <c r="J136" s="4" t="e">
        <v>#N/A</v>
      </c>
      <c r="K136" s="4" t="e">
        <v>#N/A</v>
      </c>
      <c r="L136" s="4" t="e">
        <v>#N/A</v>
      </c>
      <c r="M136" s="4" t="e">
        <v>#N/A</v>
      </c>
      <c r="N136" s="4" t="e">
        <v>#N/A</v>
      </c>
      <c r="O136" s="4" t="e">
        <v>#N/A</v>
      </c>
      <c r="P136" s="4" t="e">
        <v>#N/A</v>
      </c>
      <c r="Q136" s="4" t="e">
        <v>#N/A</v>
      </c>
      <c r="R136" s="4" t="e">
        <v>#N/A</v>
      </c>
      <c r="S136" s="4" t="e">
        <v>#N/A</v>
      </c>
      <c r="T136" s="4" t="e">
        <v>#N/A</v>
      </c>
      <c r="U136" s="4" t="e">
        <v>#N/A</v>
      </c>
    </row>
    <row r="137" spans="3:21" ht="12.75" customHeight="1">
      <c r="C137" s="24" t="s">
        <v>72</v>
      </c>
      <c r="D137" s="24" t="s">
        <v>374</v>
      </c>
      <c r="E137" s="4">
        <v>105</v>
      </c>
      <c r="F137" s="4">
        <v>104</v>
      </c>
      <c r="G137" s="4">
        <v>110</v>
      </c>
      <c r="H137" s="4">
        <v>111</v>
      </c>
      <c r="I137" s="4">
        <v>102</v>
      </c>
      <c r="J137" s="4">
        <v>101</v>
      </c>
      <c r="K137" s="4">
        <v>101</v>
      </c>
      <c r="L137" s="4">
        <v>102</v>
      </c>
      <c r="M137" s="4">
        <v>101</v>
      </c>
      <c r="N137" s="4">
        <v>102</v>
      </c>
      <c r="O137" s="4">
        <v>102</v>
      </c>
      <c r="P137" s="4">
        <v>103</v>
      </c>
      <c r="Q137" s="4">
        <v>101</v>
      </c>
      <c r="R137" s="4">
        <v>100</v>
      </c>
      <c r="S137" s="4">
        <v>102</v>
      </c>
      <c r="T137" s="4">
        <v>101</v>
      </c>
      <c r="U137" s="4">
        <v>100</v>
      </c>
    </row>
    <row r="138" spans="3:21" ht="12.75" customHeight="1">
      <c r="C138" s="24" t="s">
        <v>94</v>
      </c>
      <c r="D138" s="24" t="s">
        <v>187</v>
      </c>
      <c r="E138" s="4">
        <v>172</v>
      </c>
      <c r="F138" s="4">
        <v>172</v>
      </c>
      <c r="G138" s="4">
        <v>174</v>
      </c>
      <c r="H138" s="4">
        <v>174</v>
      </c>
      <c r="I138" s="4">
        <v>174</v>
      </c>
      <c r="J138" s="4">
        <v>174</v>
      </c>
      <c r="K138" s="4">
        <v>174</v>
      </c>
      <c r="L138" s="4">
        <v>174</v>
      </c>
      <c r="M138" s="4">
        <v>176</v>
      </c>
      <c r="N138" s="4">
        <v>175</v>
      </c>
      <c r="O138" s="4">
        <v>175</v>
      </c>
      <c r="P138" s="4">
        <v>173</v>
      </c>
      <c r="Q138" s="4">
        <v>172</v>
      </c>
      <c r="R138" s="4">
        <v>172</v>
      </c>
      <c r="S138" s="4">
        <v>172</v>
      </c>
      <c r="T138" s="4">
        <v>170</v>
      </c>
      <c r="U138" s="4">
        <v>170</v>
      </c>
    </row>
    <row r="139" spans="3:21" ht="12.75" customHeight="1">
      <c r="C139" s="24" t="s">
        <v>289</v>
      </c>
      <c r="D139" s="24" t="s">
        <v>38</v>
      </c>
      <c r="E139" s="4">
        <v>82</v>
      </c>
      <c r="F139" s="4">
        <v>81</v>
      </c>
      <c r="G139" s="4">
        <v>81</v>
      </c>
      <c r="H139" s="4">
        <v>81</v>
      </c>
      <c r="I139" s="4">
        <v>79</v>
      </c>
      <c r="J139" s="4">
        <v>79</v>
      </c>
      <c r="K139" s="4">
        <v>79</v>
      </c>
      <c r="L139" s="4">
        <v>81</v>
      </c>
      <c r="M139" s="4">
        <v>81</v>
      </c>
      <c r="N139" s="4">
        <v>81</v>
      </c>
      <c r="O139" s="4">
        <v>81</v>
      </c>
      <c r="P139" s="4">
        <v>81</v>
      </c>
      <c r="Q139" s="4">
        <v>82</v>
      </c>
      <c r="R139" s="4">
        <v>82</v>
      </c>
      <c r="S139" s="4">
        <v>83</v>
      </c>
      <c r="T139" s="4">
        <v>83</v>
      </c>
      <c r="U139" s="4">
        <v>82</v>
      </c>
    </row>
    <row r="140" spans="3:21" ht="12.75" customHeight="1">
      <c r="C140" s="24" t="s">
        <v>338</v>
      </c>
      <c r="D140" s="24" t="s">
        <v>97</v>
      </c>
      <c r="E140" s="4">
        <v>151</v>
      </c>
      <c r="F140" s="4">
        <v>151</v>
      </c>
      <c r="G140" s="4">
        <v>152</v>
      </c>
      <c r="H140" s="4">
        <v>147</v>
      </c>
      <c r="I140" s="4">
        <v>150</v>
      </c>
      <c r="J140" s="4">
        <v>147</v>
      </c>
      <c r="K140" s="4">
        <v>149</v>
      </c>
      <c r="L140" s="4">
        <v>144</v>
      </c>
      <c r="M140" s="4">
        <v>147</v>
      </c>
      <c r="N140" s="4">
        <v>145</v>
      </c>
      <c r="O140" s="4">
        <v>144</v>
      </c>
      <c r="P140" s="4">
        <v>144</v>
      </c>
      <c r="Q140" s="4">
        <v>142</v>
      </c>
      <c r="R140" s="4">
        <v>142</v>
      </c>
      <c r="S140" s="4">
        <v>141</v>
      </c>
      <c r="T140" s="4">
        <v>139</v>
      </c>
      <c r="U140" s="4">
        <v>138</v>
      </c>
    </row>
    <row r="141" spans="3:21" ht="12.75" customHeight="1">
      <c r="C141" s="24" t="s">
        <v>153</v>
      </c>
      <c r="D141" s="24" t="s">
        <v>55</v>
      </c>
      <c r="E141" s="4">
        <v>137</v>
      </c>
      <c r="F141" s="4">
        <v>136</v>
      </c>
      <c r="G141" s="4">
        <v>134</v>
      </c>
      <c r="H141" s="4">
        <v>129</v>
      </c>
      <c r="I141" s="4">
        <v>129</v>
      </c>
      <c r="J141" s="4">
        <v>145</v>
      </c>
      <c r="K141" s="4">
        <v>150</v>
      </c>
      <c r="L141" s="4">
        <v>159</v>
      </c>
      <c r="M141" s="4">
        <v>157</v>
      </c>
      <c r="N141" s="4">
        <v>159</v>
      </c>
      <c r="O141" s="4">
        <v>160</v>
      </c>
      <c r="P141" s="4">
        <v>163</v>
      </c>
      <c r="Q141" s="4">
        <v>164</v>
      </c>
      <c r="R141" s="4">
        <v>167</v>
      </c>
      <c r="S141" s="4">
        <v>169</v>
      </c>
      <c r="T141" s="4">
        <v>171</v>
      </c>
      <c r="U141" s="4">
        <v>172</v>
      </c>
    </row>
    <row r="142" spans="3:21" ht="12.75" customHeight="1">
      <c r="C142" s="24" t="s">
        <v>28</v>
      </c>
      <c r="D142" s="24" t="s">
        <v>171</v>
      </c>
      <c r="E142" s="4">
        <v>60</v>
      </c>
      <c r="F142" s="4">
        <v>61</v>
      </c>
      <c r="G142" s="4">
        <v>61</v>
      </c>
      <c r="H142" s="4">
        <v>61</v>
      </c>
      <c r="I142" s="4">
        <v>60</v>
      </c>
      <c r="J142" s="4">
        <v>60</v>
      </c>
      <c r="K142" s="4">
        <v>59</v>
      </c>
      <c r="L142" s="4">
        <v>61</v>
      </c>
      <c r="M142" s="4">
        <v>58</v>
      </c>
      <c r="N142" s="4">
        <v>60</v>
      </c>
      <c r="O142" s="4">
        <v>62</v>
      </c>
      <c r="P142" s="4">
        <v>60</v>
      </c>
      <c r="Q142" s="4">
        <v>60</v>
      </c>
      <c r="R142" s="4">
        <v>61</v>
      </c>
      <c r="S142" s="4">
        <v>59</v>
      </c>
      <c r="T142" s="4">
        <v>59</v>
      </c>
      <c r="U142" s="4">
        <v>59</v>
      </c>
    </row>
    <row r="143" spans="3:21" ht="12.75" customHeight="1">
      <c r="C143" s="24" t="s">
        <v>302</v>
      </c>
      <c r="D143" s="24" t="s">
        <v>119</v>
      </c>
      <c r="E143" s="4">
        <v>37</v>
      </c>
      <c r="F143" s="4">
        <v>37</v>
      </c>
      <c r="G143" s="4">
        <v>38</v>
      </c>
      <c r="H143" s="4">
        <v>40</v>
      </c>
      <c r="I143" s="4">
        <v>38</v>
      </c>
      <c r="J143" s="4">
        <v>38</v>
      </c>
      <c r="K143" s="4">
        <v>40</v>
      </c>
      <c r="L143" s="4">
        <v>38</v>
      </c>
      <c r="M143" s="4">
        <v>39</v>
      </c>
      <c r="N143" s="4">
        <v>41</v>
      </c>
      <c r="O143" s="4">
        <v>40</v>
      </c>
      <c r="P143" s="4">
        <v>38</v>
      </c>
      <c r="Q143" s="4">
        <v>37</v>
      </c>
      <c r="R143" s="4">
        <v>40</v>
      </c>
      <c r="S143" s="4">
        <v>39</v>
      </c>
      <c r="T143" s="4">
        <v>41</v>
      </c>
      <c r="U143" s="4">
        <v>41</v>
      </c>
    </row>
    <row r="144" spans="3:21" ht="12.75" customHeight="1">
      <c r="C144" s="24" t="s">
        <v>340</v>
      </c>
      <c r="D144" s="24" t="s">
        <v>73</v>
      </c>
      <c r="E144" s="4">
        <v>33</v>
      </c>
      <c r="F144" s="4">
        <v>33</v>
      </c>
      <c r="G144" s="4">
        <v>33</v>
      </c>
      <c r="H144" s="4">
        <v>33</v>
      </c>
      <c r="I144" s="4">
        <v>33</v>
      </c>
      <c r="J144" s="4">
        <v>32</v>
      </c>
      <c r="K144" s="4">
        <v>32</v>
      </c>
      <c r="L144" s="4">
        <v>31</v>
      </c>
      <c r="M144" s="4">
        <v>32</v>
      </c>
      <c r="N144" s="4">
        <v>32</v>
      </c>
      <c r="O144" s="4">
        <v>31</v>
      </c>
      <c r="P144" s="4">
        <v>31</v>
      </c>
      <c r="Q144" s="4">
        <v>31</v>
      </c>
      <c r="R144" s="4">
        <v>31</v>
      </c>
      <c r="S144" s="4">
        <v>30</v>
      </c>
      <c r="T144" s="4">
        <v>31</v>
      </c>
      <c r="U144" s="4">
        <v>33</v>
      </c>
    </row>
    <row r="145" spans="3:21" ht="12.75" customHeight="1">
      <c r="C145" s="24" t="s">
        <v>142</v>
      </c>
      <c r="D145" s="24" t="s">
        <v>372</v>
      </c>
      <c r="E145" s="4">
        <v>79</v>
      </c>
      <c r="F145" s="4">
        <v>77</v>
      </c>
      <c r="G145" s="4">
        <v>77</v>
      </c>
      <c r="H145" s="4">
        <v>75</v>
      </c>
      <c r="I145" s="4">
        <v>76</v>
      </c>
      <c r="J145" s="4">
        <v>81</v>
      </c>
      <c r="K145" s="4">
        <v>81</v>
      </c>
      <c r="L145" s="4">
        <v>83</v>
      </c>
      <c r="M145" s="4">
        <v>109</v>
      </c>
      <c r="N145" s="4">
        <v>110</v>
      </c>
      <c r="O145" s="4">
        <v>104</v>
      </c>
      <c r="P145" s="4">
        <v>105</v>
      </c>
      <c r="Q145" s="4">
        <v>108</v>
      </c>
      <c r="R145" s="4">
        <v>112</v>
      </c>
      <c r="S145" s="4">
        <v>115</v>
      </c>
      <c r="T145" s="4">
        <v>120</v>
      </c>
      <c r="U145" s="4">
        <v>124</v>
      </c>
    </row>
    <row r="146" spans="3:21" ht="12.75" customHeight="1">
      <c r="C146" s="24" t="s">
        <v>1</v>
      </c>
      <c r="D146" s="24" t="s">
        <v>90</v>
      </c>
      <c r="E146" s="4">
        <v>66</v>
      </c>
      <c r="F146" s="4">
        <v>65</v>
      </c>
      <c r="G146" s="4">
        <v>62</v>
      </c>
      <c r="H146" s="4">
        <v>59</v>
      </c>
      <c r="I146" s="4">
        <v>59</v>
      </c>
      <c r="J146" s="4">
        <v>54</v>
      </c>
      <c r="K146" s="4">
        <v>54</v>
      </c>
      <c r="L146" s="4">
        <v>54</v>
      </c>
      <c r="M146" s="4">
        <v>53</v>
      </c>
      <c r="N146" s="4">
        <v>51</v>
      </c>
      <c r="O146" s="4">
        <v>42</v>
      </c>
      <c r="P146" s="4">
        <v>46</v>
      </c>
      <c r="Q146" s="4">
        <v>48</v>
      </c>
      <c r="R146" s="4">
        <v>42</v>
      </c>
      <c r="S146" s="4">
        <v>38</v>
      </c>
      <c r="T146" s="4">
        <v>34</v>
      </c>
      <c r="U146" s="4">
        <v>31</v>
      </c>
    </row>
    <row r="147" spans="3:21" ht="12.75" customHeight="1">
      <c r="C147" s="24" t="s">
        <v>398</v>
      </c>
      <c r="D147" s="24" t="s">
        <v>103</v>
      </c>
      <c r="E147" s="4">
        <v>156</v>
      </c>
      <c r="F147" s="4">
        <v>154</v>
      </c>
      <c r="G147" s="4">
        <v>150</v>
      </c>
      <c r="H147" s="4">
        <v>148</v>
      </c>
      <c r="I147" s="4">
        <v>146</v>
      </c>
      <c r="J147" s="4">
        <v>143</v>
      </c>
      <c r="K147" s="4">
        <v>141</v>
      </c>
      <c r="L147" s="4">
        <v>139</v>
      </c>
      <c r="M147" s="4">
        <v>137</v>
      </c>
      <c r="N147" s="4">
        <v>135</v>
      </c>
      <c r="O147" s="4">
        <v>130</v>
      </c>
      <c r="P147" s="4">
        <v>127</v>
      </c>
      <c r="Q147" s="4">
        <v>125</v>
      </c>
      <c r="R147" s="4">
        <v>124</v>
      </c>
      <c r="S147" s="4">
        <v>120</v>
      </c>
      <c r="T147" s="4">
        <v>117</v>
      </c>
      <c r="U147" s="4">
        <v>116</v>
      </c>
    </row>
    <row r="148" spans="3:21" ht="12.75" customHeight="1">
      <c r="C148" s="24" t="s">
        <v>290</v>
      </c>
      <c r="D148" s="24" t="s">
        <v>363</v>
      </c>
      <c r="E148" s="4">
        <v>94</v>
      </c>
      <c r="F148" s="4">
        <v>93</v>
      </c>
      <c r="G148" s="4">
        <v>94</v>
      </c>
      <c r="H148" s="4">
        <v>93</v>
      </c>
      <c r="I148" s="4">
        <v>92</v>
      </c>
      <c r="J148" s="4">
        <v>91</v>
      </c>
      <c r="K148" s="4">
        <v>92</v>
      </c>
      <c r="L148" s="4">
        <v>92</v>
      </c>
      <c r="M148" s="4">
        <v>91</v>
      </c>
      <c r="N148" s="4">
        <v>92</v>
      </c>
      <c r="O148" s="4">
        <v>91</v>
      </c>
      <c r="P148" s="4">
        <v>92</v>
      </c>
      <c r="Q148" s="4">
        <v>92</v>
      </c>
      <c r="R148" s="4">
        <v>93</v>
      </c>
      <c r="S148" s="4">
        <v>94</v>
      </c>
      <c r="T148" s="4">
        <v>95</v>
      </c>
      <c r="U148" s="4">
        <v>94</v>
      </c>
    </row>
    <row r="149" spans="3:21" ht="12.75" customHeight="1">
      <c r="C149" s="24" t="s">
        <v>325</v>
      </c>
      <c r="D149" s="24" t="s">
        <v>364</v>
      </c>
      <c r="E149" s="4" t="e">
        <v>#N/A</v>
      </c>
      <c r="F149" s="4" t="e">
        <v>#N/A</v>
      </c>
      <c r="G149" s="4" t="e">
        <v>#N/A</v>
      </c>
      <c r="H149" s="4" t="e">
        <v>#N/A</v>
      </c>
      <c r="I149" s="4" t="e">
        <v>#N/A</v>
      </c>
      <c r="J149" s="4" t="e">
        <v>#N/A</v>
      </c>
      <c r="K149" s="4" t="e">
        <v>#N/A</v>
      </c>
      <c r="L149" s="4" t="e">
        <v>#N/A</v>
      </c>
      <c r="M149" s="4" t="e">
        <v>#N/A</v>
      </c>
      <c r="N149" s="4" t="e">
        <v>#N/A</v>
      </c>
      <c r="O149" s="4" t="e">
        <v>#N/A</v>
      </c>
      <c r="P149" s="4" t="e">
        <v>#N/A</v>
      </c>
      <c r="Q149" s="4" t="e">
        <v>#N/A</v>
      </c>
      <c r="R149" s="4" t="e">
        <v>#N/A</v>
      </c>
      <c r="S149" s="4" t="e">
        <v>#N/A</v>
      </c>
      <c r="T149" s="4" t="e">
        <v>#N/A</v>
      </c>
      <c r="U149" s="4" t="e">
        <v>#N/A</v>
      </c>
    </row>
    <row r="150" spans="3:21" ht="12.75" customHeight="1">
      <c r="C150" s="24" t="s">
        <v>143</v>
      </c>
      <c r="D150" s="24" t="s">
        <v>147</v>
      </c>
      <c r="E150" s="4">
        <v>69</v>
      </c>
      <c r="F150" s="4">
        <v>67</v>
      </c>
      <c r="G150" s="4">
        <v>66</v>
      </c>
      <c r="H150" s="4">
        <v>66</v>
      </c>
      <c r="I150" s="4">
        <v>61</v>
      </c>
      <c r="J150" s="4">
        <v>62</v>
      </c>
      <c r="K150" s="4">
        <v>57</v>
      </c>
      <c r="L150" s="4">
        <v>57</v>
      </c>
      <c r="M150" s="4">
        <v>57</v>
      </c>
      <c r="N150" s="4">
        <v>55</v>
      </c>
      <c r="O150" s="4">
        <v>54</v>
      </c>
      <c r="P150" s="4">
        <v>53</v>
      </c>
      <c r="Q150" s="4">
        <v>52</v>
      </c>
      <c r="R150" s="4">
        <v>51</v>
      </c>
      <c r="S150" s="4">
        <v>51</v>
      </c>
      <c r="T150" s="4">
        <v>48</v>
      </c>
      <c r="U150" s="4">
        <v>44</v>
      </c>
    </row>
    <row r="151" spans="3:21" ht="12.75" customHeight="1">
      <c r="C151" s="24" t="s">
        <v>115</v>
      </c>
      <c r="D151" s="24" t="s">
        <v>250</v>
      </c>
      <c r="E151" s="4">
        <v>136</v>
      </c>
      <c r="F151" s="4">
        <v>140</v>
      </c>
      <c r="G151" s="4">
        <v>142</v>
      </c>
      <c r="H151" s="4">
        <v>142</v>
      </c>
      <c r="I151" s="4">
        <v>143</v>
      </c>
      <c r="J151" s="4">
        <v>144</v>
      </c>
      <c r="K151" s="4">
        <v>144</v>
      </c>
      <c r="L151" s="4">
        <v>146</v>
      </c>
      <c r="M151" s="4">
        <v>146</v>
      </c>
      <c r="N151" s="4">
        <v>149</v>
      </c>
      <c r="O151" s="4">
        <v>147</v>
      </c>
      <c r="P151" s="4">
        <v>147</v>
      </c>
      <c r="Q151" s="4">
        <v>152</v>
      </c>
      <c r="R151" s="4">
        <v>153</v>
      </c>
      <c r="S151" s="4">
        <v>155</v>
      </c>
      <c r="T151" s="4">
        <v>156</v>
      </c>
      <c r="U151" s="4">
        <v>156</v>
      </c>
    </row>
    <row r="152" spans="3:21" ht="12.75" customHeight="1">
      <c r="C152" s="24" t="s">
        <v>314</v>
      </c>
      <c r="D152" s="24" t="s">
        <v>85</v>
      </c>
      <c r="E152" s="4" t="e">
        <v>#N/A</v>
      </c>
      <c r="F152" s="4" t="e">
        <v>#N/A</v>
      </c>
      <c r="G152" s="4" t="e">
        <v>#N/A</v>
      </c>
      <c r="H152" s="4" t="e">
        <v>#N/A</v>
      </c>
      <c r="I152" s="4" t="e">
        <v>#N/A</v>
      </c>
      <c r="J152" s="4" t="e">
        <v>#N/A</v>
      </c>
      <c r="K152" s="4" t="e">
        <v>#N/A</v>
      </c>
      <c r="L152" s="4" t="e">
        <v>#N/A</v>
      </c>
      <c r="M152" s="4" t="e">
        <v>#N/A</v>
      </c>
      <c r="N152" s="4" t="e">
        <v>#N/A</v>
      </c>
      <c r="O152" s="4" t="e">
        <v>#N/A</v>
      </c>
      <c r="P152" s="4" t="e">
        <v>#N/A</v>
      </c>
      <c r="Q152" s="4" t="e">
        <v>#N/A</v>
      </c>
      <c r="R152" s="4" t="e">
        <v>#N/A</v>
      </c>
      <c r="S152" s="4" t="e">
        <v>#N/A</v>
      </c>
      <c r="T152" s="4" t="e">
        <v>#N/A</v>
      </c>
      <c r="U152" s="4" t="e">
        <v>#N/A</v>
      </c>
    </row>
    <row r="153" spans="3:21" ht="12.75" customHeight="1">
      <c r="C153" s="24" t="s">
        <v>369</v>
      </c>
      <c r="D153" s="24" t="s">
        <v>110</v>
      </c>
      <c r="E153" s="4">
        <v>59</v>
      </c>
      <c r="F153" s="4">
        <v>60</v>
      </c>
      <c r="G153" s="4">
        <v>60</v>
      </c>
      <c r="H153" s="4">
        <v>58</v>
      </c>
      <c r="I153" s="4">
        <v>58</v>
      </c>
      <c r="J153" s="4">
        <v>61</v>
      </c>
      <c r="K153" s="4">
        <v>60</v>
      </c>
      <c r="L153" s="4">
        <v>60</v>
      </c>
      <c r="M153" s="4">
        <v>60</v>
      </c>
      <c r="N153" s="4">
        <v>59</v>
      </c>
      <c r="O153" s="4">
        <v>61</v>
      </c>
      <c r="P153" s="4">
        <v>58</v>
      </c>
      <c r="Q153" s="4">
        <v>59</v>
      </c>
      <c r="R153" s="4">
        <v>60</v>
      </c>
      <c r="S153" s="4">
        <v>60</v>
      </c>
      <c r="T153" s="4">
        <v>60</v>
      </c>
      <c r="U153" s="4">
        <v>60</v>
      </c>
    </row>
    <row r="154" spans="3:21" ht="12.75" customHeight="1">
      <c r="C154" s="24" t="s">
        <v>48</v>
      </c>
      <c r="D154" s="24" t="s">
        <v>56</v>
      </c>
      <c r="E154" s="4">
        <v>109</v>
      </c>
      <c r="F154" s="4">
        <v>109</v>
      </c>
      <c r="G154" s="4">
        <v>106</v>
      </c>
      <c r="H154" s="4">
        <v>110</v>
      </c>
      <c r="I154" s="4">
        <v>115</v>
      </c>
      <c r="J154" s="4">
        <v>111</v>
      </c>
      <c r="K154" s="4">
        <v>116</v>
      </c>
      <c r="L154" s="4">
        <v>119</v>
      </c>
      <c r="M154" s="4">
        <v>120</v>
      </c>
      <c r="N154" s="4">
        <v>121</v>
      </c>
      <c r="O154" s="4">
        <v>127</v>
      </c>
      <c r="P154" s="4">
        <v>125</v>
      </c>
      <c r="Q154" s="4">
        <v>126</v>
      </c>
      <c r="R154" s="4">
        <v>130</v>
      </c>
      <c r="S154" s="4">
        <v>129</v>
      </c>
      <c r="T154" s="4">
        <v>133</v>
      </c>
      <c r="U154" s="4">
        <v>132</v>
      </c>
    </row>
    <row r="155" spans="3:21" ht="12.75" customHeight="1">
      <c r="C155" s="24" t="s">
        <v>204</v>
      </c>
      <c r="D155" s="24" t="s">
        <v>96</v>
      </c>
      <c r="E155" s="4">
        <v>112</v>
      </c>
      <c r="F155" s="4">
        <v>110</v>
      </c>
      <c r="G155" s="4">
        <v>111</v>
      </c>
      <c r="H155" s="4">
        <v>109</v>
      </c>
      <c r="I155" s="4">
        <v>113</v>
      </c>
      <c r="J155" s="4">
        <v>115</v>
      </c>
      <c r="K155" s="4">
        <v>111</v>
      </c>
      <c r="L155" s="4">
        <v>111</v>
      </c>
      <c r="M155" s="4">
        <v>111</v>
      </c>
      <c r="N155" s="4">
        <v>112</v>
      </c>
      <c r="O155" s="4">
        <v>112</v>
      </c>
      <c r="P155" s="4">
        <v>110</v>
      </c>
      <c r="Q155" s="4">
        <v>111</v>
      </c>
      <c r="R155" s="4">
        <v>108</v>
      </c>
      <c r="S155" s="4">
        <v>108</v>
      </c>
      <c r="T155" s="4">
        <v>108</v>
      </c>
      <c r="U155" s="4">
        <v>109</v>
      </c>
    </row>
    <row r="156" spans="3:21" ht="12.75" customHeight="1">
      <c r="C156" s="24" t="s">
        <v>241</v>
      </c>
      <c r="D156" s="24" t="s">
        <v>134</v>
      </c>
      <c r="E156" s="4">
        <v>56</v>
      </c>
      <c r="F156" s="4">
        <v>58</v>
      </c>
      <c r="G156" s="4">
        <v>59</v>
      </c>
      <c r="H156" s="4">
        <v>60</v>
      </c>
      <c r="I156" s="4">
        <v>62</v>
      </c>
      <c r="J156" s="4">
        <v>65</v>
      </c>
      <c r="K156" s="4">
        <v>70</v>
      </c>
      <c r="L156" s="4">
        <v>71</v>
      </c>
      <c r="M156" s="4">
        <v>75</v>
      </c>
      <c r="N156" s="4">
        <v>77</v>
      </c>
      <c r="O156" s="4">
        <v>78</v>
      </c>
      <c r="P156" s="4">
        <v>79</v>
      </c>
      <c r="Q156" s="4">
        <v>84</v>
      </c>
      <c r="R156" s="4">
        <v>90</v>
      </c>
      <c r="S156" s="4">
        <v>89</v>
      </c>
      <c r="T156" s="4">
        <v>93</v>
      </c>
      <c r="U156" s="4">
        <v>96</v>
      </c>
    </row>
    <row r="157" spans="3:21" ht="12.75" customHeight="1">
      <c r="C157" s="24" t="s">
        <v>313</v>
      </c>
      <c r="D157" s="24" t="s">
        <v>246</v>
      </c>
      <c r="E157" s="4">
        <v>65</v>
      </c>
      <c r="F157" s="4">
        <v>46</v>
      </c>
      <c r="G157" s="4">
        <v>40</v>
      </c>
      <c r="H157" s="4">
        <v>45</v>
      </c>
      <c r="I157" s="4">
        <v>43</v>
      </c>
      <c r="J157" s="4">
        <v>42</v>
      </c>
      <c r="K157" s="4">
        <v>39</v>
      </c>
      <c r="L157" s="4">
        <v>34</v>
      </c>
      <c r="M157" s="4">
        <v>25</v>
      </c>
      <c r="N157" s="4">
        <v>28</v>
      </c>
      <c r="O157" s="4">
        <v>25</v>
      </c>
      <c r="P157" s="4">
        <v>25</v>
      </c>
      <c r="Q157" s="4">
        <v>24</v>
      </c>
      <c r="R157" s="4">
        <v>24</v>
      </c>
      <c r="S157" s="4">
        <v>3</v>
      </c>
      <c r="T157" s="4">
        <v>2</v>
      </c>
      <c r="U157" s="4">
        <v>2</v>
      </c>
    </row>
    <row r="158" spans="3:21" ht="12.75" customHeight="1">
      <c r="C158" s="24" t="s">
        <v>9</v>
      </c>
      <c r="D158" s="24" t="s">
        <v>58</v>
      </c>
      <c r="E158" s="4">
        <v>162</v>
      </c>
      <c r="F158" s="4">
        <v>165</v>
      </c>
      <c r="G158" s="4">
        <v>165</v>
      </c>
      <c r="H158" s="4">
        <v>166</v>
      </c>
      <c r="I158" s="4">
        <v>166</v>
      </c>
      <c r="J158" s="4">
        <v>166</v>
      </c>
      <c r="K158" s="4">
        <v>167</v>
      </c>
      <c r="L158" s="4">
        <v>166</v>
      </c>
      <c r="M158" s="4">
        <v>165</v>
      </c>
      <c r="N158" s="4">
        <v>165</v>
      </c>
      <c r="O158" s="4">
        <v>164</v>
      </c>
      <c r="P158" s="4">
        <v>160</v>
      </c>
      <c r="Q158" s="4">
        <v>160</v>
      </c>
      <c r="R158" s="4">
        <v>160</v>
      </c>
      <c r="S158" s="4">
        <v>159</v>
      </c>
      <c r="T158" s="4">
        <v>159</v>
      </c>
      <c r="U158" s="4">
        <v>159</v>
      </c>
    </row>
    <row r="159" spans="3:21" ht="12.75" customHeight="1">
      <c r="C159" s="24" t="s">
        <v>342</v>
      </c>
      <c r="D159" s="24" t="s">
        <v>80</v>
      </c>
      <c r="E159" s="4">
        <v>21</v>
      </c>
      <c r="F159" s="4">
        <v>21</v>
      </c>
      <c r="G159" s="4">
        <v>21</v>
      </c>
      <c r="H159" s="4">
        <v>3</v>
      </c>
      <c r="I159" s="4">
        <v>3</v>
      </c>
      <c r="J159" s="4">
        <v>2</v>
      </c>
      <c r="K159" s="4">
        <v>2</v>
      </c>
      <c r="L159" s="4">
        <v>2</v>
      </c>
      <c r="M159" s="4">
        <v>2</v>
      </c>
      <c r="N159" s="4">
        <v>3</v>
      </c>
      <c r="O159" s="4">
        <v>5</v>
      </c>
      <c r="P159" s="4">
        <v>5</v>
      </c>
      <c r="Q159" s="4">
        <v>4</v>
      </c>
      <c r="R159" s="4">
        <v>5</v>
      </c>
      <c r="S159" s="4">
        <v>5</v>
      </c>
      <c r="T159" s="4">
        <v>6</v>
      </c>
      <c r="U159" s="4">
        <v>6</v>
      </c>
    </row>
    <row r="160" spans="3:21" ht="12.75" customHeight="1">
      <c r="C160" s="24" t="s">
        <v>271</v>
      </c>
      <c r="D160" s="24" t="s">
        <v>396</v>
      </c>
      <c r="E160" s="4">
        <v>39</v>
      </c>
      <c r="F160" s="4">
        <v>39</v>
      </c>
      <c r="G160" s="4">
        <v>37</v>
      </c>
      <c r="H160" s="4">
        <v>38</v>
      </c>
      <c r="I160" s="4">
        <v>37</v>
      </c>
      <c r="J160" s="4">
        <v>36</v>
      </c>
      <c r="K160" s="4">
        <v>36</v>
      </c>
      <c r="L160" s="4">
        <v>37</v>
      </c>
      <c r="M160" s="4">
        <v>36</v>
      </c>
      <c r="N160" s="4">
        <v>36</v>
      </c>
      <c r="O160" s="4">
        <v>37</v>
      </c>
      <c r="P160" s="4">
        <v>36</v>
      </c>
      <c r="Q160" s="4">
        <v>35</v>
      </c>
      <c r="R160" s="4">
        <v>34</v>
      </c>
      <c r="S160" s="4">
        <v>34</v>
      </c>
      <c r="T160" s="4">
        <v>35</v>
      </c>
      <c r="U160" s="4">
        <v>35</v>
      </c>
    </row>
    <row r="161" spans="3:21" ht="12.75" customHeight="1">
      <c r="C161" s="24" t="s">
        <v>69</v>
      </c>
      <c r="D161" s="24" t="s">
        <v>223</v>
      </c>
      <c r="E161" s="4">
        <v>45</v>
      </c>
      <c r="F161" s="4">
        <v>41</v>
      </c>
      <c r="G161" s="4">
        <v>42</v>
      </c>
      <c r="H161" s="4">
        <v>3</v>
      </c>
      <c r="I161" s="4">
        <v>31</v>
      </c>
      <c r="J161" s="4">
        <v>2</v>
      </c>
      <c r="K161" s="4">
        <v>2</v>
      </c>
      <c r="L161" s="4">
        <v>2</v>
      </c>
      <c r="M161" s="4">
        <v>2</v>
      </c>
      <c r="N161" s="4">
        <v>3</v>
      </c>
      <c r="O161" s="4">
        <v>5</v>
      </c>
      <c r="P161" s="4">
        <v>5</v>
      </c>
      <c r="Q161" s="4">
        <v>4</v>
      </c>
      <c r="R161" s="4">
        <v>5</v>
      </c>
      <c r="S161" s="4">
        <v>1</v>
      </c>
      <c r="T161" s="4">
        <v>1</v>
      </c>
      <c r="U161" s="4">
        <v>1</v>
      </c>
    </row>
    <row r="162" spans="3:21" ht="12.75" customHeight="1">
      <c r="C162" s="24" t="s">
        <v>71</v>
      </c>
      <c r="D162" s="24" t="s">
        <v>207</v>
      </c>
      <c r="E162" s="4">
        <v>174</v>
      </c>
      <c r="F162" s="4">
        <v>174</v>
      </c>
      <c r="G162" s="4">
        <v>176</v>
      </c>
      <c r="H162" s="4">
        <v>177</v>
      </c>
      <c r="I162" s="4">
        <v>177</v>
      </c>
      <c r="J162" s="4">
        <v>177</v>
      </c>
      <c r="K162" s="4">
        <v>177</v>
      </c>
      <c r="L162" s="4">
        <v>177</v>
      </c>
      <c r="M162" s="4">
        <v>177</v>
      </c>
      <c r="N162" s="4">
        <v>177</v>
      </c>
      <c r="O162" s="4">
        <v>176</v>
      </c>
      <c r="P162" s="4">
        <v>176</v>
      </c>
      <c r="Q162" s="4">
        <v>174</v>
      </c>
      <c r="R162" s="4">
        <v>174</v>
      </c>
      <c r="S162" s="4">
        <v>174</v>
      </c>
      <c r="T162" s="4">
        <v>173</v>
      </c>
      <c r="U162" s="4">
        <v>171</v>
      </c>
    </row>
    <row r="163" spans="3:21" ht="12.75" customHeight="1">
      <c r="C163" s="24" t="s">
        <v>346</v>
      </c>
      <c r="D163" s="24" t="s">
        <v>251</v>
      </c>
      <c r="E163" s="4">
        <v>149</v>
      </c>
      <c r="F163" s="4">
        <v>150</v>
      </c>
      <c r="G163" s="4">
        <v>152</v>
      </c>
      <c r="H163" s="4">
        <v>153</v>
      </c>
      <c r="I163" s="4">
        <v>154</v>
      </c>
      <c r="J163" s="4">
        <v>153</v>
      </c>
      <c r="K163" s="4">
        <v>153</v>
      </c>
      <c r="L163" s="4">
        <v>152</v>
      </c>
      <c r="M163" s="4">
        <v>150</v>
      </c>
      <c r="N163" s="4">
        <v>150</v>
      </c>
      <c r="O163" s="4">
        <v>150</v>
      </c>
      <c r="P163" s="4">
        <v>149</v>
      </c>
      <c r="Q163" s="4">
        <v>150</v>
      </c>
      <c r="R163" s="4">
        <v>150</v>
      </c>
      <c r="S163" s="4">
        <v>150</v>
      </c>
      <c r="T163" s="4">
        <v>150</v>
      </c>
      <c r="U163" s="4">
        <v>149</v>
      </c>
    </row>
    <row r="164" spans="3:21" ht="12.75" customHeight="1">
      <c r="C164" s="24" t="s">
        <v>394</v>
      </c>
      <c r="D164" s="24" t="s">
        <v>161</v>
      </c>
      <c r="E164" s="4">
        <v>125</v>
      </c>
      <c r="F164" s="4">
        <v>129</v>
      </c>
      <c r="G164" s="4">
        <v>129</v>
      </c>
      <c r="H164" s="4">
        <v>131</v>
      </c>
      <c r="I164" s="4">
        <v>128</v>
      </c>
      <c r="J164" s="4">
        <v>127</v>
      </c>
      <c r="K164" s="4">
        <v>137</v>
      </c>
      <c r="L164" s="4">
        <v>135</v>
      </c>
      <c r="M164" s="4">
        <v>136</v>
      </c>
      <c r="N164" s="4">
        <v>139</v>
      </c>
      <c r="O164" s="4">
        <v>137</v>
      </c>
      <c r="P164" s="4">
        <v>137</v>
      </c>
      <c r="Q164" s="4">
        <v>139</v>
      </c>
      <c r="R164" s="4">
        <v>139</v>
      </c>
      <c r="S164" s="4">
        <v>138</v>
      </c>
      <c r="T164" s="4">
        <v>137</v>
      </c>
      <c r="U164" s="4">
        <v>137</v>
      </c>
    </row>
    <row r="165" spans="3:21" ht="12.75" customHeight="1">
      <c r="C165" s="24" t="s">
        <v>248</v>
      </c>
      <c r="D165" s="24" t="s">
        <v>109</v>
      </c>
      <c r="E165" s="4">
        <v>15</v>
      </c>
      <c r="F165" s="4">
        <v>17</v>
      </c>
      <c r="G165" s="4">
        <v>16</v>
      </c>
      <c r="H165" s="4">
        <v>20</v>
      </c>
      <c r="I165" s="4">
        <v>19</v>
      </c>
      <c r="J165" s="4">
        <v>19</v>
      </c>
      <c r="K165" s="4">
        <v>19</v>
      </c>
      <c r="L165" s="4">
        <v>19</v>
      </c>
      <c r="M165" s="4">
        <v>21</v>
      </c>
      <c r="N165" s="4">
        <v>21</v>
      </c>
      <c r="O165" s="4">
        <v>21</v>
      </c>
      <c r="P165" s="4">
        <v>19</v>
      </c>
      <c r="Q165" s="4">
        <v>21</v>
      </c>
      <c r="R165" s="4">
        <v>21</v>
      </c>
      <c r="S165" s="4">
        <v>23</v>
      </c>
      <c r="T165" s="4">
        <v>23</v>
      </c>
      <c r="U165" s="4">
        <v>23</v>
      </c>
    </row>
    <row r="166" spans="3:21" ht="12.75" customHeight="1">
      <c r="C166" s="24" t="s">
        <v>371</v>
      </c>
      <c r="D166" s="24" t="s">
        <v>151</v>
      </c>
      <c r="E166" s="4">
        <v>2</v>
      </c>
      <c r="F166" s="4">
        <v>2</v>
      </c>
      <c r="G166" s="4">
        <v>2</v>
      </c>
      <c r="H166" s="4">
        <v>2</v>
      </c>
      <c r="I166" s="4">
        <v>2</v>
      </c>
      <c r="J166" s="4">
        <v>25</v>
      </c>
      <c r="K166" s="4">
        <v>31</v>
      </c>
      <c r="L166" s="4">
        <v>40</v>
      </c>
      <c r="M166" s="4">
        <v>45</v>
      </c>
      <c r="N166" s="4">
        <v>53</v>
      </c>
      <c r="O166" s="4">
        <v>57</v>
      </c>
      <c r="P166" s="4">
        <v>61</v>
      </c>
      <c r="Q166" s="4">
        <v>68</v>
      </c>
      <c r="R166" s="4">
        <v>75</v>
      </c>
      <c r="S166" s="4">
        <v>81</v>
      </c>
      <c r="T166" s="4">
        <v>87</v>
      </c>
      <c r="U166" s="4">
        <v>95</v>
      </c>
    </row>
    <row r="167" spans="3:21" ht="12.75" customHeight="1">
      <c r="C167" s="24" t="s">
        <v>233</v>
      </c>
      <c r="D167" s="24" t="s">
        <v>344</v>
      </c>
      <c r="E167" s="4">
        <v>101</v>
      </c>
      <c r="F167" s="4">
        <v>100</v>
      </c>
      <c r="G167" s="4">
        <v>101</v>
      </c>
      <c r="H167" s="4">
        <v>100</v>
      </c>
      <c r="I167" s="4">
        <v>98</v>
      </c>
      <c r="J167" s="4">
        <v>97</v>
      </c>
      <c r="K167" s="4">
        <v>99</v>
      </c>
      <c r="L167" s="4">
        <v>100</v>
      </c>
      <c r="M167" s="4">
        <v>98</v>
      </c>
      <c r="N167" s="4">
        <v>99</v>
      </c>
      <c r="O167" s="4">
        <v>101</v>
      </c>
      <c r="P167" s="4">
        <v>100</v>
      </c>
      <c r="Q167" s="4">
        <v>103</v>
      </c>
      <c r="R167" s="4">
        <v>103</v>
      </c>
      <c r="S167" s="4">
        <v>105</v>
      </c>
      <c r="T167" s="4">
        <v>103</v>
      </c>
      <c r="U167" s="4">
        <v>103</v>
      </c>
    </row>
    <row r="168" spans="3:21" ht="12.75" customHeight="1">
      <c r="C168" s="24" t="s">
        <v>228</v>
      </c>
      <c r="D168" s="24" t="s">
        <v>61</v>
      </c>
      <c r="E168" s="4">
        <v>115</v>
      </c>
      <c r="F168" s="4">
        <v>116</v>
      </c>
      <c r="G168" s="4">
        <v>117</v>
      </c>
      <c r="H168" s="4">
        <v>118</v>
      </c>
      <c r="I168" s="4">
        <v>119</v>
      </c>
      <c r="J168" s="4">
        <v>119</v>
      </c>
      <c r="K168" s="4">
        <v>117</v>
      </c>
      <c r="L168" s="4">
        <v>117</v>
      </c>
      <c r="M168" s="4">
        <v>117</v>
      </c>
      <c r="N168" s="4">
        <v>117</v>
      </c>
      <c r="O168" s="4">
        <v>117</v>
      </c>
      <c r="P168" s="4">
        <v>117</v>
      </c>
      <c r="Q168" s="4">
        <v>117</v>
      </c>
      <c r="R168" s="4">
        <v>116</v>
      </c>
      <c r="S168" s="4">
        <v>116</v>
      </c>
      <c r="T168" s="4">
        <v>114</v>
      </c>
      <c r="U168" s="4">
        <v>115</v>
      </c>
    </row>
    <row r="169" spans="3:21" ht="12.75" customHeight="1">
      <c r="C169" s="24" t="s">
        <v>31</v>
      </c>
      <c r="D169" s="24" t="s">
        <v>390</v>
      </c>
      <c r="E169" s="4">
        <v>100</v>
      </c>
      <c r="F169" s="4">
        <v>103</v>
      </c>
      <c r="G169" s="4">
        <v>103</v>
      </c>
      <c r="H169" s="4">
        <v>104</v>
      </c>
      <c r="I169" s="4">
        <v>107</v>
      </c>
      <c r="J169" s="4">
        <v>107</v>
      </c>
      <c r="K169" s="4">
        <v>108</v>
      </c>
      <c r="L169" s="4">
        <v>109</v>
      </c>
      <c r="M169" s="4">
        <v>112</v>
      </c>
      <c r="N169" s="4">
        <v>114</v>
      </c>
      <c r="O169" s="4">
        <v>115</v>
      </c>
      <c r="P169" s="4">
        <v>116</v>
      </c>
      <c r="Q169" s="4">
        <v>119</v>
      </c>
      <c r="R169" s="4">
        <v>118</v>
      </c>
      <c r="S169" s="4">
        <v>122</v>
      </c>
      <c r="T169" s="4">
        <v>122</v>
      </c>
      <c r="U169" s="4">
        <v>123</v>
      </c>
    </row>
    <row r="170" spans="3:21" ht="12.75" customHeight="1">
      <c r="C170" s="24" t="s">
        <v>50</v>
      </c>
      <c r="D170" s="24" t="s">
        <v>366</v>
      </c>
      <c r="E170" s="4">
        <v>96</v>
      </c>
      <c r="F170" s="4">
        <v>96</v>
      </c>
      <c r="G170" s="4">
        <v>98</v>
      </c>
      <c r="H170" s="4">
        <v>97</v>
      </c>
      <c r="I170" s="4">
        <v>97</v>
      </c>
      <c r="J170" s="4">
        <v>98</v>
      </c>
      <c r="K170" s="4">
        <v>103</v>
      </c>
      <c r="L170" s="4">
        <v>105</v>
      </c>
      <c r="M170" s="4">
        <v>108</v>
      </c>
      <c r="N170" s="4">
        <v>109</v>
      </c>
      <c r="O170" s="4">
        <v>108</v>
      </c>
      <c r="P170" s="4">
        <v>106</v>
      </c>
      <c r="Q170" s="4">
        <v>106</v>
      </c>
      <c r="R170" s="4">
        <v>123</v>
      </c>
      <c r="S170" s="4">
        <v>114</v>
      </c>
      <c r="T170" s="4">
        <v>116</v>
      </c>
      <c r="U170" s="4">
        <v>117</v>
      </c>
    </row>
    <row r="171" spans="3:21" ht="12.75" customHeight="1">
      <c r="C171" s="24" t="s">
        <v>53</v>
      </c>
      <c r="D171" s="24" t="s">
        <v>49</v>
      </c>
      <c r="E171" s="4">
        <v>3</v>
      </c>
      <c r="F171" s="4">
        <v>3</v>
      </c>
      <c r="G171" s="4">
        <v>3</v>
      </c>
      <c r="H171" s="4">
        <v>3</v>
      </c>
      <c r="I171" s="4">
        <v>3</v>
      </c>
      <c r="J171" s="4">
        <v>2</v>
      </c>
      <c r="K171" s="4">
        <v>2</v>
      </c>
      <c r="L171" s="4">
        <v>2</v>
      </c>
      <c r="M171" s="4">
        <v>2</v>
      </c>
      <c r="N171" s="4">
        <v>3</v>
      </c>
      <c r="O171" s="4">
        <v>5</v>
      </c>
      <c r="P171" s="4">
        <v>5</v>
      </c>
      <c r="Q171" s="4">
        <v>4</v>
      </c>
      <c r="R171" s="4">
        <v>5</v>
      </c>
      <c r="S171" s="4">
        <v>10</v>
      </c>
      <c r="T171" s="4">
        <v>10</v>
      </c>
      <c r="U171" s="4">
        <v>10</v>
      </c>
    </row>
    <row r="172" spans="3:21" ht="12.75" customHeight="1">
      <c r="C172" s="24" t="s">
        <v>254</v>
      </c>
      <c r="D172" s="24" t="s">
        <v>317</v>
      </c>
      <c r="E172" s="4">
        <v>18</v>
      </c>
      <c r="F172" s="4">
        <v>19</v>
      </c>
      <c r="G172" s="4">
        <v>19</v>
      </c>
      <c r="H172" s="4">
        <v>22</v>
      </c>
      <c r="I172" s="4">
        <v>22</v>
      </c>
      <c r="J172" s="4">
        <v>24</v>
      </c>
      <c r="K172" s="4">
        <v>24</v>
      </c>
      <c r="L172" s="4">
        <v>25</v>
      </c>
      <c r="M172" s="4">
        <v>28</v>
      </c>
      <c r="N172" s="4">
        <v>25</v>
      </c>
      <c r="O172" s="4">
        <v>26</v>
      </c>
      <c r="P172" s="4">
        <v>26</v>
      </c>
      <c r="Q172" s="4">
        <v>27</v>
      </c>
      <c r="R172" s="4">
        <v>28</v>
      </c>
      <c r="S172" s="4">
        <v>27</v>
      </c>
      <c r="T172" s="4">
        <v>28</v>
      </c>
      <c r="U172" s="4">
        <v>30</v>
      </c>
    </row>
    <row r="173" spans="3:21" ht="12.75" customHeight="1">
      <c r="C173" s="24" t="s">
        <v>4</v>
      </c>
      <c r="D173" s="24" t="s">
        <v>188</v>
      </c>
      <c r="E173" s="4">
        <v>40</v>
      </c>
      <c r="F173" s="4">
        <v>47</v>
      </c>
      <c r="G173" s="4">
        <v>50</v>
      </c>
      <c r="H173" s="4">
        <v>53</v>
      </c>
      <c r="I173" s="4">
        <v>55</v>
      </c>
      <c r="J173" s="4">
        <v>55</v>
      </c>
      <c r="K173" s="4">
        <v>61</v>
      </c>
      <c r="L173" s="4">
        <v>63</v>
      </c>
      <c r="M173" s="4">
        <v>67</v>
      </c>
      <c r="N173" s="4">
        <v>71</v>
      </c>
      <c r="O173" s="4">
        <v>72</v>
      </c>
      <c r="P173" s="4">
        <v>75</v>
      </c>
      <c r="Q173" s="4">
        <v>77</v>
      </c>
      <c r="R173" s="4">
        <v>85</v>
      </c>
      <c r="S173" s="4">
        <v>88</v>
      </c>
      <c r="T173" s="4">
        <v>90</v>
      </c>
      <c r="U173" s="4">
        <v>93</v>
      </c>
    </row>
    <row r="174" spans="3:21" ht="12.75" customHeight="1">
      <c r="C174" s="24" t="s">
        <v>197</v>
      </c>
      <c r="D174" s="24" t="s">
        <v>131</v>
      </c>
      <c r="E174" s="4">
        <v>152</v>
      </c>
      <c r="F174" s="4">
        <v>156</v>
      </c>
      <c r="G174" s="4">
        <v>158</v>
      </c>
      <c r="H174" s="4">
        <v>160</v>
      </c>
      <c r="I174" s="4">
        <v>163</v>
      </c>
      <c r="J174" s="4">
        <v>163</v>
      </c>
      <c r="K174" s="4">
        <v>162</v>
      </c>
      <c r="L174" s="4">
        <v>162</v>
      </c>
      <c r="M174" s="4">
        <v>163</v>
      </c>
      <c r="N174" s="4">
        <v>162</v>
      </c>
      <c r="O174" s="4">
        <v>163</v>
      </c>
      <c r="P174" s="4">
        <v>161</v>
      </c>
      <c r="Q174" s="4">
        <v>162</v>
      </c>
      <c r="R174" s="4">
        <v>163</v>
      </c>
      <c r="S174" s="4">
        <v>163</v>
      </c>
      <c r="T174" s="4">
        <v>163</v>
      </c>
      <c r="U174" s="4">
        <v>162</v>
      </c>
    </row>
    <row r="175" spans="3:21" ht="12.75" customHeight="1">
      <c r="C175" s="24" t="s">
        <v>34</v>
      </c>
      <c r="D175" s="24" t="s">
        <v>74</v>
      </c>
      <c r="E175" s="4">
        <v>20</v>
      </c>
      <c r="F175" s="4">
        <v>20</v>
      </c>
      <c r="G175" s="4">
        <v>20</v>
      </c>
      <c r="H175" s="4">
        <v>23</v>
      </c>
      <c r="I175" s="4">
        <v>21</v>
      </c>
      <c r="J175" s="4">
        <v>21</v>
      </c>
      <c r="K175" s="4">
        <v>21</v>
      </c>
      <c r="L175" s="4">
        <v>21</v>
      </c>
      <c r="M175" s="4">
        <v>22</v>
      </c>
      <c r="N175" s="4">
        <v>22</v>
      </c>
      <c r="O175" s="4">
        <v>22</v>
      </c>
      <c r="P175" s="4">
        <v>20</v>
      </c>
      <c r="Q175" s="4">
        <v>20</v>
      </c>
      <c r="R175" s="4">
        <v>20</v>
      </c>
      <c r="S175" s="4">
        <v>22</v>
      </c>
      <c r="T175" s="4">
        <v>22</v>
      </c>
      <c r="U175" s="4">
        <v>22</v>
      </c>
    </row>
    <row r="176" spans="3:21" ht="12.75" customHeight="1">
      <c r="C176" s="24" t="s">
        <v>231</v>
      </c>
      <c r="D176" s="24" t="s">
        <v>226</v>
      </c>
      <c r="E176" s="4" t="e">
        <v>#N/A</v>
      </c>
      <c r="F176" s="4" t="e">
        <v>#N/A</v>
      </c>
      <c r="G176" s="4" t="e">
        <v>#N/A</v>
      </c>
      <c r="H176" s="4" t="e">
        <v>#N/A</v>
      </c>
      <c r="I176" s="4" t="e">
        <v>#N/A</v>
      </c>
      <c r="J176" s="4" t="e">
        <v>#N/A</v>
      </c>
      <c r="K176" s="4" t="e">
        <v>#N/A</v>
      </c>
      <c r="L176" s="4" t="e">
        <v>#N/A</v>
      </c>
      <c r="M176" s="4" t="e">
        <v>#N/A</v>
      </c>
      <c r="N176" s="4" t="e">
        <v>#N/A</v>
      </c>
      <c r="O176" s="4" t="e">
        <v>#N/A</v>
      </c>
      <c r="P176" s="4" t="e">
        <v>#N/A</v>
      </c>
      <c r="Q176" s="4" t="e">
        <v>#N/A</v>
      </c>
      <c r="R176" s="4" t="e">
        <v>#N/A</v>
      </c>
      <c r="S176" s="4" t="e">
        <v>#N/A</v>
      </c>
      <c r="T176" s="4" t="e">
        <v>#N/A</v>
      </c>
      <c r="U176" s="4" t="e">
        <v>#N/A</v>
      </c>
    </row>
    <row r="177" spans="3:21" ht="12.75" customHeight="1">
      <c r="C177" s="24" t="s">
        <v>175</v>
      </c>
      <c r="D177" s="24" t="s">
        <v>215</v>
      </c>
      <c r="E177" s="4">
        <v>106</v>
      </c>
      <c r="F177" s="4">
        <v>106</v>
      </c>
      <c r="G177" s="4">
        <v>105</v>
      </c>
      <c r="H177" s="4">
        <v>105</v>
      </c>
      <c r="I177" s="4">
        <v>108</v>
      </c>
      <c r="J177" s="4">
        <v>108</v>
      </c>
      <c r="K177" s="4">
        <v>107</v>
      </c>
      <c r="L177" s="4">
        <v>114</v>
      </c>
      <c r="M177" s="4">
        <v>115</v>
      </c>
      <c r="N177" s="4">
        <v>116</v>
      </c>
      <c r="O177" s="4">
        <v>118</v>
      </c>
      <c r="P177" s="4">
        <v>119</v>
      </c>
      <c r="Q177" s="4">
        <v>127</v>
      </c>
      <c r="R177" s="4">
        <v>125</v>
      </c>
      <c r="S177" s="4">
        <v>124</v>
      </c>
      <c r="T177" s="4">
        <v>125</v>
      </c>
      <c r="U177" s="4">
        <v>127</v>
      </c>
    </row>
    <row r="178" spans="3:21" ht="12.75" customHeight="1">
      <c r="C178" s="24" t="s">
        <v>266</v>
      </c>
      <c r="D178" s="24" t="s">
        <v>59</v>
      </c>
      <c r="E178" s="4">
        <v>114</v>
      </c>
      <c r="F178" s="4">
        <v>115</v>
      </c>
      <c r="G178" s="4">
        <v>115</v>
      </c>
      <c r="H178" s="4">
        <v>116</v>
      </c>
      <c r="I178" s="4">
        <v>118</v>
      </c>
      <c r="J178" s="4">
        <v>117</v>
      </c>
      <c r="K178" s="4">
        <v>115</v>
      </c>
      <c r="L178" s="4">
        <v>116</v>
      </c>
      <c r="M178" s="4">
        <v>116</v>
      </c>
      <c r="N178" s="4">
        <v>115</v>
      </c>
      <c r="O178" s="4">
        <v>116</v>
      </c>
      <c r="P178" s="4">
        <v>114</v>
      </c>
      <c r="Q178" s="4">
        <v>115</v>
      </c>
      <c r="R178" s="4">
        <v>114</v>
      </c>
      <c r="S178" s="4">
        <v>113</v>
      </c>
      <c r="T178" s="4">
        <v>113</v>
      </c>
      <c r="U178" s="4">
        <v>112</v>
      </c>
    </row>
    <row r="179" spans="3:21" ht="12.75" customHeight="1">
      <c r="C179" s="24" t="s">
        <v>402</v>
      </c>
      <c r="D179" s="24" t="s">
        <v>230</v>
      </c>
      <c r="E179" s="4">
        <v>79</v>
      </c>
      <c r="F179" s="4">
        <v>80</v>
      </c>
      <c r="G179" s="4">
        <v>80</v>
      </c>
      <c r="H179" s="4">
        <v>80</v>
      </c>
      <c r="I179" s="4">
        <v>78</v>
      </c>
      <c r="J179" s="4">
        <v>78</v>
      </c>
      <c r="K179" s="4">
        <v>78</v>
      </c>
      <c r="L179" s="4">
        <v>80</v>
      </c>
      <c r="M179" s="4">
        <v>80</v>
      </c>
      <c r="N179" s="4">
        <v>80</v>
      </c>
      <c r="O179" s="4">
        <v>80</v>
      </c>
      <c r="P179" s="4">
        <v>80</v>
      </c>
      <c r="Q179" s="4">
        <v>81</v>
      </c>
      <c r="R179" s="4">
        <v>81</v>
      </c>
      <c r="S179" s="4">
        <v>82</v>
      </c>
      <c r="T179" s="4">
        <v>82</v>
      </c>
      <c r="U179" s="4">
        <v>81</v>
      </c>
    </row>
    <row r="180" spans="3:21" ht="12.75" customHeight="1">
      <c r="C180" s="24" t="s">
        <v>283</v>
      </c>
      <c r="D180" s="24" t="s">
        <v>64</v>
      </c>
      <c r="E180" s="4">
        <v>46</v>
      </c>
      <c r="F180" s="4">
        <v>48</v>
      </c>
      <c r="G180" s="4">
        <v>47</v>
      </c>
      <c r="H180" s="4">
        <v>65</v>
      </c>
      <c r="I180" s="4">
        <v>65</v>
      </c>
      <c r="J180" s="4">
        <v>59</v>
      </c>
      <c r="K180" s="4">
        <v>62</v>
      </c>
      <c r="L180" s="4">
        <v>58</v>
      </c>
      <c r="M180" s="4">
        <v>59</v>
      </c>
      <c r="N180" s="4">
        <v>62</v>
      </c>
      <c r="O180" s="4">
        <v>60</v>
      </c>
      <c r="P180" s="4">
        <v>59</v>
      </c>
      <c r="Q180" s="4">
        <v>61</v>
      </c>
      <c r="R180" s="4">
        <v>56</v>
      </c>
      <c r="S180" s="4">
        <v>62</v>
      </c>
      <c r="T180" s="4">
        <v>65</v>
      </c>
      <c r="U180" s="4">
        <v>67</v>
      </c>
    </row>
    <row r="181" spans="3:21" ht="12.75" customHeight="1">
      <c r="C181" s="24" t="s">
        <v>298</v>
      </c>
      <c r="D181" s="24" t="s">
        <v>264</v>
      </c>
      <c r="E181" s="4">
        <v>123</v>
      </c>
      <c r="F181" s="4">
        <v>121</v>
      </c>
      <c r="G181" s="4">
        <v>121</v>
      </c>
      <c r="H181" s="4">
        <v>113</v>
      </c>
      <c r="I181" s="4">
        <v>104</v>
      </c>
      <c r="J181" s="4">
        <v>102</v>
      </c>
      <c r="K181" s="4">
        <v>97</v>
      </c>
      <c r="L181" s="4">
        <v>93</v>
      </c>
      <c r="M181" s="4">
        <v>92</v>
      </c>
      <c r="N181" s="4">
        <v>88</v>
      </c>
      <c r="O181" s="4">
        <v>86</v>
      </c>
      <c r="P181" s="4">
        <v>84</v>
      </c>
      <c r="Q181" s="4">
        <v>79</v>
      </c>
      <c r="R181" s="4">
        <v>77</v>
      </c>
      <c r="S181" s="4">
        <v>76</v>
      </c>
      <c r="T181" s="4">
        <v>72</v>
      </c>
      <c r="U181" s="4">
        <v>69</v>
      </c>
    </row>
    <row r="182" spans="3:21" ht="12.75" customHeight="1">
      <c r="C182" s="24" t="s">
        <v>301</v>
      </c>
      <c r="D182" s="24" t="s">
        <v>86</v>
      </c>
      <c r="E182" s="4">
        <v>42</v>
      </c>
      <c r="F182" s="4">
        <v>42</v>
      </c>
      <c r="G182" s="4">
        <v>44</v>
      </c>
      <c r="H182" s="4">
        <v>43</v>
      </c>
      <c r="I182" s="4">
        <v>44</v>
      </c>
      <c r="J182" s="4">
        <v>44</v>
      </c>
      <c r="K182" s="4">
        <v>44</v>
      </c>
      <c r="L182" s="4">
        <v>44</v>
      </c>
      <c r="M182" s="4">
        <v>44</v>
      </c>
      <c r="N182" s="4">
        <v>45</v>
      </c>
      <c r="O182" s="4">
        <v>46</v>
      </c>
      <c r="P182" s="4">
        <v>45</v>
      </c>
      <c r="Q182" s="4">
        <v>45</v>
      </c>
      <c r="R182" s="4">
        <v>48</v>
      </c>
      <c r="S182" s="4">
        <v>48</v>
      </c>
      <c r="T182" s="4">
        <v>50</v>
      </c>
      <c r="U182" s="4">
        <v>50</v>
      </c>
    </row>
    <row r="183" spans="3:21" ht="12.75" customHeight="1">
      <c r="C183" s="24" t="s">
        <v>206</v>
      </c>
      <c r="D183" s="24" t="s">
        <v>258</v>
      </c>
      <c r="E183" s="4" t="e">
        <v>#N/A</v>
      </c>
      <c r="F183" s="4" t="e">
        <v>#N/A</v>
      </c>
      <c r="G183" s="4" t="e">
        <v>#N/A</v>
      </c>
      <c r="H183" s="4" t="e">
        <v>#N/A</v>
      </c>
      <c r="I183" s="4" t="e">
        <v>#N/A</v>
      </c>
      <c r="J183" s="4" t="e">
        <v>#N/A</v>
      </c>
      <c r="K183" s="4" t="e">
        <v>#N/A</v>
      </c>
      <c r="L183" s="4" t="e">
        <v>#N/A</v>
      </c>
      <c r="M183" s="4" t="e">
        <v>#N/A</v>
      </c>
      <c r="N183" s="4" t="e">
        <v>#N/A</v>
      </c>
      <c r="O183" s="4" t="e">
        <v>#N/A</v>
      </c>
      <c r="P183" s="4" t="e">
        <v>#N/A</v>
      </c>
      <c r="Q183" s="4" t="e">
        <v>#N/A</v>
      </c>
      <c r="R183" s="4" t="e">
        <v>#N/A</v>
      </c>
      <c r="S183" s="4" t="e">
        <v>#N/A</v>
      </c>
      <c r="T183" s="4" t="e">
        <v>#N/A</v>
      </c>
      <c r="U183" s="4" t="e">
        <v>#N/A</v>
      </c>
    </row>
    <row r="184" spans="3:21" ht="12.75" customHeight="1">
      <c r="C184" s="24" t="s">
        <v>304</v>
      </c>
      <c r="D184" s="24" t="s">
        <v>150</v>
      </c>
      <c r="E184" s="4">
        <v>111</v>
      </c>
      <c r="F184" s="4">
        <v>113</v>
      </c>
      <c r="G184" s="4">
        <v>114</v>
      </c>
      <c r="H184" s="4">
        <v>117</v>
      </c>
      <c r="I184" s="4">
        <v>120</v>
      </c>
      <c r="J184" s="4">
        <v>120</v>
      </c>
      <c r="K184" s="4">
        <v>119</v>
      </c>
      <c r="L184" s="4">
        <v>123</v>
      </c>
      <c r="M184" s="4">
        <v>124</v>
      </c>
      <c r="N184" s="4">
        <v>123</v>
      </c>
      <c r="O184" s="4">
        <v>126</v>
      </c>
      <c r="P184" s="4">
        <v>128</v>
      </c>
      <c r="Q184" s="4">
        <v>130</v>
      </c>
      <c r="R184" s="4">
        <v>133</v>
      </c>
      <c r="S184" s="4">
        <v>133</v>
      </c>
      <c r="T184" s="4">
        <v>134</v>
      </c>
      <c r="U184" s="4">
        <v>134</v>
      </c>
    </row>
    <row r="185" spans="3:21" ht="12.75" customHeight="1">
      <c r="C185" s="24" t="s">
        <v>78</v>
      </c>
      <c r="D185" s="24" t="s">
        <v>60</v>
      </c>
      <c r="E185" s="4">
        <v>26</v>
      </c>
      <c r="F185" s="4">
        <v>24</v>
      </c>
      <c r="G185" s="4">
        <v>24</v>
      </c>
      <c r="H185" s="4">
        <v>25</v>
      </c>
      <c r="I185" s="4">
        <v>23</v>
      </c>
      <c r="J185" s="4">
        <v>23</v>
      </c>
      <c r="K185" s="4">
        <v>23</v>
      </c>
      <c r="L185" s="4">
        <v>23</v>
      </c>
      <c r="M185" s="4">
        <v>24</v>
      </c>
      <c r="N185" s="4">
        <v>24</v>
      </c>
      <c r="O185" s="4">
        <v>24</v>
      </c>
      <c r="P185" s="4">
        <v>23</v>
      </c>
      <c r="Q185" s="4">
        <v>23</v>
      </c>
      <c r="R185" s="4">
        <v>23</v>
      </c>
      <c r="S185" s="4">
        <v>24</v>
      </c>
      <c r="T185" s="4">
        <v>24</v>
      </c>
      <c r="U185" s="4">
        <v>24</v>
      </c>
    </row>
    <row r="186" spans="3:21" ht="12.75" customHeight="1">
      <c r="C186" s="24" t="s">
        <v>221</v>
      </c>
      <c r="D186" s="24" t="s">
        <v>35</v>
      </c>
      <c r="E186" s="4">
        <v>3</v>
      </c>
      <c r="F186" s="4">
        <v>3</v>
      </c>
      <c r="G186" s="4">
        <v>3</v>
      </c>
      <c r="H186" s="4">
        <v>3</v>
      </c>
      <c r="I186" s="4">
        <v>3</v>
      </c>
      <c r="J186" s="4">
        <v>2</v>
      </c>
      <c r="K186" s="4">
        <v>2</v>
      </c>
      <c r="L186" s="4">
        <v>2</v>
      </c>
      <c r="M186" s="4">
        <v>2</v>
      </c>
      <c r="N186" s="4">
        <v>3</v>
      </c>
      <c r="O186" s="4">
        <v>5</v>
      </c>
      <c r="P186" s="4">
        <v>5</v>
      </c>
      <c r="Q186" s="4">
        <v>4</v>
      </c>
      <c r="R186" s="4">
        <v>5</v>
      </c>
      <c r="S186" s="4">
        <v>10</v>
      </c>
      <c r="T186" s="4">
        <v>10</v>
      </c>
      <c r="U186" s="4">
        <v>10</v>
      </c>
    </row>
    <row r="187" spans="3:21" ht="12.75" customHeight="1">
      <c r="C187" s="24" t="s">
        <v>10</v>
      </c>
      <c r="D187" s="24" t="s">
        <v>336</v>
      </c>
      <c r="E187" s="4">
        <v>3</v>
      </c>
      <c r="F187" s="4">
        <v>3</v>
      </c>
      <c r="G187" s="4">
        <v>3</v>
      </c>
      <c r="H187" s="4">
        <v>3</v>
      </c>
      <c r="I187" s="4">
        <v>3</v>
      </c>
      <c r="J187" s="4">
        <v>2</v>
      </c>
      <c r="K187" s="4">
        <v>2</v>
      </c>
      <c r="L187" s="4">
        <v>2</v>
      </c>
      <c r="M187" s="4">
        <v>2</v>
      </c>
      <c r="N187" s="4">
        <v>3</v>
      </c>
      <c r="O187" s="4">
        <v>5</v>
      </c>
      <c r="P187" s="4">
        <v>5</v>
      </c>
      <c r="Q187" s="4">
        <v>4</v>
      </c>
      <c r="R187" s="4">
        <v>5</v>
      </c>
      <c r="S187" s="4">
        <v>10</v>
      </c>
      <c r="T187" s="4">
        <v>10</v>
      </c>
      <c r="U187" s="4">
        <v>10</v>
      </c>
    </row>
    <row r="188" spans="3:21" ht="12.75" customHeight="1">
      <c r="C188" s="24" t="s">
        <v>157</v>
      </c>
      <c r="D188" s="24" t="s">
        <v>166</v>
      </c>
      <c r="E188" s="4">
        <v>63</v>
      </c>
      <c r="F188" s="4">
        <v>64</v>
      </c>
      <c r="G188" s="4">
        <v>65</v>
      </c>
      <c r="H188" s="4">
        <v>63</v>
      </c>
      <c r="I188" s="4">
        <v>64</v>
      </c>
      <c r="J188" s="4">
        <v>63</v>
      </c>
      <c r="K188" s="4">
        <v>64</v>
      </c>
      <c r="L188" s="4">
        <v>64</v>
      </c>
      <c r="M188" s="4">
        <v>63</v>
      </c>
      <c r="N188" s="4">
        <v>65</v>
      </c>
      <c r="O188" s="4">
        <v>64</v>
      </c>
      <c r="P188" s="4">
        <v>63</v>
      </c>
      <c r="Q188" s="4">
        <v>64</v>
      </c>
      <c r="R188" s="4">
        <v>63</v>
      </c>
      <c r="S188" s="4">
        <v>61</v>
      </c>
      <c r="T188" s="4">
        <v>63</v>
      </c>
      <c r="U188" s="4">
        <v>64</v>
      </c>
    </row>
    <row r="189" spans="3:21" ht="12.75" customHeight="1">
      <c r="C189" s="24" t="s">
        <v>332</v>
      </c>
      <c r="D189" s="24" t="s">
        <v>311</v>
      </c>
      <c r="E189" s="4" t="e">
        <v>#N/A</v>
      </c>
      <c r="F189" s="4" t="e">
        <v>#N/A</v>
      </c>
      <c r="G189" s="4" t="e">
        <v>#N/A</v>
      </c>
      <c r="H189" s="4" t="e">
        <v>#N/A</v>
      </c>
      <c r="I189" s="4" t="e">
        <v>#N/A</v>
      </c>
      <c r="J189" s="4" t="e">
        <v>#N/A</v>
      </c>
      <c r="K189" s="4" t="e">
        <v>#N/A</v>
      </c>
      <c r="L189" s="4" t="e">
        <v>#N/A</v>
      </c>
      <c r="M189" s="4" t="e">
        <v>#N/A</v>
      </c>
      <c r="N189" s="4" t="e">
        <v>#N/A</v>
      </c>
      <c r="O189" s="4" t="e">
        <v>#N/A</v>
      </c>
      <c r="P189" s="4" t="e">
        <v>#N/A</v>
      </c>
      <c r="Q189" s="4" t="e">
        <v>#N/A</v>
      </c>
      <c r="R189" s="4" t="e">
        <v>#N/A</v>
      </c>
      <c r="S189" s="4" t="e">
        <v>#N/A</v>
      </c>
      <c r="T189" s="4" t="e">
        <v>#N/A</v>
      </c>
      <c r="U189" s="4" t="e">
        <v>#N/A</v>
      </c>
    </row>
    <row r="190" spans="3:21" ht="12.75" customHeight="1">
      <c r="C190" s="24" t="s">
        <v>318</v>
      </c>
      <c r="D190" s="24" t="s">
        <v>144</v>
      </c>
      <c r="E190" s="4">
        <v>36</v>
      </c>
      <c r="F190" s="4">
        <v>35</v>
      </c>
      <c r="G190" s="4">
        <v>35</v>
      </c>
      <c r="H190" s="4">
        <v>36</v>
      </c>
      <c r="I190" s="4">
        <v>35</v>
      </c>
      <c r="J190" s="4">
        <v>35</v>
      </c>
      <c r="K190" s="4">
        <v>35</v>
      </c>
      <c r="L190" s="4">
        <v>36</v>
      </c>
      <c r="M190" s="4">
        <v>35</v>
      </c>
      <c r="N190" s="4">
        <v>35</v>
      </c>
      <c r="O190" s="4">
        <v>35</v>
      </c>
      <c r="P190" s="4">
        <v>35</v>
      </c>
      <c r="Q190" s="4">
        <v>36</v>
      </c>
      <c r="R190" s="4">
        <v>36</v>
      </c>
      <c r="S190" s="4">
        <v>36</v>
      </c>
      <c r="T190" s="4">
        <v>36</v>
      </c>
      <c r="U190" s="4">
        <v>37</v>
      </c>
    </row>
    <row r="191" spans="3:21" ht="12.75" customHeight="1">
      <c r="C191" s="24" t="s">
        <v>7</v>
      </c>
      <c r="D191" s="24" t="s">
        <v>12</v>
      </c>
      <c r="E191" s="4">
        <v>122</v>
      </c>
      <c r="F191" s="4">
        <v>124</v>
      </c>
      <c r="G191" s="4">
        <v>124</v>
      </c>
      <c r="H191" s="4">
        <v>123</v>
      </c>
      <c r="I191" s="4">
        <v>122</v>
      </c>
      <c r="J191" s="4">
        <v>122</v>
      </c>
      <c r="K191" s="4">
        <v>121</v>
      </c>
      <c r="L191" s="4">
        <v>122</v>
      </c>
      <c r="M191" s="4">
        <v>122</v>
      </c>
      <c r="N191" s="4">
        <v>120</v>
      </c>
      <c r="O191" s="4">
        <v>121</v>
      </c>
      <c r="P191" s="4">
        <v>121</v>
      </c>
      <c r="Q191" s="4">
        <v>122</v>
      </c>
      <c r="R191" s="4">
        <v>121</v>
      </c>
      <c r="S191" s="4">
        <v>121</v>
      </c>
      <c r="T191" s="4">
        <v>121</v>
      </c>
      <c r="U191" s="4">
        <v>120</v>
      </c>
    </row>
    <row r="192" spans="3:21" ht="12.75" customHeight="1">
      <c r="C192" s="24" t="s">
        <v>299</v>
      </c>
      <c r="D192" s="24" t="s">
        <v>323</v>
      </c>
      <c r="E192" s="4">
        <v>102</v>
      </c>
      <c r="F192" s="4">
        <v>102</v>
      </c>
      <c r="G192" s="4">
        <v>104</v>
      </c>
      <c r="H192" s="4">
        <v>103</v>
      </c>
      <c r="I192" s="4">
        <v>105</v>
      </c>
      <c r="J192" s="4">
        <v>104</v>
      </c>
      <c r="K192" s="4">
        <v>105</v>
      </c>
      <c r="L192" s="4">
        <v>107</v>
      </c>
      <c r="M192" s="4">
        <v>105</v>
      </c>
      <c r="N192" s="4">
        <v>106</v>
      </c>
      <c r="O192" s="4">
        <v>107</v>
      </c>
      <c r="P192" s="4">
        <v>108</v>
      </c>
      <c r="Q192" s="4">
        <v>107</v>
      </c>
      <c r="R192" s="4">
        <v>106</v>
      </c>
      <c r="S192" s="4">
        <v>106</v>
      </c>
      <c r="T192" s="4">
        <v>107</v>
      </c>
      <c r="U192" s="4">
        <v>108</v>
      </c>
    </row>
    <row r="193" spans="3:21" ht="12.75" customHeight="1">
      <c r="C193" s="24" t="s">
        <v>104</v>
      </c>
      <c r="D193" s="24" t="s">
        <v>339</v>
      </c>
      <c r="E193" s="4">
        <v>118</v>
      </c>
      <c r="F193" s="4">
        <v>120</v>
      </c>
      <c r="G193" s="4">
        <v>120</v>
      </c>
      <c r="H193" s="4">
        <v>119</v>
      </c>
      <c r="I193" s="4">
        <v>109</v>
      </c>
      <c r="J193" s="4">
        <v>105</v>
      </c>
      <c r="K193" s="4">
        <v>100</v>
      </c>
      <c r="L193" s="4">
        <v>98</v>
      </c>
      <c r="M193" s="4">
        <v>93</v>
      </c>
      <c r="N193" s="4">
        <v>89</v>
      </c>
      <c r="O193" s="4">
        <v>89</v>
      </c>
      <c r="P193" s="4">
        <v>88</v>
      </c>
      <c r="Q193" s="4">
        <v>89</v>
      </c>
      <c r="R193" s="4">
        <v>83</v>
      </c>
      <c r="S193" s="4">
        <v>77</v>
      </c>
      <c r="T193" s="4">
        <v>77</v>
      </c>
      <c r="U193" s="4">
        <v>75</v>
      </c>
    </row>
    <row r="194" spans="3:21" ht="12.75" customHeight="1">
      <c r="C194" s="24" t="s">
        <v>255</v>
      </c>
      <c r="D194" s="24" t="s">
        <v>160</v>
      </c>
      <c r="E194" s="4">
        <v>163</v>
      </c>
      <c r="F194" s="4">
        <v>164</v>
      </c>
      <c r="G194" s="4">
        <v>164</v>
      </c>
      <c r="H194" s="4">
        <v>165</v>
      </c>
      <c r="I194" s="4">
        <v>165</v>
      </c>
      <c r="J194" s="4">
        <v>164</v>
      </c>
      <c r="K194" s="4">
        <v>164</v>
      </c>
      <c r="L194" s="4">
        <v>165</v>
      </c>
      <c r="M194" s="4">
        <v>164</v>
      </c>
      <c r="N194" s="4">
        <v>161</v>
      </c>
      <c r="O194" s="4">
        <v>161</v>
      </c>
      <c r="P194" s="4">
        <v>158</v>
      </c>
      <c r="Q194" s="4">
        <v>158</v>
      </c>
      <c r="R194" s="4">
        <v>157</v>
      </c>
      <c r="S194" s="4">
        <v>157</v>
      </c>
      <c r="T194" s="4">
        <v>157</v>
      </c>
      <c r="U194" s="4">
        <v>157</v>
      </c>
    </row>
    <row r="195" spans="3:21" ht="12.75" customHeight="1">
      <c r="C195" s="24" t="s">
        <v>79</v>
      </c>
      <c r="D195" s="24" t="s">
        <v>324</v>
      </c>
      <c r="E195" s="4">
        <v>117</v>
      </c>
      <c r="F195" s="4">
        <v>119</v>
      </c>
      <c r="G195" s="4">
        <v>122</v>
      </c>
      <c r="H195" s="4">
        <v>122</v>
      </c>
      <c r="I195" s="4">
        <v>123</v>
      </c>
      <c r="J195" s="4">
        <v>123</v>
      </c>
      <c r="K195" s="4">
        <v>124</v>
      </c>
      <c r="L195" s="4">
        <v>126</v>
      </c>
      <c r="M195" s="4">
        <v>128</v>
      </c>
      <c r="N195" s="4">
        <v>130</v>
      </c>
      <c r="O195" s="4">
        <v>133</v>
      </c>
      <c r="P195" s="4">
        <v>136</v>
      </c>
      <c r="Q195" s="4">
        <v>136</v>
      </c>
      <c r="R195" s="4">
        <v>137</v>
      </c>
      <c r="S195" s="4">
        <v>137</v>
      </c>
      <c r="T195" s="4">
        <v>138</v>
      </c>
      <c r="U195" s="4">
        <v>140</v>
      </c>
    </row>
    <row r="196" spans="3:21" ht="12.75" customHeight="1">
      <c r="C196" s="24" t="s">
        <v>29</v>
      </c>
      <c r="D196" s="24" t="s">
        <v>65</v>
      </c>
      <c r="E196" s="4">
        <v>88</v>
      </c>
      <c r="F196" s="4">
        <v>87</v>
      </c>
      <c r="G196" s="4">
        <v>87</v>
      </c>
      <c r="H196" s="4">
        <v>86</v>
      </c>
      <c r="I196" s="4">
        <v>100</v>
      </c>
      <c r="J196" s="4">
        <v>109</v>
      </c>
      <c r="K196" s="4">
        <v>114</v>
      </c>
      <c r="L196" s="4">
        <v>133</v>
      </c>
      <c r="M196" s="4">
        <v>135</v>
      </c>
      <c r="N196" s="4">
        <v>147</v>
      </c>
      <c r="O196" s="4">
        <v>158</v>
      </c>
      <c r="P196" s="4">
        <v>170</v>
      </c>
      <c r="Q196" s="4">
        <v>177</v>
      </c>
      <c r="R196" s="4">
        <v>179</v>
      </c>
      <c r="S196" s="4">
        <v>179</v>
      </c>
      <c r="T196" s="4">
        <v>179</v>
      </c>
      <c r="U196" s="4">
        <v>179</v>
      </c>
    </row>
    <row r="197" spans="3:21" ht="12.75" customHeight="1">
      <c r="C197" s="24" t="s">
        <v>382</v>
      </c>
      <c r="D197" s="24" t="s">
        <v>245</v>
      </c>
      <c r="E197" s="4" t="e">
        <v>#N/A</v>
      </c>
      <c r="F197" s="4" t="e">
        <v>#N/A</v>
      </c>
      <c r="G197" s="4" t="e">
        <v>#N/A</v>
      </c>
      <c r="H197" s="4" t="e">
        <v>#N/A</v>
      </c>
      <c r="I197" s="4" t="e">
        <v>#N/A</v>
      </c>
      <c r="J197" s="4" t="e">
        <v>#N/A</v>
      </c>
      <c r="K197" s="4" t="e">
        <v>#N/A</v>
      </c>
      <c r="L197" s="4" t="e">
        <v>#N/A</v>
      </c>
      <c r="M197" s="4" t="e">
        <v>#N/A</v>
      </c>
      <c r="N197" s="4" t="e">
        <v>#N/A</v>
      </c>
      <c r="O197" s="4" t="e">
        <v>#N/A</v>
      </c>
      <c r="P197" s="4" t="e">
        <v>#N/A</v>
      </c>
      <c r="Q197" s="4" t="e">
        <v>#N/A</v>
      </c>
      <c r="R197" s="4" t="e">
        <v>#N/A</v>
      </c>
      <c r="S197" s="4" t="e">
        <v>#N/A</v>
      </c>
      <c r="T197" s="4" t="e">
        <v>#N/A</v>
      </c>
      <c r="U197" s="4" t="e">
        <v>#N/A</v>
      </c>
    </row>
  </sheetData>
  <pageMargins left="0.75" right="0.75" top="1" bottom="1" header="0.5" footer="0.5"/>
  <pageSetup paperSize="9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U197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E6" sqref="E6"/>
    </sheetView>
  </sheetViews>
  <sheetFormatPr baseColWidth="10" defaultColWidth="17.1640625" defaultRowHeight="12.75" customHeight="1" x14ac:dyDescent="0"/>
  <cols>
    <col min="1" max="4" width="8.83203125" customWidth="1"/>
    <col min="5" max="19" width="11.5" customWidth="1"/>
    <col min="20" max="20" width="5" customWidth="1"/>
    <col min="21" max="21" width="8.83203125" customWidth="1"/>
  </cols>
  <sheetData>
    <row r="1" spans="1:21" ht="13">
      <c r="A1" s="40" t="s">
        <v>351</v>
      </c>
      <c r="B1" s="41"/>
      <c r="C1" s="41"/>
      <c r="D1" s="41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spans="1:21" ht="13">
      <c r="A2" s="40" t="s">
        <v>113</v>
      </c>
      <c r="B2" s="41"/>
      <c r="C2" s="41"/>
      <c r="D2" s="41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1:21" ht="13">
      <c r="A3" s="40" t="s">
        <v>124</v>
      </c>
      <c r="B3" s="41"/>
      <c r="C3" s="41"/>
      <c r="D3" s="4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1:21" ht="13">
      <c r="A4" s="41"/>
      <c r="B4" s="41"/>
      <c r="C4" s="41"/>
      <c r="D4" s="4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2"/>
    </row>
    <row r="5" spans="1:21" ht="13">
      <c r="A5" s="25"/>
      <c r="B5" s="25"/>
      <c r="C5" s="23" t="s">
        <v>130</v>
      </c>
      <c r="D5" s="23" t="s">
        <v>392</v>
      </c>
      <c r="E5" s="23">
        <v>1995</v>
      </c>
      <c r="F5" s="23">
        <v>1996</v>
      </c>
      <c r="G5" s="23">
        <v>1997</v>
      </c>
      <c r="H5" s="23">
        <v>1998</v>
      </c>
      <c r="I5" s="23">
        <v>1999</v>
      </c>
      <c r="J5" s="23">
        <v>2000</v>
      </c>
      <c r="K5" s="23">
        <v>2001</v>
      </c>
      <c r="L5" s="23">
        <v>2002</v>
      </c>
      <c r="M5" s="23">
        <v>2003</v>
      </c>
      <c r="N5" s="23">
        <v>2004</v>
      </c>
      <c r="O5" s="23">
        <v>2005</v>
      </c>
      <c r="P5" s="23">
        <v>2006</v>
      </c>
      <c r="Q5" s="23">
        <v>2007</v>
      </c>
      <c r="R5" s="23">
        <v>2008</v>
      </c>
      <c r="S5" s="23">
        <v>2009</v>
      </c>
      <c r="T5" s="23">
        <v>2010</v>
      </c>
      <c r="U5" s="23">
        <v>2011</v>
      </c>
    </row>
    <row r="6" spans="1:21" ht="13">
      <c r="C6" s="1" t="s">
        <v>276</v>
      </c>
      <c r="D6" s="1" t="s">
        <v>2</v>
      </c>
      <c r="E6" s="4" t="e">
        <f>(Input!E6-Input!E$207)/Input!E$208</f>
        <v>#DIV/0!</v>
      </c>
      <c r="F6" s="4">
        <f>IF(ISBLANK('Raw touched'!F6),((F$5*SLOPE('Raw touched'!$E6:$U6,$E$5:$U$5))+INTERCEPT('Raw touched'!$E6:$U6,$E$5:$U$5)),'Raw touched'!F6)</f>
        <v>1.4264755383337615</v>
      </c>
      <c r="G6" s="4">
        <f>IF(ISBLANK('Raw touched'!G6),((G$5*SLOPE('Raw touched'!$E6:$U6,$E$5:$U$5))+INTERCEPT('Raw touched'!$E6:$U6,$E$5:$U$5)),'Raw touched'!G6)</f>
        <v>4.2464756133340416</v>
      </c>
      <c r="H6" s="4">
        <f>IF(ISBLANK('Raw touched'!H6),((H$5*SLOPE('Raw touched'!$E6:$U6,$E$5:$U$5))+INTERCEPT('Raw touched'!$E6:$U6,$E$5:$U$5)),'Raw touched'!H6)</f>
        <v>7.0664756883334121</v>
      </c>
      <c r="I6" s="4">
        <f>IF(ISBLANK('Raw touched'!I6),((I$5*SLOPE('Raw touched'!$E6:$U6,$E$5:$U$5))+INTERCEPT('Raw touched'!$E6:$U6,$E$5:$U$5)),'Raw touched'!I6)</f>
        <v>9.8864757633336922</v>
      </c>
      <c r="J6" s="4">
        <f>IF(ISBLANK('Raw touched'!J6),((J$5*SLOPE('Raw touched'!$E6:$U6,$E$5:$U$5))+INTERCEPT('Raw touched'!$E6:$U6,$E$5:$U$5)),'Raw touched'!J6)</f>
        <v>12.706475838333972</v>
      </c>
      <c r="K6" s="4">
        <f>IF(ISBLANK('Raw touched'!K6),((K$5*SLOPE('Raw touched'!$E6:$U6,$E$5:$U$5))+INTERCEPT('Raw touched'!$E6:$U6,$E$5:$U$5)),'Raw touched'!K6)</f>
        <v>15.526475913333343</v>
      </c>
      <c r="L6" s="4">
        <f>IF(ISBLANK('Raw touched'!L6),((L$5*SLOPE('Raw touched'!$E6:$U6,$E$5:$U$5))+INTERCEPT('Raw touched'!$E6:$U6,$E$5:$U$5)),'Raw touched'!L6)</f>
        <v>18.346475988333623</v>
      </c>
      <c r="M6" s="4">
        <f>IF(ISBLANK('Raw touched'!M6),((M$5*SLOPE('Raw touched'!$E6:$U6,$E$5:$U$5))+INTERCEPT('Raw touched'!$E6:$U6,$E$5:$U$5)),'Raw touched'!M6)</f>
        <v>21.166476063333903</v>
      </c>
      <c r="N6" s="4">
        <f>IF(ISBLANK('Raw touched'!N6),((N$5*SLOPE('Raw touched'!$E6:$U6,$E$5:$U$5))+INTERCEPT('Raw touched'!$E6:$U6,$E$5:$U$5)),'Raw touched'!N6)</f>
        <v>23.659999849999998</v>
      </c>
      <c r="O6" s="4">
        <f>IF(ISBLANK('Raw touched'!O6),((O$5*SLOPE('Raw touched'!$E6:$U6,$E$5:$U$5))+INTERCEPT('Raw touched'!$E6:$U6,$E$5:$U$5)),'Raw touched'!O6)</f>
        <v>27.45942879</v>
      </c>
      <c r="P6" s="4">
        <f>IF(ISBLANK('Raw touched'!P6),((P$5*SLOPE('Raw touched'!$E6:$U6,$E$5:$U$5))+INTERCEPT('Raw touched'!$E6:$U6,$E$5:$U$5)),'Raw touched'!P6)</f>
        <v>29.3</v>
      </c>
      <c r="Q6" s="4">
        <f>IF(ISBLANK('Raw touched'!Q6),((Q$5*SLOPE('Raw touched'!$E6:$U6,$E$5:$U$5))+INTERCEPT('Raw touched'!$E6:$U6,$E$5:$U$5)),'Raw touched'!Q6)</f>
        <v>32.446476363334114</v>
      </c>
      <c r="R6" s="4">
        <f>IF(ISBLANK('Raw touched'!R6),((R$5*SLOPE('Raw touched'!$E6:$U6,$E$5:$U$5))+INTERCEPT('Raw touched'!$E6:$U6,$E$5:$U$5)),'Raw touched'!R6)</f>
        <v>35.266476438333484</v>
      </c>
      <c r="S6" s="4">
        <f>IF(ISBLANK('Raw touched'!S6),((S$5*SLOPE('Raw touched'!$E6:$U6,$E$5:$U$5))+INTERCEPT('Raw touched'!$E6:$U6,$E$5:$U$5)),'Raw touched'!S6)</f>
        <v>38.086476513333764</v>
      </c>
      <c r="T6" s="4">
        <f>IF(ISBLANK('Raw touched'!T6),((T$5*SLOPE('Raw touched'!$E6:$U6,$E$5:$U$5))+INTERCEPT('Raw touched'!$E6:$U6,$E$5:$U$5)),'Raw touched'!T6)</f>
        <v>40.906476588334044</v>
      </c>
      <c r="U6" s="4">
        <f>IF(ISBLANK('Raw touched'!U6),((U$5*SLOPE('Raw touched'!$E6:$U6,$E$5:$U$5))+INTERCEPT('Raw touched'!$E6:$U6,$E$5:$U$5)),'Raw touched'!U6)</f>
        <v>43.726476663333415</v>
      </c>
    </row>
    <row r="7" spans="1:21" ht="13">
      <c r="C7" s="1" t="s">
        <v>320</v>
      </c>
      <c r="D7" s="1" t="s">
        <v>108</v>
      </c>
      <c r="E7" s="4">
        <f>IF(ISBLANK('Raw touched'!E7),((E$5*SLOPE('Raw touched'!$E7:$U7,$E$5:$U$5))+INTERCEPT('Raw touched'!$E7:$U7,$E$5:$U$5)),'Raw touched'!E7)</f>
        <v>39</v>
      </c>
      <c r="F7" s="4">
        <f>IF(ISBLANK('Raw touched'!F7),((F$5*SLOPE('Raw touched'!$E7:$U7,$E$5:$U$5))+INTERCEPT('Raw touched'!$E7:$U7,$E$5:$U$5)),'Raw touched'!F7)</f>
        <v>39</v>
      </c>
      <c r="G7" s="4">
        <f>IF(ISBLANK('Raw touched'!G7),((G$5*SLOPE('Raw touched'!$E7:$U7,$E$5:$U$5))+INTERCEPT('Raw touched'!$E7:$U7,$E$5:$U$5)),'Raw touched'!G7)</f>
        <v>39</v>
      </c>
      <c r="H7" s="4">
        <f>IF(ISBLANK('Raw touched'!H7),((H$5*SLOPE('Raw touched'!$E7:$U7,$E$5:$U$5))+INTERCEPT('Raw touched'!$E7:$U7,$E$5:$U$5)),'Raw touched'!H7)</f>
        <v>39</v>
      </c>
      <c r="I7" s="4">
        <f>IF(ISBLANK('Raw touched'!I7),((I$5*SLOPE('Raw touched'!$E7:$U7,$E$5:$U$5))+INTERCEPT('Raw touched'!$E7:$U7,$E$5:$U$5)),'Raw touched'!I7)</f>
        <v>39</v>
      </c>
      <c r="J7" s="4">
        <f>IF(ISBLANK('Raw touched'!J7),((J$5*SLOPE('Raw touched'!$E7:$U7,$E$5:$U$5))+INTERCEPT('Raw touched'!$E7:$U7,$E$5:$U$5)),'Raw touched'!J7)</f>
        <v>39</v>
      </c>
      <c r="K7" s="4">
        <f>IF(ISBLANK('Raw touched'!K7),((K$5*SLOPE('Raw touched'!$E7:$U7,$E$5:$U$5))+INTERCEPT('Raw touched'!$E7:$U7,$E$5:$U$5)),'Raw touched'!K7)</f>
        <v>39</v>
      </c>
      <c r="L7" s="4">
        <f>IF(ISBLANK('Raw touched'!L7),((L$5*SLOPE('Raw touched'!$E7:$U7,$E$5:$U$5))+INTERCEPT('Raw touched'!$E7:$U7,$E$5:$U$5)),'Raw touched'!L7)</f>
        <v>39</v>
      </c>
      <c r="M7" s="4">
        <f>IF(ISBLANK('Raw touched'!M7),((M$5*SLOPE('Raw touched'!$E7:$U7,$E$5:$U$5))+INTERCEPT('Raw touched'!$E7:$U7,$E$5:$U$5)),'Raw touched'!M7)</f>
        <v>39</v>
      </c>
      <c r="N7" s="4">
        <f>IF(ISBLANK('Raw touched'!N7),((N$5*SLOPE('Raw touched'!$E7:$U7,$E$5:$U$5))+INTERCEPT('Raw touched'!$E7:$U7,$E$5:$U$5)),'Raw touched'!N7)</f>
        <v>39</v>
      </c>
      <c r="O7" s="4">
        <f>IF(ISBLANK('Raw touched'!O7),((O$5*SLOPE('Raw touched'!$E7:$U7,$E$5:$U$5))+INTERCEPT('Raw touched'!$E7:$U7,$E$5:$U$5)),'Raw touched'!O7)</f>
        <v>39</v>
      </c>
      <c r="P7" s="4">
        <f>IF(ISBLANK('Raw touched'!P7),((P$5*SLOPE('Raw touched'!$E7:$U7,$E$5:$U$5))+INTERCEPT('Raw touched'!$E7:$U7,$E$5:$U$5)),'Raw touched'!P7)</f>
        <v>39</v>
      </c>
      <c r="Q7" s="4">
        <f>IF(ISBLANK('Raw touched'!Q7),((Q$5*SLOPE('Raw touched'!$E7:$U7,$E$5:$U$5))+INTERCEPT('Raw touched'!$E7:$U7,$E$5:$U$5)),'Raw touched'!Q7)</f>
        <v>39</v>
      </c>
      <c r="R7" s="4">
        <f>IF(ISBLANK('Raw touched'!R7),((R$5*SLOPE('Raw touched'!$E7:$U7,$E$5:$U$5))+INTERCEPT('Raw touched'!$E7:$U7,$E$5:$U$5)),'Raw touched'!R7)</f>
        <v>39</v>
      </c>
      <c r="S7" s="4">
        <f>IF(ISBLANK('Raw touched'!S7),((S$5*SLOPE('Raw touched'!$E7:$U7,$E$5:$U$5))+INTERCEPT('Raw touched'!$E7:$U7,$E$5:$U$5)),'Raw touched'!S7)</f>
        <v>39</v>
      </c>
      <c r="T7" s="4">
        <f>IF(ISBLANK('Raw touched'!T7),((T$5*SLOPE('Raw touched'!$E7:$U7,$E$5:$U$5))+INTERCEPT('Raw touched'!$E7:$U7,$E$5:$U$5)),'Raw touched'!T7)</f>
        <v>39</v>
      </c>
      <c r="U7" s="4">
        <f>IF(ISBLANK('Raw touched'!U7),((U$5*SLOPE('Raw touched'!$E7:$U7,$E$5:$U$5))+INTERCEPT('Raw touched'!$E7:$U7,$E$5:$U$5)),'Raw touched'!U7)</f>
        <v>39</v>
      </c>
    </row>
    <row r="8" spans="1:21" ht="13">
      <c r="C8" s="1" t="s">
        <v>52</v>
      </c>
      <c r="D8" s="1" t="s">
        <v>309</v>
      </c>
      <c r="E8" s="4">
        <f>IF(ISBLANK('Raw touched'!E8),((E$5*SLOPE('Raw touched'!$E8:$U8,$E$5:$U$5))+INTERCEPT('Raw touched'!$E8:$U8,$E$5:$U$5)),'Raw touched'!E8)</f>
        <v>68.900001529999997</v>
      </c>
      <c r="F8" s="4">
        <f>IF(ISBLANK('Raw touched'!F8),((F$5*SLOPE('Raw touched'!$E8:$U8,$E$5:$U$5))+INTERCEPT('Raw touched'!$E8:$U8,$E$5:$U$5)),'Raw touched'!F8)</f>
        <v>68.900001529999997</v>
      </c>
      <c r="G8" s="4">
        <f>IF(ISBLANK('Raw touched'!G8),((G$5*SLOPE('Raw touched'!$E8:$U8,$E$5:$U$5))+INTERCEPT('Raw touched'!$E8:$U8,$E$5:$U$5)),'Raw touched'!G8)</f>
        <v>68.900001529999997</v>
      </c>
      <c r="H8" s="4">
        <f>IF(ISBLANK('Raw touched'!H8),((H$5*SLOPE('Raw touched'!$E8:$U8,$E$5:$U$5))+INTERCEPT('Raw touched'!$E8:$U8,$E$5:$U$5)),'Raw touched'!H8)</f>
        <v>68.900001529999997</v>
      </c>
      <c r="I8" s="4">
        <f>IF(ISBLANK('Raw touched'!I8),((I$5*SLOPE('Raw touched'!$E8:$U8,$E$5:$U$5))+INTERCEPT('Raw touched'!$E8:$U8,$E$5:$U$5)),'Raw touched'!I8)</f>
        <v>68.900001529999997</v>
      </c>
      <c r="J8" s="4">
        <f>IF(ISBLANK('Raw touched'!J8),((J$5*SLOPE('Raw touched'!$E8:$U8,$E$5:$U$5))+INTERCEPT('Raw touched'!$E8:$U8,$E$5:$U$5)),'Raw touched'!J8)</f>
        <v>68.900001529999997</v>
      </c>
      <c r="K8" s="4">
        <f>IF(ISBLANK('Raw touched'!K8),((K$5*SLOPE('Raw touched'!$E8:$U8,$E$5:$U$5))+INTERCEPT('Raw touched'!$E8:$U8,$E$5:$U$5)),'Raw touched'!K8)</f>
        <v>70.083156357880512</v>
      </c>
      <c r="L8" s="4">
        <f>IF(ISBLANK('Raw touched'!L8),((L$5*SLOPE('Raw touched'!$E8:$U8,$E$5:$U$5))+INTERCEPT('Raw touched'!$E8:$U8,$E$5:$U$5)),'Raw touched'!L8)</f>
        <v>70.410905879066263</v>
      </c>
      <c r="M8" s="4">
        <f>IF(ISBLANK('Raw touched'!M8),((M$5*SLOPE('Raw touched'!$E8:$U8,$E$5:$U$5))+INTERCEPT('Raw touched'!$E8:$U8,$E$5:$U$5)),'Raw touched'!M8)</f>
        <v>70.738655400252128</v>
      </c>
      <c r="N8" s="4">
        <f>IF(ISBLANK('Raw touched'!N8),((N$5*SLOPE('Raw touched'!$E8:$U8,$E$5:$U$5))+INTERCEPT('Raw touched'!$E8:$U8,$E$5:$U$5)),'Raw touched'!N8)</f>
        <v>70.199996949999999</v>
      </c>
      <c r="O8" s="4">
        <f>IF(ISBLANK('Raw touched'!O8),((O$5*SLOPE('Raw touched'!$E8:$U8,$E$5:$U$5))+INTERCEPT('Raw touched'!$E8:$U8,$E$5:$U$5)),'Raw touched'!O8)</f>
        <v>71.394154442623744</v>
      </c>
      <c r="P8" s="4">
        <f>IF(ISBLANK('Raw touched'!P8),((P$5*SLOPE('Raw touched'!$E8:$U8,$E$5:$U$5))+INTERCEPT('Raw touched'!$E8:$U8,$E$5:$U$5)),'Raw touched'!P8)</f>
        <v>71.721903963809496</v>
      </c>
      <c r="Q8" s="4">
        <f>IF(ISBLANK('Raw touched'!Q8),((Q$5*SLOPE('Raw touched'!$E8:$U8,$E$5:$U$5))+INTERCEPT('Raw touched'!$E8:$U8,$E$5:$U$5)),'Raw touched'!Q8)</f>
        <v>72.04965348499536</v>
      </c>
      <c r="R8" s="4">
        <f>IF(ISBLANK('Raw touched'!R8),((R$5*SLOPE('Raw touched'!$E8:$U8,$E$5:$U$5))+INTERCEPT('Raw touched'!$E8:$U8,$E$5:$U$5)),'Raw touched'!R8)</f>
        <v>73.459999999999994</v>
      </c>
      <c r="S8" s="4">
        <f>IF(ISBLANK('Raw touched'!S8),((S$5*SLOPE('Raw touched'!$E8:$U8,$E$5:$U$5))+INTERCEPT('Raw touched'!$E8:$U8,$E$5:$U$5)),'Raw touched'!S8)</f>
        <v>72.705152527366977</v>
      </c>
      <c r="T8" s="4">
        <f>IF(ISBLANK('Raw touched'!T8),((T$5*SLOPE('Raw touched'!$E8:$U8,$E$5:$U$5))+INTERCEPT('Raw touched'!$E8:$U8,$E$5:$U$5)),'Raw touched'!T8)</f>
        <v>73.032902048552728</v>
      </c>
      <c r="U8" s="4">
        <f>IF(ISBLANK('Raw touched'!U8),((U$5*SLOPE('Raw touched'!$E8:$U8,$E$5:$U$5))+INTERCEPT('Raw touched'!$E8:$U8,$E$5:$U$5)),'Raw touched'!U8)</f>
        <v>73.360651569738593</v>
      </c>
    </row>
    <row r="9" spans="1:21" ht="13">
      <c r="C9" s="1" t="s">
        <v>353</v>
      </c>
      <c r="D9" s="1" t="s">
        <v>145</v>
      </c>
      <c r="E9" s="4" t="e">
        <f>IF(ISBLANK('Raw touched'!E9),((E$5*SLOPE('Raw touched'!$E9:$U9,$E$5:$U$5))+INTERCEPT('Raw touched'!$E9:$U9,$E$5:$U$5)),'Raw touched'!E9)</f>
        <v>#DIV/0!</v>
      </c>
      <c r="F9" s="4" t="e">
        <f>IF(ISBLANK('Raw touched'!F9),((F$5*SLOPE('Raw touched'!$E9:$U9,$E$5:$U$5))+INTERCEPT('Raw touched'!$E9:$U9,$E$5:$U$5)),'Raw touched'!F9)</f>
        <v>#DIV/0!</v>
      </c>
      <c r="G9" s="4" t="e">
        <f>IF(ISBLANK('Raw touched'!G9),((G$5*SLOPE('Raw touched'!$E9:$U9,$E$5:$U$5))+INTERCEPT('Raw touched'!$E9:$U9,$E$5:$U$5)),'Raw touched'!G9)</f>
        <v>#DIV/0!</v>
      </c>
      <c r="H9" s="4" t="e">
        <f>IF(ISBLANK('Raw touched'!H9),((H$5*SLOPE('Raw touched'!$E9:$U9,$E$5:$U$5))+INTERCEPT('Raw touched'!$E9:$U9,$E$5:$U$5)),'Raw touched'!H9)</f>
        <v>#DIV/0!</v>
      </c>
      <c r="I9" s="4" t="e">
        <f>IF(ISBLANK('Raw touched'!I9),((I$5*SLOPE('Raw touched'!$E9:$U9,$E$5:$U$5))+INTERCEPT('Raw touched'!$E9:$U9,$E$5:$U$5)),'Raw touched'!I9)</f>
        <v>#DIV/0!</v>
      </c>
      <c r="J9" s="4" t="e">
        <f>IF(ISBLANK('Raw touched'!J9),((J$5*SLOPE('Raw touched'!$E9:$U9,$E$5:$U$5))+INTERCEPT('Raw touched'!$E9:$U9,$E$5:$U$5)),'Raw touched'!J9)</f>
        <v>#DIV/0!</v>
      </c>
      <c r="K9" s="4" t="e">
        <f>IF(ISBLANK('Raw touched'!K9),((K$5*SLOPE('Raw touched'!$E9:$U9,$E$5:$U$5))+INTERCEPT('Raw touched'!$E9:$U9,$E$5:$U$5)),'Raw touched'!K9)</f>
        <v>#DIV/0!</v>
      </c>
      <c r="L9" s="4" t="e">
        <f>IF(ISBLANK('Raw touched'!L9),((L$5*SLOPE('Raw touched'!$E9:$U9,$E$5:$U$5))+INTERCEPT('Raw touched'!$E9:$U9,$E$5:$U$5)),'Raw touched'!L9)</f>
        <v>#DIV/0!</v>
      </c>
      <c r="M9" s="4" t="e">
        <f>IF(ISBLANK('Raw touched'!M9),((M$5*SLOPE('Raw touched'!$E9:$U9,$E$5:$U$5))+INTERCEPT('Raw touched'!$E9:$U9,$E$5:$U$5)),'Raw touched'!M9)</f>
        <v>#DIV/0!</v>
      </c>
      <c r="N9" s="4" t="e">
        <f>IF(ISBLANK('Raw touched'!N9),((N$5*SLOPE('Raw touched'!$E9:$U9,$E$5:$U$5))+INTERCEPT('Raw touched'!$E9:$U9,$E$5:$U$5)),'Raw touched'!N9)</f>
        <v>#DIV/0!</v>
      </c>
      <c r="O9" s="4" t="e">
        <f>IF(ISBLANK('Raw touched'!O9),((O$5*SLOPE('Raw touched'!$E9:$U9,$E$5:$U$5))+INTERCEPT('Raw touched'!$E9:$U9,$E$5:$U$5)),'Raw touched'!O9)</f>
        <v>#DIV/0!</v>
      </c>
      <c r="P9" s="4" t="e">
        <f>IF(ISBLANK('Raw touched'!P9),((P$5*SLOPE('Raw touched'!$E9:$U9,$E$5:$U$5))+INTERCEPT('Raw touched'!$E9:$U9,$E$5:$U$5)),'Raw touched'!P9)</f>
        <v>#DIV/0!</v>
      </c>
      <c r="Q9" s="4" t="e">
        <f>IF(ISBLANK('Raw touched'!Q9),((Q$5*SLOPE('Raw touched'!$E9:$U9,$E$5:$U$5))+INTERCEPT('Raw touched'!$E9:$U9,$E$5:$U$5)),'Raw touched'!Q9)</f>
        <v>#DIV/0!</v>
      </c>
      <c r="R9" s="4" t="e">
        <f>IF(ISBLANK('Raw touched'!R9),((R$5*SLOPE('Raw touched'!$E9:$U9,$E$5:$U$5))+INTERCEPT('Raw touched'!$E9:$U9,$E$5:$U$5)),'Raw touched'!R9)</f>
        <v>#DIV/0!</v>
      </c>
      <c r="S9" s="4" t="e">
        <f>IF(ISBLANK('Raw touched'!S9),((S$5*SLOPE('Raw touched'!$E9:$U9,$E$5:$U$5))+INTERCEPT('Raw touched'!$E9:$U9,$E$5:$U$5)),'Raw touched'!S9)</f>
        <v>#DIV/0!</v>
      </c>
      <c r="T9" s="4" t="e">
        <f>IF(ISBLANK('Raw touched'!T9),((T$5*SLOPE('Raw touched'!$E9:$U9,$E$5:$U$5))+INTERCEPT('Raw touched'!$E9:$U9,$E$5:$U$5)),'Raw touched'!T9)</f>
        <v>#DIV/0!</v>
      </c>
      <c r="U9" s="4" t="e">
        <f>IF(ISBLANK('Raw touched'!U9),((U$5*SLOPE('Raw touched'!$E9:$U9,$E$5:$U$5))+INTERCEPT('Raw touched'!$E9:$U9,$E$5:$U$5)),'Raw touched'!U9)</f>
        <v>#DIV/0!</v>
      </c>
    </row>
    <row r="10" spans="1:21" ht="13">
      <c r="C10" s="1" t="s">
        <v>257</v>
      </c>
      <c r="D10" s="1" t="s">
        <v>222</v>
      </c>
      <c r="E10" s="4">
        <f>IF(ISBLANK('Raw touched'!E10),((E$5*SLOPE('Raw touched'!$E10:$U10,$E$5:$U$5))+INTERCEPT('Raw touched'!$E10:$U10,$E$5:$U$5)),'Raw touched'!E10)</f>
        <v>10.399999619999999</v>
      </c>
      <c r="F10" s="4">
        <f>IF(ISBLANK('Raw touched'!F10),((F$5*SLOPE('Raw touched'!$E10:$U10,$E$5:$U$5))+INTERCEPT('Raw touched'!$E10:$U10,$E$5:$U$5)),'Raw touched'!F10)</f>
        <v>10.399999619999999</v>
      </c>
      <c r="G10" s="4">
        <f>IF(ISBLANK('Raw touched'!G10),((G$5*SLOPE('Raw touched'!$E10:$U10,$E$5:$U$5))+INTERCEPT('Raw touched'!$E10:$U10,$E$5:$U$5)),'Raw touched'!G10)</f>
        <v>10.399999619999999</v>
      </c>
      <c r="H10" s="4">
        <f>IF(ISBLANK('Raw touched'!H10),((H$5*SLOPE('Raw touched'!$E10:$U10,$E$5:$U$5))+INTERCEPT('Raw touched'!$E10:$U10,$E$5:$U$5)),'Raw touched'!H10)</f>
        <v>10.399999619999999</v>
      </c>
      <c r="I10" s="4">
        <f>IF(ISBLANK('Raw touched'!I10),((I$5*SLOPE('Raw touched'!$E10:$U10,$E$5:$U$5))+INTERCEPT('Raw touched'!$E10:$U10,$E$5:$U$5)),'Raw touched'!I10)</f>
        <v>10.399999619999999</v>
      </c>
      <c r="J10" s="4">
        <f>IF(ISBLANK('Raw touched'!J10),((J$5*SLOPE('Raw touched'!$E10:$U10,$E$5:$U$5))+INTERCEPT('Raw touched'!$E10:$U10,$E$5:$U$5)),'Raw touched'!J10)</f>
        <v>10.399999619999999</v>
      </c>
      <c r="K10" s="4">
        <f>IF(ISBLANK('Raw touched'!K10),((K$5*SLOPE('Raw touched'!$E10:$U10,$E$5:$U$5))+INTERCEPT('Raw touched'!$E10:$U10,$E$5:$U$5)),'Raw touched'!K10)</f>
        <v>10.399999619999999</v>
      </c>
      <c r="L10" s="4">
        <f>IF(ISBLANK('Raw touched'!L10),((L$5*SLOPE('Raw touched'!$E10:$U10,$E$5:$U$5))+INTERCEPT('Raw touched'!$E10:$U10,$E$5:$U$5)),'Raw touched'!L10)</f>
        <v>10.399999619999999</v>
      </c>
      <c r="M10" s="4">
        <f>IF(ISBLANK('Raw touched'!M10),((M$5*SLOPE('Raw touched'!$E10:$U10,$E$5:$U$5))+INTERCEPT('Raw touched'!$E10:$U10,$E$5:$U$5)),'Raw touched'!M10)</f>
        <v>10.399999619999999</v>
      </c>
      <c r="N10" s="4">
        <f>IF(ISBLANK('Raw touched'!N10),((N$5*SLOPE('Raw touched'!$E10:$U10,$E$5:$U$5))+INTERCEPT('Raw touched'!$E10:$U10,$E$5:$U$5)),'Raw touched'!N10)</f>
        <v>10.399999619999999</v>
      </c>
      <c r="O10" s="4">
        <f>IF(ISBLANK('Raw touched'!O10),((O$5*SLOPE('Raw touched'!$E10:$U10,$E$5:$U$5))+INTERCEPT('Raw touched'!$E10:$U10,$E$5:$U$5)),'Raw touched'!O10)</f>
        <v>10.399999619999999</v>
      </c>
      <c r="P10" s="4">
        <f>IF(ISBLANK('Raw touched'!P10),((P$5*SLOPE('Raw touched'!$E10:$U10,$E$5:$U$5))+INTERCEPT('Raw touched'!$E10:$U10,$E$5:$U$5)),'Raw touched'!P10)</f>
        <v>10.399999619999999</v>
      </c>
      <c r="Q10" s="4">
        <f>IF(ISBLANK('Raw touched'!Q10),((Q$5*SLOPE('Raw touched'!$E10:$U10,$E$5:$U$5))+INTERCEPT('Raw touched'!$E10:$U10,$E$5:$U$5)),'Raw touched'!Q10)</f>
        <v>10.399999619999999</v>
      </c>
      <c r="R10" s="4">
        <f>IF(ISBLANK('Raw touched'!R10),((R$5*SLOPE('Raw touched'!$E10:$U10,$E$5:$U$5))+INTERCEPT('Raw touched'!$E10:$U10,$E$5:$U$5)),'Raw touched'!R10)</f>
        <v>10.399999619999999</v>
      </c>
      <c r="S10" s="4">
        <f>IF(ISBLANK('Raw touched'!S10),((S$5*SLOPE('Raw touched'!$E10:$U10,$E$5:$U$5))+INTERCEPT('Raw touched'!$E10:$U10,$E$5:$U$5)),'Raw touched'!S10)</f>
        <v>10.399999619999999</v>
      </c>
      <c r="T10" s="4">
        <f>IF(ISBLANK('Raw touched'!T10),((T$5*SLOPE('Raw touched'!$E10:$U10,$E$5:$U$5))+INTERCEPT('Raw touched'!$E10:$U10,$E$5:$U$5)),'Raw touched'!T10)</f>
        <v>10.399999619999999</v>
      </c>
      <c r="U10" s="4">
        <f>IF(ISBLANK('Raw touched'!U10),((U$5*SLOPE('Raw touched'!$E10:$U10,$E$5:$U$5))+INTERCEPT('Raw touched'!$E10:$U10,$E$5:$U$5)),'Raw touched'!U10)</f>
        <v>10.399999619999999</v>
      </c>
    </row>
    <row r="11" spans="1:21" ht="13">
      <c r="C11" s="1" t="s">
        <v>22</v>
      </c>
      <c r="D11" s="1" t="s">
        <v>162</v>
      </c>
      <c r="E11" s="4">
        <f>IF(ISBLANK('Raw touched'!E11),((E$5*SLOPE('Raw touched'!$E11:$U11,$E$5:$U$5))+INTERCEPT('Raw touched'!$E11:$U11,$E$5:$U$5)),'Raw touched'!E11)</f>
        <v>39.881598886799999</v>
      </c>
      <c r="F11" s="4">
        <f>IF(ISBLANK('Raw touched'!F11),((F$5*SLOPE('Raw touched'!$E11:$U11,$E$5:$U$5))+INTERCEPT('Raw touched'!$E11:$U11,$E$5:$U$5)),'Raw touched'!F11)</f>
        <v>38.892798914399918</v>
      </c>
      <c r="G11" s="4">
        <f>IF(ISBLANK('Raw touched'!G11),((G$5*SLOPE('Raw touched'!$E11:$U11,$E$5:$U$5))+INTERCEPT('Raw touched'!$E11:$U11,$E$5:$U$5)),'Raw touched'!G11)</f>
        <v>37.903998941999816</v>
      </c>
      <c r="H11" s="4">
        <f>IF(ISBLANK('Raw touched'!H11),((H$5*SLOPE('Raw touched'!$E11:$U11,$E$5:$U$5))+INTERCEPT('Raw touched'!$E11:$U11,$E$5:$U$5)),'Raw touched'!H11)</f>
        <v>36.915198969599714</v>
      </c>
      <c r="I11" s="4">
        <f>IF(ISBLANK('Raw touched'!I11),((I$5*SLOPE('Raw touched'!$E11:$U11,$E$5:$U$5))+INTERCEPT('Raw touched'!$E11:$U11,$E$5:$U$5)),'Raw touched'!I11)</f>
        <v>35.92639899719984</v>
      </c>
      <c r="J11" s="4">
        <f>IF(ISBLANK('Raw touched'!J11),((J$5*SLOPE('Raw touched'!$E11:$U11,$E$5:$U$5))+INTERCEPT('Raw touched'!$E11:$U11,$E$5:$U$5)),'Raw touched'!J11)</f>
        <v>34.937599024799738</v>
      </c>
      <c r="K11" s="4">
        <f>IF(ISBLANK('Raw touched'!K11),((K$5*SLOPE('Raw touched'!$E11:$U11,$E$5:$U$5))+INTERCEPT('Raw touched'!$E11:$U11,$E$5:$U$5)),'Raw touched'!K11)</f>
        <v>33.948799052399863</v>
      </c>
      <c r="L11" s="4">
        <f>IF(ISBLANK('Raw touched'!L11),((L$5*SLOPE('Raw touched'!$E11:$U11,$E$5:$U$5))+INTERCEPT('Raw touched'!$E11:$U11,$E$5:$U$5)),'Raw touched'!L11)</f>
        <v>32.959999080000003</v>
      </c>
      <c r="M11" s="4">
        <f>IF(ISBLANK('Raw touched'!M11),((M$5*SLOPE('Raw touched'!$E11:$U11,$E$5:$U$5))+INTERCEPT('Raw touched'!$E11:$U11,$E$5:$U$5)),'Raw touched'!M11)</f>
        <v>31.971199107599887</v>
      </c>
      <c r="N11" s="4">
        <f>IF(ISBLANK('Raw touched'!N11),((N$5*SLOPE('Raw touched'!$E11:$U11,$E$5:$U$5))+INTERCEPT('Raw touched'!$E11:$U11,$E$5:$U$5)),'Raw touched'!N11)</f>
        <v>30.982399135199785</v>
      </c>
      <c r="O11" s="4">
        <f>IF(ISBLANK('Raw touched'!O11),((O$5*SLOPE('Raw touched'!$E11:$U11,$E$5:$U$5))+INTERCEPT('Raw touched'!$E11:$U11,$E$5:$U$5)),'Raw touched'!O11)</f>
        <v>29.99359916279991</v>
      </c>
      <c r="P11" s="4">
        <f>IF(ISBLANK('Raw touched'!P11),((P$5*SLOPE('Raw touched'!$E11:$U11,$E$5:$U$5))+INTERCEPT('Raw touched'!$E11:$U11,$E$5:$U$5)),'Raw touched'!P11)</f>
        <v>29.004799190399808</v>
      </c>
      <c r="Q11" s="4">
        <f>IF(ISBLANK('Raw touched'!Q11),((Q$5*SLOPE('Raw touched'!$E11:$U11,$E$5:$U$5))+INTERCEPT('Raw touched'!$E11:$U11,$E$5:$U$5)),'Raw touched'!Q11)</f>
        <v>28.015999217999934</v>
      </c>
      <c r="R11" s="4">
        <f>IF(ISBLANK('Raw touched'!R11),((R$5*SLOPE('Raw touched'!$E11:$U11,$E$5:$U$5))+INTERCEPT('Raw touched'!$E11:$U11,$E$5:$U$5)),'Raw touched'!R11)</f>
        <v>27.027199245599832</v>
      </c>
      <c r="S11" s="4">
        <f>IF(ISBLANK('Raw touched'!S11),((S$5*SLOPE('Raw touched'!$E11:$U11,$E$5:$U$5))+INTERCEPT('Raw touched'!$E11:$U11,$E$5:$U$5)),'Raw touched'!S11)</f>
        <v>26.03839927319973</v>
      </c>
      <c r="T11" s="4">
        <f>IF(ISBLANK('Raw touched'!T11),((T$5*SLOPE('Raw touched'!$E11:$U11,$E$5:$U$5))+INTERCEPT('Raw touched'!$E11:$U11,$E$5:$U$5)),'Raw touched'!T11)</f>
        <v>25.049599300799855</v>
      </c>
      <c r="U11" s="4">
        <f>IF(ISBLANK('Raw touched'!U11),((U$5*SLOPE('Raw touched'!$E11:$U11,$E$5:$U$5))+INTERCEPT('Raw touched'!$E11:$U11,$E$5:$U$5)),'Raw touched'!U11)</f>
        <v>24.060799328399753</v>
      </c>
    </row>
    <row r="12" spans="1:21" ht="13">
      <c r="C12" s="1" t="s">
        <v>11</v>
      </c>
      <c r="D12" s="1" t="s">
        <v>334</v>
      </c>
      <c r="E12" s="4">
        <f>IF(ISBLANK('Raw touched'!E12),((E$5*SLOPE('Raw touched'!$E12:$U12,$E$5:$U$5))+INTERCEPT('Raw touched'!$E12:$U12,$E$5:$U$5)),'Raw touched'!E12)</f>
        <v>29.100000380000001</v>
      </c>
      <c r="F12" s="4">
        <f>IF(ISBLANK('Raw touched'!F12),((F$5*SLOPE('Raw touched'!$E12:$U12,$E$5:$U$5))+INTERCEPT('Raw touched'!$E12:$U12,$E$5:$U$5)),'Raw touched'!F12)</f>
        <v>29.100000380000001</v>
      </c>
      <c r="G12" s="4">
        <f>IF(ISBLANK('Raw touched'!G12),((G$5*SLOPE('Raw touched'!$E12:$U12,$E$5:$U$5))+INTERCEPT('Raw touched'!$E12:$U12,$E$5:$U$5)),'Raw touched'!G12)</f>
        <v>29.5</v>
      </c>
      <c r="H12" s="4">
        <f>IF(ISBLANK('Raw touched'!H12),((H$5*SLOPE('Raw touched'!$E12:$U12,$E$5:$U$5))+INTERCEPT('Raw touched'!$E12:$U12,$E$5:$U$5)),'Raw touched'!H12)</f>
        <v>29.5</v>
      </c>
      <c r="I12" s="4">
        <f>IF(ISBLANK('Raw touched'!I12),((I$5*SLOPE('Raw touched'!$E12:$U12,$E$5:$U$5))+INTERCEPT('Raw touched'!$E12:$U12,$E$5:$U$5)),'Raw touched'!I12)</f>
        <v>29.399999619999999</v>
      </c>
      <c r="J12" s="4">
        <f>IF(ISBLANK('Raw touched'!J12),((J$5*SLOPE('Raw touched'!$E12:$U12,$E$5:$U$5))+INTERCEPT('Raw touched'!$E12:$U12,$E$5:$U$5)),'Raw touched'!J12)</f>
        <v>29.399999619999999</v>
      </c>
      <c r="K12" s="4">
        <f>IF(ISBLANK('Raw touched'!K12),((K$5*SLOPE('Raw touched'!$E12:$U12,$E$5:$U$5))+INTERCEPT('Raw touched'!$E12:$U12,$E$5:$U$5)),'Raw touched'!K12)</f>
        <v>29.69999980999998</v>
      </c>
      <c r="L12" s="4">
        <f>IF(ISBLANK('Raw touched'!L12),((L$5*SLOPE('Raw touched'!$E12:$U12,$E$5:$U$5))+INTERCEPT('Raw touched'!$E12:$U12,$E$5:$U$5)),'Raw touched'!L12)</f>
        <v>29.799999739999976</v>
      </c>
      <c r="M12" s="4">
        <f>IF(ISBLANK('Raw touched'!M12),((M$5*SLOPE('Raw touched'!$E12:$U12,$E$5:$U$5))+INTERCEPT('Raw touched'!$E12:$U12,$E$5:$U$5)),'Raw touched'!M12)</f>
        <v>30</v>
      </c>
      <c r="N12" s="4">
        <f>IF(ISBLANK('Raw touched'!N12),((N$5*SLOPE('Raw touched'!$E12:$U12,$E$5:$U$5))+INTERCEPT('Raw touched'!$E12:$U12,$E$5:$U$5)),'Raw touched'!N12)</f>
        <v>29.999999599999967</v>
      </c>
      <c r="O12" s="4">
        <f>IF(ISBLANK('Raw touched'!O12),((O$5*SLOPE('Raw touched'!$E12:$U12,$E$5:$U$5))+INTERCEPT('Raw touched'!$E12:$U12,$E$5:$U$5)),'Raw touched'!O12)</f>
        <v>30.099999529999991</v>
      </c>
      <c r="P12" s="4">
        <f>IF(ISBLANK('Raw touched'!P12),((P$5*SLOPE('Raw touched'!$E12:$U12,$E$5:$U$5))+INTERCEPT('Raw touched'!$E12:$U12,$E$5:$U$5)),'Raw touched'!P12)</f>
        <v>30.199999459999987</v>
      </c>
      <c r="Q12" s="4">
        <f>IF(ISBLANK('Raw touched'!Q12),((Q$5*SLOPE('Raw touched'!$E12:$U12,$E$5:$U$5))+INTERCEPT('Raw touched'!$E12:$U12,$E$5:$U$5)),'Raw touched'!Q12)</f>
        <v>30.299999389999982</v>
      </c>
      <c r="R12" s="4">
        <f>IF(ISBLANK('Raw touched'!R12),((R$5*SLOPE('Raw touched'!$E12:$U12,$E$5:$U$5))+INTERCEPT('Raw touched'!$E12:$U12,$E$5:$U$5)),'Raw touched'!R12)</f>
        <v>30.399999319999978</v>
      </c>
      <c r="S12" s="4">
        <f>IF(ISBLANK('Raw touched'!S12),((S$5*SLOPE('Raw touched'!$E12:$U12,$E$5:$U$5))+INTERCEPT('Raw touched'!$E12:$U12,$E$5:$U$5)),'Raw touched'!S12)</f>
        <v>30.499999249999973</v>
      </c>
      <c r="T12" s="4">
        <f>IF(ISBLANK('Raw touched'!T12),((T$5*SLOPE('Raw touched'!$E12:$U12,$E$5:$U$5))+INTERCEPT('Raw touched'!$E12:$U12,$E$5:$U$5)),'Raw touched'!T12)</f>
        <v>30.599999179999969</v>
      </c>
      <c r="U12" s="4">
        <f>IF(ISBLANK('Raw touched'!U12),((U$5*SLOPE('Raw touched'!$E12:$U12,$E$5:$U$5))+INTERCEPT('Raw touched'!$E12:$U12,$E$5:$U$5)),'Raw touched'!U12)</f>
        <v>30.699999109999993</v>
      </c>
    </row>
    <row r="13" spans="1:21" ht="13">
      <c r="C13" s="1" t="s">
        <v>14</v>
      </c>
      <c r="D13" s="1" t="s">
        <v>43</v>
      </c>
      <c r="E13" s="4">
        <f>IF(ISBLANK('Raw touched'!E13),((E$5*SLOPE('Raw touched'!$E13:$U13,$E$5:$U$5))+INTERCEPT('Raw touched'!$E13:$U13,$E$5:$U$5)),'Raw touched'!E13)</f>
        <v>96.699996949999999</v>
      </c>
      <c r="F13" s="4">
        <f>IF(ISBLANK('Raw touched'!F13),((F$5*SLOPE('Raw touched'!$E13:$U13,$E$5:$U$5))+INTERCEPT('Raw touched'!$E13:$U13,$E$5:$U$5)),'Raw touched'!F13)</f>
        <v>96.699996949999999</v>
      </c>
      <c r="G13" s="4">
        <f>IF(ISBLANK('Raw touched'!G13),((G$5*SLOPE('Raw touched'!$E13:$U13,$E$5:$U$5))+INTERCEPT('Raw touched'!$E13:$U13,$E$5:$U$5)),'Raw touched'!G13)</f>
        <v>96.800003050000001</v>
      </c>
      <c r="H13" s="4">
        <f>IF(ISBLANK('Raw touched'!H13),((H$5*SLOPE('Raw touched'!$E13:$U13,$E$5:$U$5))+INTERCEPT('Raw touched'!$E13:$U13,$E$5:$U$5)),'Raw touched'!H13)</f>
        <v>96.800003050000001</v>
      </c>
      <c r="I13" s="4">
        <f>IF(ISBLANK('Raw touched'!I13),((I$5*SLOPE('Raw touched'!$E13:$U13,$E$5:$U$5))+INTERCEPT('Raw touched'!$E13:$U13,$E$5:$U$5)),'Raw touched'!I13)</f>
        <v>94.69481846195481</v>
      </c>
      <c r="J13" s="4">
        <f>IF(ISBLANK('Raw touched'!J13),((J$5*SLOPE('Raw touched'!$E13:$U13,$E$5:$U$5))+INTERCEPT('Raw touched'!$E13:$U13,$E$5:$U$5)),'Raw touched'!J13)</f>
        <v>94.003467160935998</v>
      </c>
      <c r="K13" s="4">
        <f>IF(ISBLANK('Raw touched'!K13),((K$5*SLOPE('Raw touched'!$E13:$U13,$E$5:$U$5))+INTERCEPT('Raw touched'!$E13:$U13,$E$5:$U$5)),'Raw touched'!K13)</f>
        <v>93.312115859917185</v>
      </c>
      <c r="L13" s="4">
        <f>IF(ISBLANK('Raw touched'!L13),((L$5*SLOPE('Raw touched'!$E13:$U13,$E$5:$U$5))+INTERCEPT('Raw touched'!$E13:$U13,$E$5:$U$5)),'Raw touched'!L13)</f>
        <v>92.620764558898145</v>
      </c>
      <c r="M13" s="4">
        <f>IF(ISBLANK('Raw touched'!M13),((M$5*SLOPE('Raw touched'!$E13:$U13,$E$5:$U$5))+INTERCEPT('Raw touched'!$E13:$U13,$E$5:$U$5)),'Raw touched'!M13)</f>
        <v>91.269996640000002</v>
      </c>
      <c r="N13" s="4">
        <f>IF(ISBLANK('Raw touched'!N13),((N$5*SLOPE('Raw touched'!$E13:$U13,$E$5:$U$5))+INTERCEPT('Raw touched'!$E13:$U13,$E$5:$U$5)),'Raw touched'!N13)</f>
        <v>90.120002749999998</v>
      </c>
      <c r="O13" s="4">
        <f>IF(ISBLANK('Raw touched'!O13),((O$5*SLOPE('Raw touched'!$E13:$U13,$E$5:$U$5))+INTERCEPT('Raw touched'!$E13:$U13,$E$5:$U$5)),'Raw touched'!O13)</f>
        <v>89.97000122</v>
      </c>
      <c r="P13" s="4">
        <f>IF(ISBLANK('Raw touched'!P13),((P$5*SLOPE('Raw touched'!$E13:$U13,$E$5:$U$5))+INTERCEPT('Raw touched'!$E13:$U13,$E$5:$U$5)),'Raw touched'!P13)</f>
        <v>88.978996280000004</v>
      </c>
      <c r="Q13" s="4">
        <f>IF(ISBLANK('Raw touched'!Q13),((Q$5*SLOPE('Raw touched'!$E13:$U13,$E$5:$U$5))+INTERCEPT('Raw touched'!$E13:$U13,$E$5:$U$5)),'Raw touched'!Q13)</f>
        <v>89.04</v>
      </c>
      <c r="R13" s="4">
        <f>IF(ISBLANK('Raw touched'!R13),((R$5*SLOPE('Raw touched'!$E13:$U13,$E$5:$U$5))+INTERCEPT('Raw touched'!$E13:$U13,$E$5:$U$5)),'Raw touched'!R13)</f>
        <v>90.52</v>
      </c>
      <c r="S13" s="4">
        <f>IF(ISBLANK('Raw touched'!S13),((S$5*SLOPE('Raw touched'!$E13:$U13,$E$5:$U$5))+INTERCEPT('Raw touched'!$E13:$U13,$E$5:$U$5)),'Raw touched'!S13)</f>
        <v>87.781305451765775</v>
      </c>
      <c r="T13" s="4">
        <f>IF(ISBLANK('Raw touched'!T13),((T$5*SLOPE('Raw touched'!$E13:$U13,$E$5:$U$5))+INTERCEPT('Raw touched'!$E13:$U13,$E$5:$U$5)),'Raw touched'!T13)</f>
        <v>87.089954150746962</v>
      </c>
      <c r="U13" s="4">
        <f>IF(ISBLANK('Raw touched'!U13),((U$5*SLOPE('Raw touched'!$E13:$U13,$E$5:$U$5))+INTERCEPT('Raw touched'!$E13:$U13,$E$5:$U$5)),'Raw touched'!U13)</f>
        <v>86.39860284972815</v>
      </c>
    </row>
    <row r="14" spans="1:21" ht="13">
      <c r="C14" s="1" t="s">
        <v>32</v>
      </c>
      <c r="D14" s="1" t="s">
        <v>385</v>
      </c>
      <c r="E14" s="4">
        <f>IF(ISBLANK('Raw touched'!E14),((E$5*SLOPE('Raw touched'!$E14:$U14,$E$5:$U$5))+INTERCEPT('Raw touched'!$E14:$U14,$E$5:$U$5)),'Raw touched'!E14)</f>
        <v>38.599998470000003</v>
      </c>
      <c r="F14" s="4">
        <f>IF(ISBLANK('Raw touched'!F14),((F$5*SLOPE('Raw touched'!$E14:$U14,$E$5:$U$5))+INTERCEPT('Raw touched'!$E14:$U14,$E$5:$U$5)),'Raw touched'!F14)</f>
        <v>38.700000760000002</v>
      </c>
      <c r="G14" s="4">
        <f>IF(ISBLANK('Raw touched'!G14),((G$5*SLOPE('Raw touched'!$E14:$U14,$E$5:$U$5))+INTERCEPT('Raw touched'!$E14:$U14,$E$5:$U$5)),'Raw touched'!G14)</f>
        <v>38.685714718571433</v>
      </c>
      <c r="H14" s="4">
        <f>IF(ISBLANK('Raw touched'!H14),((H$5*SLOPE('Raw touched'!$E14:$U14,$E$5:$U$5))+INTERCEPT('Raw touched'!$E14:$U14,$E$5:$U$5)),'Raw touched'!H14)</f>
        <v>38.700000760000002</v>
      </c>
      <c r="I14" s="4">
        <f>IF(ISBLANK('Raw touched'!I14),((I$5*SLOPE('Raw touched'!$E14:$U14,$E$5:$U$5))+INTERCEPT('Raw touched'!$E14:$U14,$E$5:$U$5)),'Raw touched'!I14)</f>
        <v>38.742858884285717</v>
      </c>
      <c r="J14" s="4">
        <f>IF(ISBLANK('Raw touched'!J14),((J$5*SLOPE('Raw touched'!$E14:$U14,$E$5:$U$5))+INTERCEPT('Raw touched'!$E14:$U14,$E$5:$U$5)),'Raw touched'!J14)</f>
        <v>38.771430967142862</v>
      </c>
      <c r="K14" s="4">
        <f>IF(ISBLANK('Raw touched'!K14),((K$5*SLOPE('Raw touched'!$E14:$U14,$E$5:$U$5))+INTERCEPT('Raw touched'!$E14:$U14,$E$5:$U$5)),'Raw touched'!K14)</f>
        <v>38.800003050000001</v>
      </c>
      <c r="L14" s="4">
        <f>IF(ISBLANK('Raw touched'!L14),((L$5*SLOPE('Raw touched'!$E14:$U14,$E$5:$U$5))+INTERCEPT('Raw touched'!$E14:$U14,$E$5:$U$5)),'Raw touched'!L14)</f>
        <v>38.828575132857146</v>
      </c>
      <c r="M14" s="4">
        <f>IF(ISBLANK('Raw touched'!M14),((M$5*SLOPE('Raw touched'!$E14:$U14,$E$5:$U$5))+INTERCEPT('Raw touched'!$E14:$U14,$E$5:$U$5)),'Raw touched'!M14)</f>
        <v>38.857147215714285</v>
      </c>
      <c r="N14" s="4">
        <f>IF(ISBLANK('Raw touched'!N14),((N$5*SLOPE('Raw touched'!$E14:$U14,$E$5:$U$5))+INTERCEPT('Raw touched'!$E14:$U14,$E$5:$U$5)),'Raw touched'!N14)</f>
        <v>38.885719298571431</v>
      </c>
      <c r="O14" s="4">
        <f>IF(ISBLANK('Raw touched'!O14),((O$5*SLOPE('Raw touched'!$E14:$U14,$E$5:$U$5))+INTERCEPT('Raw touched'!$E14:$U14,$E$5:$U$5)),'Raw touched'!O14)</f>
        <v>38.914291381428569</v>
      </c>
      <c r="P14" s="4">
        <f>IF(ISBLANK('Raw touched'!P14),((P$5*SLOPE('Raw touched'!$E14:$U14,$E$5:$U$5))+INTERCEPT('Raw touched'!$E14:$U14,$E$5:$U$5)),'Raw touched'!P14)</f>
        <v>38.942863464285715</v>
      </c>
      <c r="Q14" s="4">
        <f>IF(ISBLANK('Raw touched'!Q14),((Q$5*SLOPE('Raw touched'!$E14:$U14,$E$5:$U$5))+INTERCEPT('Raw touched'!$E14:$U14,$E$5:$U$5)),'Raw touched'!Q14)</f>
        <v>38.97143554714286</v>
      </c>
      <c r="R14" s="4">
        <f>IF(ISBLANK('Raw touched'!R14),((R$5*SLOPE('Raw touched'!$E14:$U14,$E$5:$U$5))+INTERCEPT('Raw touched'!$E14:$U14,$E$5:$U$5)),'Raw touched'!R14)</f>
        <v>39.000007629999999</v>
      </c>
      <c r="S14" s="4">
        <f>IF(ISBLANK('Raw touched'!S14),((S$5*SLOPE('Raw touched'!$E14:$U14,$E$5:$U$5))+INTERCEPT('Raw touched'!$E14:$U14,$E$5:$U$5)),'Raw touched'!S14)</f>
        <v>39.028579712857145</v>
      </c>
      <c r="T14" s="4">
        <f>IF(ISBLANK('Raw touched'!T14),((T$5*SLOPE('Raw touched'!$E14:$U14,$E$5:$U$5))+INTERCEPT('Raw touched'!$E14:$U14,$E$5:$U$5)),'Raw touched'!T14)</f>
        <v>39.057151795714283</v>
      </c>
      <c r="U14" s="4">
        <f>IF(ISBLANK('Raw touched'!U14),((U$5*SLOPE('Raw touched'!$E14:$U14,$E$5:$U$5))+INTERCEPT('Raw touched'!$E14:$U14,$E$5:$U$5)),'Raw touched'!U14)</f>
        <v>39.085723878571429</v>
      </c>
    </row>
    <row r="15" spans="1:21" ht="13">
      <c r="C15" s="1" t="s">
        <v>45</v>
      </c>
      <c r="D15" s="1" t="s">
        <v>330</v>
      </c>
      <c r="E15" s="4">
        <f>IF(ISBLANK('Raw touched'!E15),((E$5*SLOPE('Raw touched'!$E15:$U15,$E$5:$U$5))+INTERCEPT('Raw touched'!$E15:$U15,$E$5:$U$5)),'Raw touched'!E15)</f>
        <v>100</v>
      </c>
      <c r="F15" s="4">
        <f>IF(ISBLANK('Raw touched'!F15),((F$5*SLOPE('Raw touched'!$E15:$U15,$E$5:$U$5))+INTERCEPT('Raw touched'!$E15:$U15,$E$5:$U$5)),'Raw touched'!F15)</f>
        <v>100</v>
      </c>
      <c r="G15" s="4">
        <f>IF(ISBLANK('Raw touched'!G15),((G$5*SLOPE('Raw touched'!$E15:$U15,$E$5:$U$5))+INTERCEPT('Raw touched'!$E15:$U15,$E$5:$U$5)),'Raw touched'!G15)</f>
        <v>100</v>
      </c>
      <c r="H15" s="4">
        <f>IF(ISBLANK('Raw touched'!H15),((H$5*SLOPE('Raw touched'!$E15:$U15,$E$5:$U$5))+INTERCEPT('Raw touched'!$E15:$U15,$E$5:$U$5)),'Raw touched'!H15)</f>
        <v>100</v>
      </c>
      <c r="I15" s="4">
        <f>IF(ISBLANK('Raw touched'!I15),((I$5*SLOPE('Raw touched'!$E15:$U15,$E$5:$U$5))+INTERCEPT('Raw touched'!$E15:$U15,$E$5:$U$5)),'Raw touched'!I15)</f>
        <v>100</v>
      </c>
      <c r="J15" s="4">
        <f>IF(ISBLANK('Raw touched'!J15),((J$5*SLOPE('Raw touched'!$E15:$U15,$E$5:$U$5))+INTERCEPT('Raw touched'!$E15:$U15,$E$5:$U$5)),'Raw touched'!J15)</f>
        <v>100</v>
      </c>
      <c r="K15" s="4">
        <f>IF(ISBLANK('Raw touched'!K15),((K$5*SLOPE('Raw touched'!$E15:$U15,$E$5:$U$5))+INTERCEPT('Raw touched'!$E15:$U15,$E$5:$U$5)),'Raw touched'!K15)</f>
        <v>100</v>
      </c>
      <c r="L15" s="4">
        <f>IF(ISBLANK('Raw touched'!L15),((L$5*SLOPE('Raw touched'!$E15:$U15,$E$5:$U$5))+INTERCEPT('Raw touched'!$E15:$U15,$E$5:$U$5)),'Raw touched'!L15)</f>
        <v>100</v>
      </c>
      <c r="M15" s="4">
        <f>IF(ISBLANK('Raw touched'!M15),((M$5*SLOPE('Raw touched'!$E15:$U15,$E$5:$U$5))+INTERCEPT('Raw touched'!$E15:$U15,$E$5:$U$5)),'Raw touched'!M15)</f>
        <v>100</v>
      </c>
      <c r="N15" s="4">
        <f>IF(ISBLANK('Raw touched'!N15),((N$5*SLOPE('Raw touched'!$E15:$U15,$E$5:$U$5))+INTERCEPT('Raw touched'!$E15:$U15,$E$5:$U$5)),'Raw touched'!N15)</f>
        <v>100</v>
      </c>
      <c r="O15" s="4">
        <f>IF(ISBLANK('Raw touched'!O15),((O$5*SLOPE('Raw touched'!$E15:$U15,$E$5:$U$5))+INTERCEPT('Raw touched'!$E15:$U15,$E$5:$U$5)),'Raw touched'!O15)</f>
        <v>100</v>
      </c>
      <c r="P15" s="4">
        <f>IF(ISBLANK('Raw touched'!P15),((P$5*SLOPE('Raw touched'!$E15:$U15,$E$5:$U$5))+INTERCEPT('Raw touched'!$E15:$U15,$E$5:$U$5)),'Raw touched'!P15)</f>
        <v>100</v>
      </c>
      <c r="Q15" s="4">
        <f>IF(ISBLANK('Raw touched'!Q15),((Q$5*SLOPE('Raw touched'!$E15:$U15,$E$5:$U$5))+INTERCEPT('Raw touched'!$E15:$U15,$E$5:$U$5)),'Raw touched'!Q15)</f>
        <v>100</v>
      </c>
      <c r="R15" s="4">
        <f>IF(ISBLANK('Raw touched'!R15),((R$5*SLOPE('Raw touched'!$E15:$U15,$E$5:$U$5))+INTERCEPT('Raw touched'!$E15:$U15,$E$5:$U$5)),'Raw touched'!R15)</f>
        <v>100</v>
      </c>
      <c r="S15" s="4">
        <f>IF(ISBLANK('Raw touched'!S15),((S$5*SLOPE('Raw touched'!$E15:$U15,$E$5:$U$5))+INTERCEPT('Raw touched'!$E15:$U15,$E$5:$U$5)),'Raw touched'!S15)</f>
        <v>100</v>
      </c>
      <c r="T15" s="4">
        <f>IF(ISBLANK('Raw touched'!T15),((T$5*SLOPE('Raw touched'!$E15:$U15,$E$5:$U$5))+INTERCEPT('Raw touched'!$E15:$U15,$E$5:$U$5)),'Raw touched'!T15)</f>
        <v>100</v>
      </c>
      <c r="U15" s="4">
        <f>IF(ISBLANK('Raw touched'!U15),((U$5*SLOPE('Raw touched'!$E15:$U15,$E$5:$U$5))+INTERCEPT('Raw touched'!$E15:$U15,$E$5:$U$5)),'Raw touched'!U15)</f>
        <v>100</v>
      </c>
    </row>
    <row r="16" spans="1:21" ht="13">
      <c r="C16" s="1" t="s">
        <v>87</v>
      </c>
      <c r="D16" s="1" t="s">
        <v>155</v>
      </c>
      <c r="E16" s="4">
        <f>IF(ISBLANK('Raw touched'!E16),((E$5*SLOPE('Raw touched'!$E16:$U16,$E$5:$U$5))+INTERCEPT('Raw touched'!$E16:$U16,$E$5:$U$5)),'Raw touched'!E16)</f>
        <v>43.933538835000036</v>
      </c>
      <c r="F16" s="4">
        <f>IF(ISBLANK('Raw touched'!F16),((F$5*SLOPE('Raw touched'!$E16:$U16,$E$5:$U$5))+INTERCEPT('Raw touched'!$E16:$U16,$E$5:$U$5)),'Raw touched'!F16)</f>
        <v>44.539812230000052</v>
      </c>
      <c r="G16" s="4">
        <f>IF(ISBLANK('Raw touched'!G16),((G$5*SLOPE('Raw touched'!$E16:$U16,$E$5:$U$5))+INTERCEPT('Raw touched'!$E16:$U16,$E$5:$U$5)),'Raw touched'!G16)</f>
        <v>45.146085625000069</v>
      </c>
      <c r="H16" s="4">
        <f>IF(ISBLANK('Raw touched'!H16),((H$5*SLOPE('Raw touched'!$E16:$U16,$E$5:$U$5))+INTERCEPT('Raw touched'!$E16:$U16,$E$5:$U$5)),'Raw touched'!H16)</f>
        <v>45.752359020000085</v>
      </c>
      <c r="I16" s="4">
        <f>IF(ISBLANK('Raw touched'!I16),((I$5*SLOPE('Raw touched'!$E16:$U16,$E$5:$U$5))+INTERCEPT('Raw touched'!$E16:$U16,$E$5:$U$5)),'Raw touched'!I16)</f>
        <v>46.358632415000102</v>
      </c>
      <c r="J16" s="4">
        <f>IF(ISBLANK('Raw touched'!J16),((J$5*SLOPE('Raw touched'!$E16:$U16,$E$5:$U$5))+INTERCEPT('Raw touched'!$E16:$U16,$E$5:$U$5)),'Raw touched'!J16)</f>
        <v>46.964905810000118</v>
      </c>
      <c r="K16" s="4">
        <f>IF(ISBLANK('Raw touched'!K16),((K$5*SLOPE('Raw touched'!$E16:$U16,$E$5:$U$5))+INTERCEPT('Raw touched'!$E16:$U16,$E$5:$U$5)),'Raw touched'!K16)</f>
        <v>47.571179205000135</v>
      </c>
      <c r="L16" s="4">
        <f>IF(ISBLANK('Raw touched'!L16),((L$5*SLOPE('Raw touched'!$E16:$U16,$E$5:$U$5))+INTERCEPT('Raw touched'!$E16:$U16,$E$5:$U$5)),'Raw touched'!L16)</f>
        <v>48.177452600000152</v>
      </c>
      <c r="M16" s="4">
        <f>IF(ISBLANK('Raw touched'!M16),((M$5*SLOPE('Raw touched'!$E16:$U16,$E$5:$U$5))+INTERCEPT('Raw touched'!$E16:$U16,$E$5:$U$5)),'Raw touched'!M16)</f>
        <v>48.783725995000168</v>
      </c>
      <c r="N16" s="4">
        <f>IF(ISBLANK('Raw touched'!N16),((N$5*SLOPE('Raw touched'!$E16:$U16,$E$5:$U$5))+INTERCEPT('Raw touched'!$E16:$U16,$E$5:$U$5)),'Raw touched'!N16)</f>
        <v>49.38999939</v>
      </c>
      <c r="O16" s="4">
        <f>IF(ISBLANK('Raw touched'!O16),((O$5*SLOPE('Raw touched'!$E16:$U16,$E$5:$U$5))+INTERCEPT('Raw touched'!$E16:$U16,$E$5:$U$5)),'Raw touched'!O16)</f>
        <v>49.996272784999974</v>
      </c>
      <c r="P16" s="4">
        <f>IF(ISBLANK('Raw touched'!P16),((P$5*SLOPE('Raw touched'!$E16:$U16,$E$5:$U$5))+INTERCEPT('Raw touched'!$E16:$U16,$E$5:$U$5)),'Raw touched'!P16)</f>
        <v>50.602546179999997</v>
      </c>
      <c r="Q16" s="4">
        <f>IF(ISBLANK('Raw touched'!Q16),((Q$5*SLOPE('Raw touched'!$E16:$U16,$E$5:$U$5))+INTERCEPT('Raw touched'!$E16:$U16,$E$5:$U$5)),'Raw touched'!Q16)</f>
        <v>51.208819575000007</v>
      </c>
      <c r="R16" s="4">
        <f>IF(ISBLANK('Raw touched'!R16),((R$5*SLOPE('Raw touched'!$E16:$U16,$E$5:$U$5))+INTERCEPT('Raw touched'!$E16:$U16,$E$5:$U$5)),'Raw touched'!R16)</f>
        <v>51.815092970000023</v>
      </c>
      <c r="S16" s="4">
        <f>IF(ISBLANK('Raw touched'!S16),((S$5*SLOPE('Raw touched'!$E16:$U16,$E$5:$U$5))+INTERCEPT('Raw touched'!$E16:$U16,$E$5:$U$5)),'Raw touched'!S16)</f>
        <v>52.42136636500004</v>
      </c>
      <c r="T16" s="4">
        <f>IF(ISBLANK('Raw touched'!T16),((T$5*SLOPE('Raw touched'!$E16:$U16,$E$5:$U$5))+INTERCEPT('Raw touched'!$E16:$U16,$E$5:$U$5)),'Raw touched'!T16)</f>
        <v>53.027639760000056</v>
      </c>
      <c r="U16" s="4">
        <f>IF(ISBLANK('Raw touched'!U16),((U$5*SLOPE('Raw touched'!$E16:$U16,$E$5:$U$5))+INTERCEPT('Raw touched'!$E16:$U16,$E$5:$U$5)),'Raw touched'!U16)</f>
        <v>53.633913155000073</v>
      </c>
    </row>
    <row r="17" spans="3:21" ht="13">
      <c r="C17" s="1" t="s">
        <v>256</v>
      </c>
      <c r="D17" s="1" t="s">
        <v>63</v>
      </c>
      <c r="E17" s="4">
        <f>IF(ISBLANK('Raw touched'!E17),((E$5*SLOPE('Raw touched'!$E17:$U17,$E$5:$U$5))+INTERCEPT('Raw touched'!$E17:$U17,$E$5:$U$5)),'Raw touched'!E17)</f>
        <v>57.400001529999997</v>
      </c>
      <c r="F17" s="4">
        <f>IF(ISBLANK('Raw touched'!F17),((F$5*SLOPE('Raw touched'!$E17:$U17,$E$5:$U$5))+INTERCEPT('Raw touched'!$E17:$U17,$E$5:$U$5)),'Raw touched'!F17)</f>
        <v>57.400001529999997</v>
      </c>
      <c r="G17" s="4">
        <f>IF(ISBLANK('Raw touched'!G17),((G$5*SLOPE('Raw touched'!$E17:$U17,$E$5:$U$5))+INTERCEPT('Raw touched'!$E17:$U17,$E$5:$U$5)),'Raw touched'!G17)</f>
        <v>57.400001529999997</v>
      </c>
      <c r="H17" s="4">
        <f>IF(ISBLANK('Raw touched'!H17),((H$5*SLOPE('Raw touched'!$E17:$U17,$E$5:$U$5))+INTERCEPT('Raw touched'!$E17:$U17,$E$5:$U$5)),'Raw touched'!H17)</f>
        <v>57.400001529999997</v>
      </c>
      <c r="I17" s="4">
        <f>IF(ISBLANK('Raw touched'!I17),((I$5*SLOPE('Raw touched'!$E17:$U17,$E$5:$U$5))+INTERCEPT('Raw touched'!$E17:$U17,$E$5:$U$5)),'Raw touched'!I17)</f>
        <v>57.400001529999997</v>
      </c>
      <c r="J17" s="4">
        <f>IF(ISBLANK('Raw touched'!J17),((J$5*SLOPE('Raw touched'!$E17:$U17,$E$5:$U$5))+INTERCEPT('Raw touched'!$E17:$U17,$E$5:$U$5)),'Raw touched'!J17)</f>
        <v>57.400001529999997</v>
      </c>
      <c r="K17" s="4">
        <f>IF(ISBLANK('Raw touched'!K17),((K$5*SLOPE('Raw touched'!$E17:$U17,$E$5:$U$5))+INTERCEPT('Raw touched'!$E17:$U17,$E$5:$U$5)),'Raw touched'!K17)</f>
        <v>57.400001529999997</v>
      </c>
      <c r="L17" s="4">
        <f>IF(ISBLANK('Raw touched'!L17),((L$5*SLOPE('Raw touched'!$E17:$U17,$E$5:$U$5))+INTERCEPT('Raw touched'!$E17:$U17,$E$5:$U$5)),'Raw touched'!L17)</f>
        <v>57.400001529999997</v>
      </c>
      <c r="M17" s="4">
        <f>IF(ISBLANK('Raw touched'!M17),((M$5*SLOPE('Raw touched'!$E17:$U17,$E$5:$U$5))+INTERCEPT('Raw touched'!$E17:$U17,$E$5:$U$5)),'Raw touched'!M17)</f>
        <v>57.400001529999997</v>
      </c>
      <c r="N17" s="4">
        <f>IF(ISBLANK('Raw touched'!N17),((N$5*SLOPE('Raw touched'!$E17:$U17,$E$5:$U$5))+INTERCEPT('Raw touched'!$E17:$U17,$E$5:$U$5)),'Raw touched'!N17)</f>
        <v>57.400001529999997</v>
      </c>
      <c r="O17" s="4">
        <f>IF(ISBLANK('Raw touched'!O17),((O$5*SLOPE('Raw touched'!$E17:$U17,$E$5:$U$5))+INTERCEPT('Raw touched'!$E17:$U17,$E$5:$U$5)),'Raw touched'!O17)</f>
        <v>57.400001529999997</v>
      </c>
      <c r="P17" s="4">
        <f>IF(ISBLANK('Raw touched'!P17),((P$5*SLOPE('Raw touched'!$E17:$U17,$E$5:$U$5))+INTERCEPT('Raw touched'!$E17:$U17,$E$5:$U$5)),'Raw touched'!P17)</f>
        <v>57.400001529999997</v>
      </c>
      <c r="Q17" s="4">
        <f>IF(ISBLANK('Raw touched'!Q17),((Q$5*SLOPE('Raw touched'!$E17:$U17,$E$5:$U$5))+INTERCEPT('Raw touched'!$E17:$U17,$E$5:$U$5)),'Raw touched'!Q17)</f>
        <v>57.400001529999997</v>
      </c>
      <c r="R17" s="4">
        <f>IF(ISBLANK('Raw touched'!R17),((R$5*SLOPE('Raw touched'!$E17:$U17,$E$5:$U$5))+INTERCEPT('Raw touched'!$E17:$U17,$E$5:$U$5)),'Raw touched'!R17)</f>
        <v>57.400001529999997</v>
      </c>
      <c r="S17" s="4">
        <f>IF(ISBLANK('Raw touched'!S17),((S$5*SLOPE('Raw touched'!$E17:$U17,$E$5:$U$5))+INTERCEPT('Raw touched'!$E17:$U17,$E$5:$U$5)),'Raw touched'!S17)</f>
        <v>57.400001529999997</v>
      </c>
      <c r="T17" s="4">
        <f>IF(ISBLANK('Raw touched'!T17),((T$5*SLOPE('Raw touched'!$E17:$U17,$E$5:$U$5))+INTERCEPT('Raw touched'!$E17:$U17,$E$5:$U$5)),'Raw touched'!T17)</f>
        <v>57.400001529999997</v>
      </c>
      <c r="U17" s="4">
        <f>IF(ISBLANK('Raw touched'!U17),((U$5*SLOPE('Raw touched'!$E17:$U17,$E$5:$U$5))+INTERCEPT('Raw touched'!$E17:$U17,$E$5:$U$5)),'Raw touched'!U17)</f>
        <v>57.400001529999997</v>
      </c>
    </row>
    <row r="18" spans="3:21" ht="13">
      <c r="C18" s="1" t="s">
        <v>252</v>
      </c>
      <c r="D18" s="1" t="s">
        <v>284</v>
      </c>
      <c r="E18" s="4">
        <f>IF(ISBLANK('Raw touched'!E18),((E$5*SLOPE('Raw touched'!$E18:$U18,$E$5:$U$5))+INTERCEPT('Raw touched'!$E18:$U18,$E$5:$U$5)),'Raw touched'!E18)</f>
        <v>75.09809121346143</v>
      </c>
      <c r="F18" s="4">
        <f>IF(ISBLANK('Raw touched'!F18),((F$5*SLOPE('Raw touched'!$E18:$U18,$E$5:$U$5))+INTERCEPT('Raw touched'!$E18:$U18,$E$5:$U$5)),'Raw touched'!F18)</f>
        <v>75.800003050000001</v>
      </c>
      <c r="G18" s="4">
        <f>IF(ISBLANK('Raw touched'!G18),((G$5*SLOPE('Raw touched'!$E18:$U18,$E$5:$U$5))+INTERCEPT('Raw touched'!$E18:$U18,$E$5:$U$5)),'Raw touched'!G18)</f>
        <v>76.5</v>
      </c>
      <c r="H18" s="4">
        <f>IF(ISBLANK('Raw touched'!H18),((H$5*SLOPE('Raw touched'!$E18:$U18,$E$5:$U$5))+INTERCEPT('Raw touched'!$E18:$U18,$E$5:$U$5)),'Raw touched'!H18)</f>
        <v>76.900001529999997</v>
      </c>
      <c r="I18" s="4">
        <f>IF(ISBLANK('Raw touched'!I18),((I$5*SLOPE('Raw touched'!$E18:$U18,$E$5:$U$5))+INTERCEPT('Raw touched'!$E18:$U18,$E$5:$U$5)),'Raw touched'!I18)</f>
        <v>77.400001529999997</v>
      </c>
      <c r="J18" s="4">
        <f>IF(ISBLANK('Raw touched'!J18),((J$5*SLOPE('Raw touched'!$E18:$U18,$E$5:$U$5))+INTERCEPT('Raw touched'!$E18:$U18,$E$5:$U$5)),'Raw touched'!J18)</f>
        <v>77.599998470000003</v>
      </c>
      <c r="K18" s="4">
        <f>IF(ISBLANK('Raw touched'!K18),((K$5*SLOPE('Raw touched'!$E18:$U18,$E$5:$U$5))+INTERCEPT('Raw touched'!$E18:$U18,$E$5:$U$5)),'Raw touched'!K18)</f>
        <v>75.300003050000001</v>
      </c>
      <c r="L18" s="4">
        <f>IF(ISBLANK('Raw touched'!L18),((L$5*SLOPE('Raw touched'!$E18:$U18,$E$5:$U$5))+INTERCEPT('Raw touched'!$E18:$U18,$E$5:$U$5)),'Raw touched'!L18)</f>
        <v>78.900001529999997</v>
      </c>
      <c r="M18" s="4">
        <f>IF(ISBLANK('Raw touched'!M18),((M$5*SLOPE('Raw touched'!$E18:$U18,$E$5:$U$5))+INTERCEPT('Raw touched'!$E18:$U18,$E$5:$U$5)),'Raw touched'!M18)</f>
        <v>79.129997250000002</v>
      </c>
      <c r="N18" s="4">
        <f>IF(ISBLANK('Raw touched'!N18),((N$5*SLOPE('Raw touched'!$E18:$U18,$E$5:$U$5))+INTERCEPT('Raw touched'!$E18:$U18,$E$5:$U$5)),'Raw touched'!N18)</f>
        <v>79.739106300000003</v>
      </c>
      <c r="O18" s="4">
        <f>IF(ISBLANK('Raw touched'!O18),((O$5*SLOPE('Raw touched'!$E18:$U18,$E$5:$U$5))+INTERCEPT('Raw touched'!$E18:$U18,$E$5:$U$5)),'Raw touched'!O18)</f>
        <v>80.312837110000004</v>
      </c>
      <c r="P18" s="4">
        <f>IF(ISBLANK('Raw touched'!P18),((P$5*SLOPE('Raw touched'!$E18:$U18,$E$5:$U$5))+INTERCEPT('Raw touched'!$E18:$U18,$E$5:$U$5)),'Raw touched'!P18)</f>
        <v>80.804627929999995</v>
      </c>
      <c r="Q18" s="4">
        <f>IF(ISBLANK('Raw touched'!Q18),((Q$5*SLOPE('Raw touched'!$E18:$U18,$E$5:$U$5))+INTERCEPT('Raw touched'!$E18:$U18,$E$5:$U$5)),'Raw touched'!Q18)</f>
        <v>81.04388471</v>
      </c>
      <c r="R18" s="4">
        <f>IF(ISBLANK('Raw touched'!R18),((R$5*SLOPE('Raw touched'!$E18:$U18,$E$5:$U$5))+INTERCEPT('Raw touched'!$E18:$U18,$E$5:$U$5)),'Raw touched'!R18)</f>
        <v>81.481481479999999</v>
      </c>
      <c r="S18" s="4">
        <f>IF(ISBLANK('Raw touched'!S18),((S$5*SLOPE('Raw touched'!$E18:$U18,$E$5:$U$5))+INTERCEPT('Raw touched'!$E18:$U18,$E$5:$U$5)),'Raw touched'!S18)</f>
        <v>81.965284777307602</v>
      </c>
      <c r="T18" s="4">
        <f>IF(ISBLANK('Raw touched'!T18),((T$5*SLOPE('Raw touched'!$E18:$U18,$E$5:$U$5))+INTERCEPT('Raw touched'!$E18:$U18,$E$5:$U$5)),'Raw touched'!T18)</f>
        <v>82.455798603296557</v>
      </c>
      <c r="U18" s="4">
        <f>IF(ISBLANK('Raw touched'!U18),((U$5*SLOPE('Raw touched'!$E18:$U18,$E$5:$U$5))+INTERCEPT('Raw touched'!$E18:$U18,$E$5:$U$5)),'Raw touched'!U18)</f>
        <v>82.946312429285626</v>
      </c>
    </row>
    <row r="19" spans="3:21" ht="13">
      <c r="C19" s="1" t="s">
        <v>225</v>
      </c>
      <c r="D19" s="1" t="s">
        <v>116</v>
      </c>
      <c r="E19" s="4">
        <f>IF(ISBLANK('Raw touched'!E19),((E$5*SLOPE('Raw touched'!$E19:$U19,$E$5:$U$5))+INTERCEPT('Raw touched'!$E19:$U19,$E$5:$U$5)),'Raw touched'!E19)</f>
        <v>7.9000000950000002</v>
      </c>
      <c r="F19" s="4">
        <f>IF(ISBLANK('Raw touched'!F19),((F$5*SLOPE('Raw touched'!$E19:$U19,$E$5:$U$5))+INTERCEPT('Raw touched'!$E19:$U19,$E$5:$U$5)),'Raw touched'!F19)</f>
        <v>8.3999996190000008</v>
      </c>
      <c r="G19" s="4">
        <f>IF(ISBLANK('Raw touched'!G19),((G$5*SLOPE('Raw touched'!$E19:$U19,$E$5:$U$5))+INTERCEPT('Raw touched'!$E19:$U19,$E$5:$U$5)),'Raw touched'!G19)</f>
        <v>9.5</v>
      </c>
      <c r="H19" s="4">
        <f>IF(ISBLANK('Raw touched'!H19),((H$5*SLOPE('Raw touched'!$E19:$U19,$E$5:$U$5))+INTERCEPT('Raw touched'!$E19:$U19,$E$5:$U$5)),'Raw touched'!H19)</f>
        <v>9.5299997330000004</v>
      </c>
      <c r="I19" s="4">
        <f>IF(ISBLANK('Raw touched'!I19),((I$5*SLOPE('Raw touched'!$E19:$U19,$E$5:$U$5))+INTERCEPT('Raw touched'!$E19:$U19,$E$5:$U$5)),'Raw touched'!I19)</f>
        <v>9.5299997330000004</v>
      </c>
      <c r="J19" s="4">
        <f>IF(ISBLANK('Raw touched'!J19),((J$5*SLOPE('Raw touched'!$E19:$U19,$E$5:$U$5))+INTERCEPT('Raw touched'!$E19:$U19,$E$5:$U$5)),'Raw touched'!J19)</f>
        <v>9.5299997330000004</v>
      </c>
      <c r="K19" s="4">
        <f>IF(ISBLANK('Raw touched'!K19),((K$5*SLOPE('Raw touched'!$E19:$U19,$E$5:$U$5))+INTERCEPT('Raw touched'!$E19:$U19,$E$5:$U$5)),'Raw touched'!K19)</f>
        <v>9.6168748438750526</v>
      </c>
      <c r="L19" s="4">
        <f>IF(ISBLANK('Raw touched'!L19),((L$5*SLOPE('Raw touched'!$E19:$U19,$E$5:$U$5))+INTERCEPT('Raw touched'!$E19:$U19,$E$5:$U$5)),'Raw touched'!L19)</f>
        <v>9.797302475144761</v>
      </c>
      <c r="M19" s="4">
        <f>IF(ISBLANK('Raw touched'!M19),((M$5*SLOPE('Raw touched'!$E19:$U19,$E$5:$U$5))+INTERCEPT('Raw touched'!$E19:$U19,$E$5:$U$5)),'Raw touched'!M19)</f>
        <v>9.5</v>
      </c>
      <c r="N19" s="4">
        <f>IF(ISBLANK('Raw touched'!N19),((N$5*SLOPE('Raw touched'!$E19:$U19,$E$5:$U$5))+INTERCEPT('Raw touched'!$E19:$U19,$E$5:$U$5)),'Raw touched'!N19)</f>
        <v>10.158157737684235</v>
      </c>
      <c r="O19" s="4">
        <f>IF(ISBLANK('Raw touched'!O19),((O$5*SLOPE('Raw touched'!$E19:$U19,$E$5:$U$5))+INTERCEPT('Raw touched'!$E19:$U19,$E$5:$U$5)),'Raw touched'!O19)</f>
        <v>10.338585368954</v>
      </c>
      <c r="P19" s="4">
        <f>IF(ISBLANK('Raw touched'!P19),((P$5*SLOPE('Raw touched'!$E19:$U19,$E$5:$U$5))+INTERCEPT('Raw touched'!$E19:$U19,$E$5:$U$5)),'Raw touched'!P19)</f>
        <v>10.519013000223708</v>
      </c>
      <c r="Q19" s="4">
        <f>IF(ISBLANK('Raw touched'!Q19),((Q$5*SLOPE('Raw touched'!$E19:$U19,$E$5:$U$5))+INTERCEPT('Raw touched'!$E19:$U19,$E$5:$U$5)),'Raw touched'!Q19)</f>
        <v>10.699440631493474</v>
      </c>
      <c r="R19" s="4">
        <f>IF(ISBLANK('Raw touched'!R19),((R$5*SLOPE('Raw touched'!$E19:$U19,$E$5:$U$5))+INTERCEPT('Raw touched'!$E19:$U19,$E$5:$U$5)),'Raw touched'!R19)</f>
        <v>10.879868262763182</v>
      </c>
      <c r="S19" s="4">
        <f>IF(ISBLANK('Raw touched'!S19),((S$5*SLOPE('Raw touched'!$E19:$U19,$E$5:$U$5))+INTERCEPT('Raw touched'!$E19:$U19,$E$5:$U$5)),'Raw touched'!S19)</f>
        <v>11.060295894032947</v>
      </c>
      <c r="T19" s="4">
        <f>IF(ISBLANK('Raw touched'!T19),((T$5*SLOPE('Raw touched'!$E19:$U19,$E$5:$U$5))+INTERCEPT('Raw touched'!$E19:$U19,$E$5:$U$5)),'Raw touched'!T19)</f>
        <v>11.240723525302656</v>
      </c>
      <c r="U19" s="4">
        <f>IF(ISBLANK('Raw touched'!U19),((U$5*SLOPE('Raw touched'!$E19:$U19,$E$5:$U$5))+INTERCEPT('Raw touched'!$E19:$U19,$E$5:$U$5)),'Raw touched'!U19)</f>
        <v>11.421151156572421</v>
      </c>
    </row>
    <row r="20" spans="3:21" ht="13">
      <c r="C20" s="1" t="s">
        <v>401</v>
      </c>
      <c r="D20" s="1" t="s">
        <v>19</v>
      </c>
      <c r="E20" s="4">
        <f>IF(ISBLANK('Raw touched'!E20),((E$5*SLOPE('Raw touched'!$E20:$U20,$E$5:$U$5))+INTERCEPT('Raw touched'!$E20:$U20,$E$5:$U$5)),'Raw touched'!E20)</f>
        <v>95.800003050000001</v>
      </c>
      <c r="F20" s="4">
        <f>IF(ISBLANK('Raw touched'!F20),((F$5*SLOPE('Raw touched'!$E20:$U20,$E$5:$U$5))+INTERCEPT('Raw touched'!$E20:$U20,$E$5:$U$5)),'Raw touched'!F20)</f>
        <v>95.900001529999997</v>
      </c>
      <c r="G20" s="4">
        <f>IF(ISBLANK('Raw touched'!G20),((G$5*SLOPE('Raw touched'!$E20:$U20,$E$5:$U$5))+INTERCEPT('Raw touched'!$E20:$U20,$E$5:$U$5)),'Raw touched'!G20)</f>
        <v>97.050000469632323</v>
      </c>
      <c r="H20" s="4">
        <f>IF(ISBLANK('Raw touched'!H20),((H$5*SLOPE('Raw touched'!$E20:$U20,$E$5:$U$5))+INTERCEPT('Raw touched'!$E20:$U20,$E$5:$U$5)),'Raw touched'!H20)</f>
        <v>98.599998470000003</v>
      </c>
      <c r="I20" s="4">
        <f>IF(ISBLANK('Raw touched'!I20),((I$5*SLOPE('Raw touched'!$E20:$U20,$E$5:$U$5))+INTERCEPT('Raw touched'!$E20:$U20,$E$5:$U$5)),'Raw touched'!I20)</f>
        <v>98.599998470000003</v>
      </c>
      <c r="J20" s="4">
        <f>IF(ISBLANK('Raw touched'!J20),((J$5*SLOPE('Raw touched'!$E20:$U20,$E$5:$U$5))+INTERCEPT('Raw touched'!$E20:$U20,$E$5:$U$5)),'Raw touched'!J20)</f>
        <v>98.599998470000003</v>
      </c>
      <c r="K20" s="4">
        <f>IF(ISBLANK('Raw touched'!K20),((K$5*SLOPE('Raw touched'!$E20:$U20,$E$5:$U$5))+INTERCEPT('Raw touched'!$E20:$U20,$E$5:$U$5)),'Raw touched'!K20)</f>
        <v>98.599998470000003</v>
      </c>
      <c r="L20" s="4">
        <f>IF(ISBLANK('Raw touched'!L20),((L$5*SLOPE('Raw touched'!$E20:$U20,$E$5:$U$5))+INTERCEPT('Raw touched'!$E20:$U20,$E$5:$U$5)),'Raw touched'!L20)</f>
        <v>98.599998470000003</v>
      </c>
      <c r="M20" s="4">
        <f>IF(ISBLANK('Raw touched'!M20),((M$5*SLOPE('Raw touched'!$E20:$U20,$E$5:$U$5))+INTERCEPT('Raw touched'!$E20:$U20,$E$5:$U$5)),'Raw touched'!M20)</f>
        <v>100</v>
      </c>
      <c r="N20" s="4">
        <f>IF(ISBLANK('Raw touched'!N20),((N$5*SLOPE('Raw touched'!$E20:$U20,$E$5:$U$5))+INTERCEPT('Raw touched'!$E20:$U20,$E$5:$U$5)),'Raw touched'!N20)</f>
        <v>100</v>
      </c>
      <c r="O20" s="4">
        <f>IF(ISBLANK('Raw touched'!O20),((O$5*SLOPE('Raw touched'!$E20:$U20,$E$5:$U$5))+INTERCEPT('Raw touched'!$E20:$U20,$E$5:$U$5)),'Raw touched'!O20)</f>
        <v>100.64999813469115</v>
      </c>
      <c r="P20" s="4">
        <f>IF(ISBLANK('Raw touched'!P20),((P$5*SLOPE('Raw touched'!$E20:$U20,$E$5:$U$5))+INTERCEPT('Raw touched'!$E20:$U20,$E$5:$U$5)),'Raw touched'!P20)</f>
        <v>101.09999784282354</v>
      </c>
      <c r="Q20" s="4">
        <f>IF(ISBLANK('Raw touched'!Q20),((Q$5*SLOPE('Raw touched'!$E20:$U20,$E$5:$U$5))+INTERCEPT('Raw touched'!$E20:$U20,$E$5:$U$5)),'Raw touched'!Q20)</f>
        <v>101.54999755095582</v>
      </c>
      <c r="R20" s="4">
        <f>IF(ISBLANK('Raw touched'!R20),((R$5*SLOPE('Raw touched'!$E20:$U20,$E$5:$U$5))+INTERCEPT('Raw touched'!$E20:$U20,$E$5:$U$5)),'Raw touched'!R20)</f>
        <v>101.99999725908822</v>
      </c>
      <c r="S20" s="4">
        <f>IF(ISBLANK('Raw touched'!S20),((S$5*SLOPE('Raw touched'!$E20:$U20,$E$5:$U$5))+INTERCEPT('Raw touched'!$E20:$U20,$E$5:$U$5)),'Raw touched'!S20)</f>
        <v>102.4499969672205</v>
      </c>
      <c r="T20" s="4">
        <f>IF(ISBLANK('Raw touched'!T20),((T$5*SLOPE('Raw touched'!$E20:$U20,$E$5:$U$5))+INTERCEPT('Raw touched'!$E20:$U20,$E$5:$U$5)),'Raw touched'!T20)</f>
        <v>102.8999966753529</v>
      </c>
      <c r="U20" s="4">
        <f>IF(ISBLANK('Raw touched'!U20),((U$5*SLOPE('Raw touched'!$E20:$U20,$E$5:$U$5))+INTERCEPT('Raw touched'!$E20:$U20,$E$5:$U$5)),'Raw touched'!U20)</f>
        <v>103.34999638348529</v>
      </c>
    </row>
    <row r="21" spans="3:21" ht="13">
      <c r="C21" s="1" t="s">
        <v>319</v>
      </c>
      <c r="D21" s="1" t="s">
        <v>169</v>
      </c>
      <c r="E21" s="4">
        <f>IF(ISBLANK('Raw touched'!E21),((E$5*SLOPE('Raw touched'!$E21:$U21,$E$5:$U$5))+INTERCEPT('Raw touched'!$E21:$U21,$E$5:$U$5)),'Raw touched'!E21)</f>
        <v>98.599998470000003</v>
      </c>
      <c r="F21" s="4">
        <f>IF(ISBLANK('Raw touched'!F21),((F$5*SLOPE('Raw touched'!$E21:$U21,$E$5:$U$5))+INTERCEPT('Raw touched'!$E21:$U21,$E$5:$U$5)),'Raw touched'!F21)</f>
        <v>98.800003050000001</v>
      </c>
      <c r="G21" s="4">
        <f>IF(ISBLANK('Raw touched'!G21),((G$5*SLOPE('Raw touched'!$E21:$U21,$E$5:$U$5))+INTERCEPT('Raw touched'!$E21:$U21,$E$5:$U$5)),'Raw touched'!G21)</f>
        <v>98.199996949999999</v>
      </c>
      <c r="H21" s="4">
        <f>IF(ISBLANK('Raw touched'!H21),((H$5*SLOPE('Raw touched'!$E21:$U21,$E$5:$U$5))+INTERCEPT('Raw touched'!$E21:$U21,$E$5:$U$5)),'Raw touched'!H21)</f>
        <v>95.599998470000003</v>
      </c>
      <c r="I21" s="4">
        <f>IF(ISBLANK('Raw touched'!I21),((I$5*SLOPE('Raw touched'!$E21:$U21,$E$5:$U$5))+INTERCEPT('Raw touched'!$E21:$U21,$E$5:$U$5)),'Raw touched'!I21)</f>
        <v>94.265855988563999</v>
      </c>
      <c r="J21" s="4">
        <f>IF(ISBLANK('Raw touched'!J21),((J$5*SLOPE('Raw touched'!$E21:$U21,$E$5:$U$5))+INTERCEPT('Raw touched'!$E21:$U21,$E$5:$U$5)),'Raw touched'!J21)</f>
        <v>92.941657176575063</v>
      </c>
      <c r="K21" s="4">
        <f>IF(ISBLANK('Raw touched'!K21),((K$5*SLOPE('Raw touched'!$E21:$U21,$E$5:$U$5))+INTERCEPT('Raw touched'!$E21:$U21,$E$5:$U$5)),'Raw touched'!K21)</f>
        <v>91.617458364586128</v>
      </c>
      <c r="L21" s="4">
        <f>IF(ISBLANK('Raw touched'!L21),((L$5*SLOPE('Raw touched'!$E21:$U21,$E$5:$U$5))+INTERCEPT('Raw touched'!$E21:$U21,$E$5:$U$5)),'Raw touched'!L21)</f>
        <v>90.293259552597192</v>
      </c>
      <c r="M21" s="4">
        <f>IF(ISBLANK('Raw touched'!M21),((M$5*SLOPE('Raw touched'!$E21:$U21,$E$5:$U$5))+INTERCEPT('Raw touched'!$E21:$U21,$E$5:$U$5)),'Raw touched'!M21)</f>
        <v>86.400001529999997</v>
      </c>
      <c r="N21" s="4">
        <f>IF(ISBLANK('Raw touched'!N21),((N$5*SLOPE('Raw touched'!$E21:$U21,$E$5:$U$5))+INTERCEPT('Raw touched'!$E21:$U21,$E$5:$U$5)),'Raw touched'!N21)</f>
        <v>87</v>
      </c>
      <c r="O21" s="4">
        <f>IF(ISBLANK('Raw touched'!O21),((O$5*SLOPE('Raw touched'!$E21:$U21,$E$5:$U$5))+INTERCEPT('Raw touched'!$E21:$U21,$E$5:$U$5)),'Raw touched'!O21)</f>
        <v>88.63999939</v>
      </c>
      <c r="P21" s="4">
        <f>IF(ISBLANK('Raw touched'!P21),((P$5*SLOPE('Raw touched'!$E21:$U21,$E$5:$U$5))+INTERCEPT('Raw touched'!$E21:$U21,$E$5:$U$5)),'Raw touched'!P21)</f>
        <v>84.996464304640995</v>
      </c>
      <c r="Q21" s="4">
        <f>IF(ISBLANK('Raw touched'!Q21),((Q$5*SLOPE('Raw touched'!$E21:$U21,$E$5:$U$5))+INTERCEPT('Raw touched'!$E21:$U21,$E$5:$U$5)),'Raw touched'!Q21)</f>
        <v>83.672265492652059</v>
      </c>
      <c r="R21" s="4">
        <f>IF(ISBLANK('Raw touched'!R21),((R$5*SLOPE('Raw touched'!$E21:$U21,$E$5:$U$5))+INTERCEPT('Raw touched'!$E21:$U21,$E$5:$U$5)),'Raw touched'!R21)</f>
        <v>82.348066680663123</v>
      </c>
      <c r="S21" s="4">
        <f>IF(ISBLANK('Raw touched'!S21),((S$5*SLOPE('Raw touched'!$E21:$U21,$E$5:$U$5))+INTERCEPT('Raw touched'!$E21:$U21,$E$5:$U$5)),'Raw touched'!S21)</f>
        <v>81.023867868674188</v>
      </c>
      <c r="T21" s="4">
        <f>IF(ISBLANK('Raw touched'!T21),((T$5*SLOPE('Raw touched'!$E21:$U21,$E$5:$U$5))+INTERCEPT('Raw touched'!$E21:$U21,$E$5:$U$5)),'Raw touched'!T21)</f>
        <v>79.699669056685252</v>
      </c>
      <c r="U21" s="4">
        <f>IF(ISBLANK('Raw touched'!U21),((U$5*SLOPE('Raw touched'!$E21:$U21,$E$5:$U$5))+INTERCEPT('Raw touched'!$E21:$U21,$E$5:$U$5)),'Raw touched'!U21)</f>
        <v>78.375470244696317</v>
      </c>
    </row>
    <row r="22" spans="3:21" ht="13">
      <c r="C22" s="1" t="s">
        <v>219</v>
      </c>
      <c r="D22" s="1" t="s">
        <v>274</v>
      </c>
      <c r="E22" s="4">
        <f>IF(ISBLANK('Raw touched'!E22),((E$5*SLOPE('Raw touched'!$E22:$U22,$E$5:$U$5))+INTERCEPT('Raw touched'!$E22:$U22,$E$5:$U$5)),'Raw touched'!E22)</f>
        <v>80.699996949999999</v>
      </c>
      <c r="F22" s="4">
        <f>IF(ISBLANK('Raw touched'!F22),((F$5*SLOPE('Raw touched'!$E22:$U22,$E$5:$U$5))+INTERCEPT('Raw touched'!$E22:$U22,$E$5:$U$5)),'Raw touched'!F22)</f>
        <v>80.699996949999999</v>
      </c>
      <c r="G22" s="4">
        <f>IF(ISBLANK('Raw touched'!G22),((G$5*SLOPE('Raw touched'!$E22:$U22,$E$5:$U$5))+INTERCEPT('Raw touched'!$E22:$U22,$E$5:$U$5)),'Raw touched'!G22)</f>
        <v>80.699996949999999</v>
      </c>
      <c r="H22" s="4">
        <f>IF(ISBLANK('Raw touched'!H22),((H$5*SLOPE('Raw touched'!$E22:$U22,$E$5:$U$5))+INTERCEPT('Raw touched'!$E22:$U22,$E$5:$U$5)),'Raw touched'!H22)</f>
        <v>78.199996949999999</v>
      </c>
      <c r="I22" s="4">
        <f>IF(ISBLANK('Raw touched'!I22),((I$5*SLOPE('Raw touched'!$E22:$U22,$E$5:$U$5))+INTERCEPT('Raw touched'!$E22:$U22,$E$5:$U$5)),'Raw touched'!I22)</f>
        <v>78.199996949999999</v>
      </c>
      <c r="J22" s="4">
        <f>IF(ISBLANK('Raw touched'!J22),((J$5*SLOPE('Raw touched'!$E22:$U22,$E$5:$U$5))+INTERCEPT('Raw touched'!$E22:$U22,$E$5:$U$5)),'Raw touched'!J22)</f>
        <v>78.199996949999999</v>
      </c>
      <c r="K22" s="4">
        <f>IF(ISBLANK('Raw touched'!K22),((K$5*SLOPE('Raw touched'!$E22:$U22,$E$5:$U$5))+INTERCEPT('Raw touched'!$E22:$U22,$E$5:$U$5)),'Raw touched'!K22)</f>
        <v>78.300003050000001</v>
      </c>
      <c r="L22" s="4">
        <f>IF(ISBLANK('Raw touched'!L22),((L$5*SLOPE('Raw touched'!$E22:$U22,$E$5:$U$5))+INTERCEPT('Raw touched'!$E22:$U22,$E$5:$U$5)),'Raw touched'!L22)</f>
        <v>78.199996949999999</v>
      </c>
      <c r="M22" s="4">
        <f>IF(ISBLANK('Raw touched'!M22),((M$5*SLOPE('Raw touched'!$E22:$U22,$E$5:$U$5))+INTERCEPT('Raw touched'!$E22:$U22,$E$5:$U$5)),'Raw touched'!M22)</f>
        <v>78</v>
      </c>
      <c r="N22" s="4">
        <f>IF(ISBLANK('Raw touched'!N22),((N$5*SLOPE('Raw touched'!$E22:$U22,$E$5:$U$5))+INTERCEPT('Raw touched'!$E22:$U22,$E$5:$U$5)),'Raw touched'!N22)</f>
        <v>78</v>
      </c>
      <c r="O22" s="4">
        <f>IF(ISBLANK('Raw touched'!O22),((O$5*SLOPE('Raw touched'!$E22:$U22,$E$5:$U$5))+INTERCEPT('Raw touched'!$E22:$U22,$E$5:$U$5)),'Raw touched'!O22)</f>
        <v>78.21199799</v>
      </c>
      <c r="P22" s="4">
        <f>IF(ISBLANK('Raw touched'!P22),((P$5*SLOPE('Raw touched'!$E22:$U22,$E$5:$U$5))+INTERCEPT('Raw touched'!$E22:$U22,$E$5:$U$5)),'Raw touched'!P22)</f>
        <v>78.208000179999999</v>
      </c>
      <c r="Q22" s="4">
        <f>IF(ISBLANK('Raw touched'!Q22),((Q$5*SLOPE('Raw touched'!$E22:$U22,$E$5:$U$5))+INTERCEPT('Raw touched'!$E22:$U22,$E$5:$U$5)),'Raw touched'!Q22)</f>
        <v>78.2</v>
      </c>
      <c r="R22" s="4">
        <f>IF(ISBLANK('Raw touched'!R22),((R$5*SLOPE('Raw touched'!$E22:$U22,$E$5:$U$5))+INTERCEPT('Raw touched'!$E22:$U22,$E$5:$U$5)),'Raw touched'!R22)</f>
        <v>78.2</v>
      </c>
      <c r="S22" s="4">
        <f>IF(ISBLANK('Raw touched'!S22),((S$5*SLOPE('Raw touched'!$E22:$U22,$E$5:$U$5))+INTERCEPT('Raw touched'!$E22:$U22,$E$5:$U$5)),'Raw touched'!S22)</f>
        <v>77.330374295934064</v>
      </c>
      <c r="T22" s="4">
        <f>IF(ISBLANK('Raw touched'!T22),((T$5*SLOPE('Raw touched'!$E22:$U22,$E$5:$U$5))+INTERCEPT('Raw touched'!$E22:$U22,$E$5:$U$5)),'Raw touched'!T22)</f>
        <v>77.145662489010988</v>
      </c>
      <c r="U22" s="4">
        <f>IF(ISBLANK('Raw touched'!U22),((U$5*SLOPE('Raw touched'!$E22:$U22,$E$5:$U$5))+INTERCEPT('Raw touched'!$E22:$U22,$E$5:$U$5)),'Raw touched'!U22)</f>
        <v>76.960950682087912</v>
      </c>
    </row>
    <row r="23" spans="3:21" ht="13">
      <c r="C23" s="1" t="s">
        <v>322</v>
      </c>
      <c r="D23" s="1" t="s">
        <v>312</v>
      </c>
      <c r="E23" s="4">
        <f>IF(ISBLANK('Raw touched'!E23),((E$5*SLOPE('Raw touched'!$E23:$U23,$E$5:$U$5))+INTERCEPT('Raw touched'!$E23:$U23,$E$5:$U$5)),'Raw touched'!E23)</f>
        <v>17.866666666666731</v>
      </c>
      <c r="F23" s="4">
        <f>IF(ISBLANK('Raw touched'!F23),((F$5*SLOPE('Raw touched'!$E23:$U23,$E$5:$U$5))+INTERCEPT('Raw touched'!$E23:$U23,$E$5:$U$5)),'Raw touched'!F23)</f>
        <v>19</v>
      </c>
      <c r="G23" s="4">
        <f>IF(ISBLANK('Raw touched'!G23),((G$5*SLOPE('Raw touched'!$E23:$U23,$E$5:$U$5))+INTERCEPT('Raw touched'!$E23:$U23,$E$5:$U$5)),'Raw touched'!G23)</f>
        <v>16</v>
      </c>
      <c r="H23" s="4">
        <f>IF(ISBLANK('Raw touched'!H23),((H$5*SLOPE('Raw touched'!$E23:$U23,$E$5:$U$5))+INTERCEPT('Raw touched'!$E23:$U23,$E$5:$U$5)),'Raw touched'!H23)</f>
        <v>17</v>
      </c>
      <c r="I23" s="4">
        <f>IF(ISBLANK('Raw touched'!I23),((I$5*SLOPE('Raw touched'!$E23:$U23,$E$5:$U$5))+INTERCEPT('Raw touched'!$E23:$U23,$E$5:$U$5)),'Raw touched'!I23)</f>
        <v>17</v>
      </c>
      <c r="J23" s="4">
        <f>IF(ISBLANK('Raw touched'!J23),((J$5*SLOPE('Raw touched'!$E23:$U23,$E$5:$U$5))+INTERCEPT('Raw touched'!$E23:$U23,$E$5:$U$5)),'Raw touched'!J23)</f>
        <v>17</v>
      </c>
      <c r="K23" s="4">
        <f>IF(ISBLANK('Raw touched'!K23),((K$5*SLOPE('Raw touched'!$E23:$U23,$E$5:$U$5))+INTERCEPT('Raw touched'!$E23:$U23,$E$5:$U$5)),'Raw touched'!K23)</f>
        <v>17</v>
      </c>
      <c r="L23" s="4">
        <f>IF(ISBLANK('Raw touched'!L23),((L$5*SLOPE('Raw touched'!$E23:$U23,$E$5:$U$5))+INTERCEPT('Raw touched'!$E23:$U23,$E$5:$U$5)),'Raw touched'!L23)</f>
        <v>16.466666666666697</v>
      </c>
      <c r="M23" s="4">
        <f>IF(ISBLANK('Raw touched'!M23),((M$5*SLOPE('Raw touched'!$E23:$U23,$E$5:$U$5))+INTERCEPT('Raw touched'!$E23:$U23,$E$5:$U$5)),'Raw touched'!M23)</f>
        <v>16.266666666666708</v>
      </c>
      <c r="N23" s="4">
        <f>IF(ISBLANK('Raw touched'!N23),((N$5*SLOPE('Raw touched'!$E23:$U23,$E$5:$U$5))+INTERCEPT('Raw touched'!$E23:$U23,$E$5:$U$5)),'Raw touched'!N23)</f>
        <v>16.06666666666672</v>
      </c>
      <c r="O23" s="4">
        <f>IF(ISBLANK('Raw touched'!O23),((O$5*SLOPE('Raw touched'!$E23:$U23,$E$5:$U$5))+INTERCEPT('Raw touched'!$E23:$U23,$E$5:$U$5)),'Raw touched'!O23)</f>
        <v>15.866666666666731</v>
      </c>
      <c r="P23" s="4">
        <f>IF(ISBLANK('Raw touched'!P23),((P$5*SLOPE('Raw touched'!$E23:$U23,$E$5:$U$5))+INTERCEPT('Raw touched'!$E23:$U23,$E$5:$U$5)),'Raw touched'!P23)</f>
        <v>15.666666666666686</v>
      </c>
      <c r="Q23" s="4">
        <f>IF(ISBLANK('Raw touched'!Q23),((Q$5*SLOPE('Raw touched'!$E23:$U23,$E$5:$U$5))+INTERCEPT('Raw touched'!$E23:$U23,$E$5:$U$5)),'Raw touched'!Q23)</f>
        <v>15.466666666666697</v>
      </c>
      <c r="R23" s="4">
        <f>IF(ISBLANK('Raw touched'!R23),((R$5*SLOPE('Raw touched'!$E23:$U23,$E$5:$U$5))+INTERCEPT('Raw touched'!$E23:$U23,$E$5:$U$5)),'Raw touched'!R23)</f>
        <v>15.266666666666708</v>
      </c>
      <c r="S23" s="4">
        <f>IF(ISBLANK('Raw touched'!S23),((S$5*SLOPE('Raw touched'!$E23:$U23,$E$5:$U$5))+INTERCEPT('Raw touched'!$E23:$U23,$E$5:$U$5)),'Raw touched'!S23)</f>
        <v>15.06666666666672</v>
      </c>
      <c r="T23" s="4">
        <f>IF(ISBLANK('Raw touched'!T23),((T$5*SLOPE('Raw touched'!$E23:$U23,$E$5:$U$5))+INTERCEPT('Raw touched'!$E23:$U23,$E$5:$U$5)),'Raw touched'!T23)</f>
        <v>14.866666666666731</v>
      </c>
      <c r="U23" s="4">
        <f>IF(ISBLANK('Raw touched'!U23),((U$5*SLOPE('Raw touched'!$E23:$U23,$E$5:$U$5))+INTERCEPT('Raw touched'!$E23:$U23,$E$5:$U$5)),'Raw touched'!U23)</f>
        <v>14.666666666666686</v>
      </c>
    </row>
    <row r="24" spans="3:21" ht="13">
      <c r="C24" s="1" t="s">
        <v>218</v>
      </c>
      <c r="D24" s="1" t="s">
        <v>89</v>
      </c>
      <c r="E24" s="4">
        <f>IF(ISBLANK('Raw touched'!E24),((E$5*SLOPE('Raw touched'!$E24:$U24,$E$5:$U$5))+INTERCEPT('Raw touched'!$E24:$U24,$E$5:$U$5)),'Raw touched'!E24)</f>
        <v>20</v>
      </c>
      <c r="F24" s="4">
        <f>IF(ISBLANK('Raw touched'!F24),((F$5*SLOPE('Raw touched'!$E24:$U24,$E$5:$U$5))+INTERCEPT('Raw touched'!$E24:$U24,$E$5:$U$5)),'Raw touched'!F24)</f>
        <v>20</v>
      </c>
      <c r="G24" s="4">
        <f>IF(ISBLANK('Raw touched'!G24),((G$5*SLOPE('Raw touched'!$E24:$U24,$E$5:$U$5))+INTERCEPT('Raw touched'!$E24:$U24,$E$5:$U$5)),'Raw touched'!G24)</f>
        <v>20</v>
      </c>
      <c r="H24" s="4">
        <f>IF(ISBLANK('Raw touched'!H24),((H$5*SLOPE('Raw touched'!$E24:$U24,$E$5:$U$5))+INTERCEPT('Raw touched'!$E24:$U24,$E$5:$U$5)),'Raw touched'!H24)</f>
        <v>20</v>
      </c>
      <c r="I24" s="4">
        <f>IF(ISBLANK('Raw touched'!I24),((I$5*SLOPE('Raw touched'!$E24:$U24,$E$5:$U$5))+INTERCEPT('Raw touched'!$E24:$U24,$E$5:$U$5)),'Raw touched'!I24)</f>
        <v>16.639999999999873</v>
      </c>
      <c r="J24" s="4">
        <f>IF(ISBLANK('Raw touched'!J24),((J$5*SLOPE('Raw touched'!$E24:$U24,$E$5:$U$5))+INTERCEPT('Raw touched'!$E24:$U24,$E$5:$U$5)),'Raw touched'!J24)</f>
        <v>15.380000000000109</v>
      </c>
      <c r="K24" s="4">
        <f>IF(ISBLANK('Raw touched'!K24),((K$5*SLOPE('Raw touched'!$E24:$U24,$E$5:$U$5))+INTERCEPT('Raw touched'!$E24:$U24,$E$5:$U$5)),'Raw touched'!K24)</f>
        <v>14.119999999999891</v>
      </c>
      <c r="L24" s="4">
        <f>IF(ISBLANK('Raw touched'!L24),((L$5*SLOPE('Raw touched'!$E24:$U24,$E$5:$U$5))+INTERCEPT('Raw touched'!$E24:$U24,$E$5:$U$5)),'Raw touched'!L24)</f>
        <v>12.860000000000127</v>
      </c>
      <c r="M24" s="4">
        <f>IF(ISBLANK('Raw touched'!M24),((M$5*SLOPE('Raw touched'!$E24:$U24,$E$5:$U$5))+INTERCEPT('Raw touched'!$E24:$U24,$E$5:$U$5)),'Raw touched'!M24)</f>
        <v>11.599999999999909</v>
      </c>
      <c r="N24" s="4">
        <f>IF(ISBLANK('Raw touched'!N24),((N$5*SLOPE('Raw touched'!$E24:$U24,$E$5:$U$5))+INTERCEPT('Raw touched'!$E24:$U24,$E$5:$U$5)),'Raw touched'!N24)</f>
        <v>9.5</v>
      </c>
      <c r="O24" s="4">
        <f>IF(ISBLANK('Raw touched'!O24),((O$5*SLOPE('Raw touched'!$E24:$U24,$E$5:$U$5))+INTERCEPT('Raw touched'!$E24:$U24,$E$5:$U$5)),'Raw touched'!O24)</f>
        <v>9.0799999999999272</v>
      </c>
      <c r="P24" s="4">
        <f>IF(ISBLANK('Raw touched'!P24),((P$5*SLOPE('Raw touched'!$E24:$U24,$E$5:$U$5))+INTERCEPT('Raw touched'!$E24:$U24,$E$5:$U$5)),'Raw touched'!P24)</f>
        <v>7.8200000000001637</v>
      </c>
      <c r="Q24" s="4">
        <f>IF(ISBLANK('Raw touched'!Q24),((Q$5*SLOPE('Raw touched'!$E24:$U24,$E$5:$U$5))+INTERCEPT('Raw touched'!$E24:$U24,$E$5:$U$5)),'Raw touched'!Q24)</f>
        <v>6.5599999999999454</v>
      </c>
      <c r="R24" s="4">
        <f>IF(ISBLANK('Raw touched'!R24),((R$5*SLOPE('Raw touched'!$E24:$U24,$E$5:$U$5))+INTERCEPT('Raw touched'!$E24:$U24,$E$5:$U$5)),'Raw touched'!R24)</f>
        <v>5.3000000000001819</v>
      </c>
      <c r="S24" s="4">
        <f>IF(ISBLANK('Raw touched'!S24),((S$5*SLOPE('Raw touched'!$E24:$U24,$E$5:$U$5))+INTERCEPT('Raw touched'!$E24:$U24,$E$5:$U$5)),'Raw touched'!S24)</f>
        <v>4.0399999999999636</v>
      </c>
      <c r="T24" s="4">
        <f>IF(ISBLANK('Raw touched'!T24),((T$5*SLOPE('Raw touched'!$E24:$U24,$E$5:$U$5))+INTERCEPT('Raw touched'!$E24:$U24,$E$5:$U$5)),'Raw touched'!T24)</f>
        <v>2.7800000000002001</v>
      </c>
      <c r="U24" s="4">
        <f>IF(ISBLANK('Raw touched'!U24),((U$5*SLOPE('Raw touched'!$E24:$U24,$E$5:$U$5))+INTERCEPT('Raw touched'!$E24:$U24,$E$5:$U$5)),'Raw touched'!U24)</f>
        <v>1.5199999999999818</v>
      </c>
    </row>
    <row r="25" spans="3:21" ht="13">
      <c r="C25" s="1" t="s">
        <v>0</v>
      </c>
      <c r="D25" s="1" t="s">
        <v>379</v>
      </c>
      <c r="E25" s="4">
        <f>IF(ISBLANK('Raw touched'!E25),((E$5*SLOPE('Raw touched'!$E25:$U25,$E$5:$U$5))+INTERCEPT('Raw touched'!$E25:$U25,$E$5:$U$5)),'Raw touched'!E25)</f>
        <v>63.700000760000002</v>
      </c>
      <c r="F25" s="4">
        <f>IF(ISBLANK('Raw touched'!F25),((F$5*SLOPE('Raw touched'!$E25:$U25,$E$5:$U$5))+INTERCEPT('Raw touched'!$E25:$U25,$E$5:$U$5)),'Raw touched'!F25)</f>
        <v>60.700000760000002</v>
      </c>
      <c r="G25" s="4">
        <f>IF(ISBLANK('Raw touched'!G25),((G$5*SLOPE('Raw touched'!$E25:$U25,$E$5:$U$5))+INTERCEPT('Raw touched'!$E25:$U25,$E$5:$U$5)),'Raw touched'!G25)</f>
        <v>60.700000760000002</v>
      </c>
      <c r="H25" s="4">
        <f>IF(ISBLANK('Raw touched'!H25),((H$5*SLOPE('Raw touched'!$E25:$U25,$E$5:$U$5))+INTERCEPT('Raw touched'!$E25:$U25,$E$5:$U$5)),'Raw touched'!H25)</f>
        <v>61.765806995870989</v>
      </c>
      <c r="I25" s="4">
        <f>IF(ISBLANK('Raw touched'!I25),((I$5*SLOPE('Raw touched'!$E25:$U25,$E$5:$U$5))+INTERCEPT('Raw touched'!$E25:$U25,$E$5:$U$5)),'Raw touched'!I25)</f>
        <v>61.72903269935486</v>
      </c>
      <c r="J25" s="4">
        <f>IF(ISBLANK('Raw touched'!J25),((J$5*SLOPE('Raw touched'!$E25:$U25,$E$5:$U$5))+INTERCEPT('Raw touched'!$E25:$U25,$E$5:$U$5)),'Raw touched'!J25)</f>
        <v>61.692258402838732</v>
      </c>
      <c r="K25" s="4">
        <f>IF(ISBLANK('Raw touched'!K25),((K$5*SLOPE('Raw touched'!$E25:$U25,$E$5:$U$5))+INTERCEPT('Raw touched'!$E25:$U25,$E$5:$U$5)),'Raw touched'!K25)</f>
        <v>61.655484106322604</v>
      </c>
      <c r="L25" s="4">
        <f>IF(ISBLANK('Raw touched'!L25),((L$5*SLOPE('Raw touched'!$E25:$U25,$E$5:$U$5))+INTERCEPT('Raw touched'!$E25:$U25,$E$5:$U$5)),'Raw touched'!L25)</f>
        <v>61.618709809806475</v>
      </c>
      <c r="M25" s="4">
        <f>IF(ISBLANK('Raw touched'!M25),((M$5*SLOPE('Raw touched'!$E25:$U25,$E$5:$U$5))+INTERCEPT('Raw touched'!$E25:$U25,$E$5:$U$5)),'Raw touched'!M25)</f>
        <v>62</v>
      </c>
      <c r="N25" s="4">
        <f>IF(ISBLANK('Raw touched'!N25),((N$5*SLOPE('Raw touched'!$E25:$U25,$E$5:$U$5))+INTERCEPT('Raw touched'!$E25:$U25,$E$5:$U$5)),'Raw touched'!N25)</f>
        <v>61.545161216774218</v>
      </c>
      <c r="O25" s="4">
        <f>IF(ISBLANK('Raw touched'!O25),((O$5*SLOPE('Raw touched'!$E25:$U25,$E$5:$U$5))+INTERCEPT('Raw touched'!$E25:$U25,$E$5:$U$5)),'Raw touched'!O25)</f>
        <v>61.50838692025809</v>
      </c>
      <c r="P25" s="4">
        <f>IF(ISBLANK('Raw touched'!P25),((P$5*SLOPE('Raw touched'!$E25:$U25,$E$5:$U$5))+INTERCEPT('Raw touched'!$E25:$U25,$E$5:$U$5)),'Raw touched'!P25)</f>
        <v>61.471612623741962</v>
      </c>
      <c r="Q25" s="4">
        <f>IF(ISBLANK('Raw touched'!Q25),((Q$5*SLOPE('Raw touched'!$E25:$U25,$E$5:$U$5))+INTERCEPT('Raw touched'!$E25:$U25,$E$5:$U$5)),'Raw touched'!Q25)</f>
        <v>61.434838327225833</v>
      </c>
      <c r="R25" s="4">
        <f>IF(ISBLANK('Raw touched'!R25),((R$5*SLOPE('Raw touched'!$E25:$U25,$E$5:$U$5))+INTERCEPT('Raw touched'!$E25:$U25,$E$5:$U$5)),'Raw touched'!R25)</f>
        <v>61.398064030709691</v>
      </c>
      <c r="S25" s="4">
        <f>IF(ISBLANK('Raw touched'!S25),((S$5*SLOPE('Raw touched'!$E25:$U25,$E$5:$U$5))+INTERCEPT('Raw touched'!$E25:$U25,$E$5:$U$5)),'Raw touched'!S25)</f>
        <v>61.361289734193562</v>
      </c>
      <c r="T25" s="4">
        <f>IF(ISBLANK('Raw touched'!T25),((T$5*SLOPE('Raw touched'!$E25:$U25,$E$5:$U$5))+INTERCEPT('Raw touched'!$E25:$U25,$E$5:$U$5)),'Raw touched'!T25)</f>
        <v>61.324515437677434</v>
      </c>
      <c r="U25" s="4">
        <f>IF(ISBLANK('Raw touched'!U25),((U$5*SLOPE('Raw touched'!$E25:$U25,$E$5:$U$5))+INTERCEPT('Raw touched'!$E25:$U25,$E$5:$U$5)),'Raw touched'!U25)</f>
        <v>61.287741141161305</v>
      </c>
    </row>
    <row r="26" spans="3:21" ht="13">
      <c r="C26" s="1" t="s">
        <v>349</v>
      </c>
      <c r="D26" s="1" t="s">
        <v>93</v>
      </c>
      <c r="E26" s="4">
        <f>IF(ISBLANK('Raw touched'!E26),((E$5*SLOPE('Raw touched'!$E26:$U26,$E$5:$U$5))+INTERCEPT('Raw touched'!$E26:$U26,$E$5:$U$5)),'Raw touched'!E26)</f>
        <v>5.5</v>
      </c>
      <c r="F26" s="4">
        <f>IF(ISBLANK('Raw touched'!F26),((F$5*SLOPE('Raw touched'!$E26:$U26,$E$5:$U$5))+INTERCEPT('Raw touched'!$E26:$U26,$E$5:$U$5)),'Raw touched'!F26)</f>
        <v>5.5</v>
      </c>
      <c r="G26" s="4">
        <f>IF(ISBLANK('Raw touched'!G26),((G$5*SLOPE('Raw touched'!$E26:$U26,$E$5:$U$5))+INTERCEPT('Raw touched'!$E26:$U26,$E$5:$U$5)),'Raw touched'!G26)</f>
        <v>5.6999998090000004</v>
      </c>
      <c r="H26" s="4">
        <f>IF(ISBLANK('Raw touched'!H26),((H$5*SLOPE('Raw touched'!$E26:$U26,$E$5:$U$5))+INTERCEPT('Raw touched'!$E26:$U26,$E$5:$U$5)),'Raw touched'!H26)</f>
        <v>6</v>
      </c>
      <c r="I26" s="4">
        <f>IF(ISBLANK('Raw touched'!I26),((I$5*SLOPE('Raw touched'!$E26:$U26,$E$5:$U$5))+INTERCEPT('Raw touched'!$E26:$U26,$E$5:$U$5)),'Raw touched'!I26)</f>
        <v>6.4000000950000002</v>
      </c>
      <c r="J26" s="4">
        <f>IF(ISBLANK('Raw touched'!J26),((J$5*SLOPE('Raw touched'!$E26:$U26,$E$5:$U$5))+INTERCEPT('Raw touched'!$E26:$U26,$E$5:$U$5)),'Raw touched'!J26)</f>
        <v>6.5999999049999998</v>
      </c>
      <c r="K26" s="4">
        <f>IF(ISBLANK('Raw touched'!K26),((K$5*SLOPE('Raw touched'!$E26:$U26,$E$5:$U$5))+INTERCEPT('Raw touched'!$E26:$U26,$E$5:$U$5)),'Raw touched'!K26)</f>
        <v>6.6999998090000004</v>
      </c>
      <c r="L26" s="4">
        <f>IF(ISBLANK('Raw touched'!L26),((L$5*SLOPE('Raw touched'!$E26:$U26,$E$5:$U$5))+INTERCEPT('Raw touched'!$E26:$U26,$E$5:$U$5)),'Raw touched'!L26)</f>
        <v>6.6999998090000004</v>
      </c>
      <c r="M26" s="4">
        <f>IF(ISBLANK('Raw touched'!M26),((M$5*SLOPE('Raw touched'!$E26:$U26,$E$5:$U$5))+INTERCEPT('Raw touched'!$E26:$U26,$E$5:$U$5)),'Raw touched'!M26)</f>
        <v>7</v>
      </c>
      <c r="N26" s="4">
        <f>IF(ISBLANK('Raw touched'!N26),((N$5*SLOPE('Raw touched'!$E26:$U26,$E$5:$U$5))+INTERCEPT('Raw touched'!$E26:$U26,$E$5:$U$5)),'Raw touched'!N26)</f>
        <v>7</v>
      </c>
      <c r="O26" s="4">
        <f>IF(ISBLANK('Raw touched'!O26),((O$5*SLOPE('Raw touched'!$E26:$U26,$E$5:$U$5))+INTERCEPT('Raw touched'!$E26:$U26,$E$5:$U$5)),'Raw touched'!O26)</f>
        <v>7.3533332505999738</v>
      </c>
      <c r="P26" s="4">
        <f>IF(ISBLANK('Raw touched'!P26),((P$5*SLOPE('Raw touched'!$E26:$U26,$E$5:$U$5))+INTERCEPT('Raw touched'!$E26:$U26,$E$5:$U$5)),'Raw touched'!P26)</f>
        <v>7.5430302156727294</v>
      </c>
      <c r="Q26" s="4">
        <f>IF(ISBLANK('Raw touched'!Q26),((Q$5*SLOPE('Raw touched'!$E26:$U26,$E$5:$U$5))+INTERCEPT('Raw touched'!$E26:$U26,$E$5:$U$5)),'Raw touched'!Q26)</f>
        <v>7.7327271807454281</v>
      </c>
      <c r="R26" s="4">
        <f>IF(ISBLANK('Raw touched'!R26),((R$5*SLOPE('Raw touched'!$E26:$U26,$E$5:$U$5))+INTERCEPT('Raw touched'!$E26:$U26,$E$5:$U$5)),'Raw touched'!R26)</f>
        <v>7.9224241458181837</v>
      </c>
      <c r="S26" s="4">
        <f>IF(ISBLANK('Raw touched'!S26),((S$5*SLOPE('Raw touched'!$E26:$U26,$E$5:$U$5))+INTERCEPT('Raw touched'!$E26:$U26,$E$5:$U$5)),'Raw touched'!S26)</f>
        <v>8.1121211108908824</v>
      </c>
      <c r="T26" s="4">
        <f>IF(ISBLANK('Raw touched'!T26),((T$5*SLOPE('Raw touched'!$E26:$U26,$E$5:$U$5))+INTERCEPT('Raw touched'!$E26:$U26,$E$5:$U$5)),'Raw touched'!T26)</f>
        <v>8.301818075963638</v>
      </c>
      <c r="U26" s="4">
        <f>IF(ISBLANK('Raw touched'!U26),((U$5*SLOPE('Raw touched'!$E26:$U26,$E$5:$U$5))+INTERCEPT('Raw touched'!$E26:$U26,$E$5:$U$5)),'Raw touched'!U26)</f>
        <v>8.4915150410363367</v>
      </c>
    </row>
    <row r="27" spans="3:21" ht="13">
      <c r="C27" s="1" t="s">
        <v>277</v>
      </c>
      <c r="D27" s="1" t="s">
        <v>186</v>
      </c>
      <c r="E27" s="4">
        <f>IF(ISBLANK('Raw touched'!E27),((E$5*SLOPE('Raw touched'!$E27:$U27,$E$5:$U$5))+INTERCEPT('Raw touched'!$E27:$U27,$E$5:$U$5)),'Raw touched'!E27)</f>
        <v>52.299999239999998</v>
      </c>
      <c r="F27" s="4">
        <f>IF(ISBLANK('Raw touched'!F27),((F$5*SLOPE('Raw touched'!$E27:$U27,$E$5:$U$5))+INTERCEPT('Raw touched'!$E27:$U27,$E$5:$U$5)),'Raw touched'!F27)</f>
        <v>52.299999239999998</v>
      </c>
      <c r="G27" s="4">
        <f>IF(ISBLANK('Raw touched'!G27),((G$5*SLOPE('Raw touched'!$E27:$U27,$E$5:$U$5))+INTERCEPT('Raw touched'!$E27:$U27,$E$5:$U$5)),'Raw touched'!G27)</f>
        <v>52.299999239999998</v>
      </c>
      <c r="H27" s="4">
        <f>IF(ISBLANK('Raw touched'!H27),((H$5*SLOPE('Raw touched'!$E27:$U27,$E$5:$U$5))+INTERCEPT('Raw touched'!$E27:$U27,$E$5:$U$5)),'Raw touched'!H27)</f>
        <v>52.299999239999998</v>
      </c>
      <c r="I27" s="4">
        <f>IF(ISBLANK('Raw touched'!I27),((I$5*SLOPE('Raw touched'!$E27:$U27,$E$5:$U$5))+INTERCEPT('Raw touched'!$E27:$U27,$E$5:$U$5)),'Raw touched'!I27)</f>
        <v>52.299999239999998</v>
      </c>
      <c r="J27" s="4">
        <f>IF(ISBLANK('Raw touched'!J27),((J$5*SLOPE('Raw touched'!$E27:$U27,$E$5:$U$5))+INTERCEPT('Raw touched'!$E27:$U27,$E$5:$U$5)),'Raw touched'!J27)</f>
        <v>52.299999239999998</v>
      </c>
      <c r="K27" s="4">
        <f>IF(ISBLANK('Raw touched'!K27),((K$5*SLOPE('Raw touched'!$E27:$U27,$E$5:$U$5))+INTERCEPT('Raw touched'!$E27:$U27,$E$5:$U$5)),'Raw touched'!K27)</f>
        <v>52.299999239999998</v>
      </c>
      <c r="L27" s="4">
        <f>IF(ISBLANK('Raw touched'!L27),((L$5*SLOPE('Raw touched'!$E27:$U27,$E$5:$U$5))+INTERCEPT('Raw touched'!$E27:$U27,$E$5:$U$5)),'Raw touched'!L27)</f>
        <v>52.299999239999998</v>
      </c>
      <c r="M27" s="4">
        <f>IF(ISBLANK('Raw touched'!M27),((M$5*SLOPE('Raw touched'!$E27:$U27,$E$5:$U$5))+INTERCEPT('Raw touched'!$E27:$U27,$E$5:$U$5)),'Raw touched'!M27)</f>
        <v>52.299999239999998</v>
      </c>
      <c r="N27" s="4">
        <f>IF(ISBLANK('Raw touched'!N27),((N$5*SLOPE('Raw touched'!$E27:$U27,$E$5:$U$5))+INTERCEPT('Raw touched'!$E27:$U27,$E$5:$U$5)),'Raw touched'!N27)</f>
        <v>52.299999239999998</v>
      </c>
      <c r="O27" s="4">
        <f>IF(ISBLANK('Raw touched'!O27),((O$5*SLOPE('Raw touched'!$E27:$U27,$E$5:$U$5))+INTERCEPT('Raw touched'!$E27:$U27,$E$5:$U$5)),'Raw touched'!O27)</f>
        <v>52.299999239999998</v>
      </c>
      <c r="P27" s="4">
        <f>IF(ISBLANK('Raw touched'!P27),((P$5*SLOPE('Raw touched'!$E27:$U27,$E$5:$U$5))+INTERCEPT('Raw touched'!$E27:$U27,$E$5:$U$5)),'Raw touched'!P27)</f>
        <v>52.299999239999998</v>
      </c>
      <c r="Q27" s="4">
        <f>IF(ISBLANK('Raw touched'!Q27),((Q$5*SLOPE('Raw touched'!$E27:$U27,$E$5:$U$5))+INTERCEPT('Raw touched'!$E27:$U27,$E$5:$U$5)),'Raw touched'!Q27)</f>
        <v>52.299999239999998</v>
      </c>
      <c r="R27" s="4">
        <f>IF(ISBLANK('Raw touched'!R27),((R$5*SLOPE('Raw touched'!$E27:$U27,$E$5:$U$5))+INTERCEPT('Raw touched'!$E27:$U27,$E$5:$U$5)),'Raw touched'!R27)</f>
        <v>52.299999239999998</v>
      </c>
      <c r="S27" s="4">
        <f>IF(ISBLANK('Raw touched'!S27),((S$5*SLOPE('Raw touched'!$E27:$U27,$E$5:$U$5))+INTERCEPT('Raw touched'!$E27:$U27,$E$5:$U$5)),'Raw touched'!S27)</f>
        <v>52.299999239999998</v>
      </c>
      <c r="T27" s="4">
        <f>IF(ISBLANK('Raw touched'!T27),((T$5*SLOPE('Raw touched'!$E27:$U27,$E$5:$U$5))+INTERCEPT('Raw touched'!$E27:$U27,$E$5:$U$5)),'Raw touched'!T27)</f>
        <v>52.299999239999998</v>
      </c>
      <c r="U27" s="4">
        <f>IF(ISBLANK('Raw touched'!U27),((U$5*SLOPE('Raw touched'!$E27:$U27,$E$5:$U$5))+INTERCEPT('Raw touched'!$E27:$U27,$E$5:$U$5)),'Raw touched'!U27)</f>
        <v>52.299999239999998</v>
      </c>
    </row>
    <row r="28" spans="3:21" ht="13">
      <c r="C28" s="1" t="s">
        <v>42</v>
      </c>
      <c r="D28" s="1" t="s">
        <v>167</v>
      </c>
      <c r="E28" s="4">
        <f>IF(ISBLANK('Raw touched'!E28),((E$5*SLOPE('Raw touched'!$E28:$U28,$E$5:$U$5))+INTERCEPT('Raw touched'!$E28:$U28,$E$5:$U$5)),'Raw touched'!E28)</f>
        <v>42.59400026399976</v>
      </c>
      <c r="F28" s="4">
        <f>IF(ISBLANK('Raw touched'!F28),((F$5*SLOPE('Raw touched'!$E28:$U28,$E$5:$U$5))+INTERCEPT('Raw touched'!$E28:$U28,$E$5:$U$5)),'Raw touched'!F28)</f>
        <v>41.590000169999939</v>
      </c>
      <c r="G28" s="4">
        <f>IF(ISBLANK('Raw touched'!G28),((G$5*SLOPE('Raw touched'!$E28:$U28,$E$5:$U$5))+INTERCEPT('Raw touched'!$E28:$U28,$E$5:$U$5)),'Raw touched'!G28)</f>
        <v>40.586000075999891</v>
      </c>
      <c r="H28" s="4">
        <f>IF(ISBLANK('Raw touched'!H28),((H$5*SLOPE('Raw touched'!$E28:$U28,$E$5:$U$5))+INTERCEPT('Raw touched'!$E28:$U28,$E$5:$U$5)),'Raw touched'!H28)</f>
        <v>39.581999981999843</v>
      </c>
      <c r="I28" s="4">
        <f>IF(ISBLANK('Raw touched'!I28),((I$5*SLOPE('Raw touched'!$E28:$U28,$E$5:$U$5))+INTERCEPT('Raw touched'!$E28:$U28,$E$5:$U$5)),'Raw touched'!I28)</f>
        <v>38.577999887999795</v>
      </c>
      <c r="J28" s="4">
        <f>IF(ISBLANK('Raw touched'!J28),((J$5*SLOPE('Raw touched'!$E28:$U28,$E$5:$U$5))+INTERCEPT('Raw touched'!$E28:$U28,$E$5:$U$5)),'Raw touched'!J28)</f>
        <v>37.573999793999974</v>
      </c>
      <c r="K28" s="4">
        <f>IF(ISBLANK('Raw touched'!K28),((K$5*SLOPE('Raw touched'!$E28:$U28,$E$5:$U$5))+INTERCEPT('Raw touched'!$E28:$U28,$E$5:$U$5)),'Raw touched'!K28)</f>
        <v>36.569999699999926</v>
      </c>
      <c r="L28" s="4">
        <f>IF(ISBLANK('Raw touched'!L28),((L$5*SLOPE('Raw touched'!$E28:$U28,$E$5:$U$5))+INTERCEPT('Raw touched'!$E28:$U28,$E$5:$U$5)),'Raw touched'!L28)</f>
        <v>35.299999239999998</v>
      </c>
      <c r="M28" s="4">
        <f>IF(ISBLANK('Raw touched'!M28),((M$5*SLOPE('Raw touched'!$E28:$U28,$E$5:$U$5))+INTERCEPT('Raw touched'!$E28:$U28,$E$5:$U$5)),'Raw touched'!M28)</f>
        <v>35.13999939</v>
      </c>
      <c r="N28" s="4">
        <f>IF(ISBLANK('Raw touched'!N28),((N$5*SLOPE('Raw touched'!$E28:$U28,$E$5:$U$5))+INTERCEPT('Raw touched'!$E28:$U28,$E$5:$U$5)),'Raw touched'!N28)</f>
        <v>33.200000760000002</v>
      </c>
      <c r="O28" s="4">
        <f>IF(ISBLANK('Raw touched'!O28),((O$5*SLOPE('Raw touched'!$E28:$U28,$E$5:$U$5))+INTERCEPT('Raw touched'!$E28:$U28,$E$5:$U$5)),'Raw touched'!O28)</f>
        <v>32.599998470000003</v>
      </c>
      <c r="P28" s="4">
        <f>IF(ISBLANK('Raw touched'!P28),((P$5*SLOPE('Raw touched'!$E28:$U28,$E$5:$U$5))+INTERCEPT('Raw touched'!$E28:$U28,$E$5:$U$5)),'Raw touched'!P28)</f>
        <v>31.549999229999912</v>
      </c>
      <c r="Q28" s="4">
        <f>IF(ISBLANK('Raw touched'!Q28),((Q$5*SLOPE('Raw touched'!$E28:$U28,$E$5:$U$5))+INTERCEPT('Raw touched'!$E28:$U28,$E$5:$U$5)),'Raw touched'!Q28)</f>
        <v>30.545999135999864</v>
      </c>
      <c r="R28" s="4">
        <f>IF(ISBLANK('Raw touched'!R28),((R$5*SLOPE('Raw touched'!$E28:$U28,$E$5:$U$5))+INTERCEPT('Raw touched'!$E28:$U28,$E$5:$U$5)),'Raw touched'!R28)</f>
        <v>29.541999041999816</v>
      </c>
      <c r="S28" s="4">
        <f>IF(ISBLANK('Raw touched'!S28),((S$5*SLOPE('Raw touched'!$E28:$U28,$E$5:$U$5))+INTERCEPT('Raw touched'!$E28:$U28,$E$5:$U$5)),'Raw touched'!S28)</f>
        <v>28.537998947999768</v>
      </c>
      <c r="T28" s="4">
        <f>IF(ISBLANK('Raw touched'!T28),((T$5*SLOPE('Raw touched'!$E28:$U28,$E$5:$U$5))+INTERCEPT('Raw touched'!$E28:$U28,$E$5:$U$5)),'Raw touched'!T28)</f>
        <v>27.533998853999947</v>
      </c>
      <c r="U28" s="4">
        <f>IF(ISBLANK('Raw touched'!U28),((U$5*SLOPE('Raw touched'!$E28:$U28,$E$5:$U$5))+INTERCEPT('Raw touched'!$E28:$U28,$E$5:$U$5)),'Raw touched'!U28)</f>
        <v>26.529998759999899</v>
      </c>
    </row>
    <row r="29" spans="3:21" ht="13">
      <c r="C29" s="1" t="s">
        <v>400</v>
      </c>
      <c r="D29" s="1" t="s">
        <v>367</v>
      </c>
      <c r="E29" s="4">
        <f>IF(ISBLANK('Raw touched'!E29),((E$5*SLOPE('Raw touched'!$E29:$U29,$E$5:$U$5))+INTERCEPT('Raw touched'!$E29:$U29,$E$5:$U$5)),'Raw touched'!E29)</f>
        <v>8.8999996190000008</v>
      </c>
      <c r="F29" s="4">
        <f>IF(ISBLANK('Raw touched'!F29),((F$5*SLOPE('Raw touched'!$E29:$U29,$E$5:$U$5))+INTERCEPT('Raw touched'!$E29:$U29,$E$5:$U$5)),'Raw touched'!F29)</f>
        <v>9.3000001910000005</v>
      </c>
      <c r="G29" s="4">
        <f>IF(ISBLANK('Raw touched'!G29),((G$5*SLOPE('Raw touched'!$E29:$U29,$E$5:$U$5))+INTERCEPT('Raw touched'!$E29:$U29,$E$5:$U$5)),'Raw touched'!G29)</f>
        <v>9.1000003809999992</v>
      </c>
      <c r="H29" s="4">
        <f>IF(ISBLANK('Raw touched'!H29),((H$5*SLOPE('Raw touched'!$E29:$U29,$E$5:$U$5))+INTERCEPT('Raw touched'!$E29:$U29,$E$5:$U$5)),'Raw touched'!H29)</f>
        <v>9.6000003809999992</v>
      </c>
      <c r="I29" s="4">
        <f>IF(ISBLANK('Raw touched'!I29),((I$5*SLOPE('Raw touched'!$E29:$U29,$E$5:$U$5))+INTERCEPT('Raw touched'!$E29:$U29,$E$5:$U$5)),'Raw touched'!I29)</f>
        <v>5.5999999049999998</v>
      </c>
      <c r="J29" s="4">
        <f>IF(ISBLANK('Raw touched'!J29),((J$5*SLOPE('Raw touched'!$E29:$U29,$E$5:$U$5))+INTERCEPT('Raw touched'!$E29:$U29,$E$5:$U$5)),'Raw touched'!J29)</f>
        <v>5.5</v>
      </c>
      <c r="K29" s="4">
        <f>IF(ISBLANK('Raw touched'!K29),((K$5*SLOPE('Raw touched'!$E29:$U29,$E$5:$U$5))+INTERCEPT('Raw touched'!$E29:$U29,$E$5:$U$5)),'Raw touched'!K29)</f>
        <v>5.240000184199971</v>
      </c>
      <c r="L29" s="4">
        <f>IF(ISBLANK('Raw touched'!L29),((L$5*SLOPE('Raw touched'!$E29:$U29,$E$5:$U$5))+INTERCEPT('Raw touched'!$E29:$U29,$E$5:$U$5)),'Raw touched'!L29)</f>
        <v>4.4514287855429302</v>
      </c>
      <c r="M29" s="4">
        <f>IF(ISBLANK('Raw touched'!M29),((M$5*SLOPE('Raw touched'!$E29:$U29,$E$5:$U$5))+INTERCEPT('Raw touched'!$E29:$U29,$E$5:$U$5)),'Raw touched'!M29)</f>
        <v>3.662857386885662</v>
      </c>
      <c r="N29" s="4">
        <f>IF(ISBLANK('Raw touched'!N29),((N$5*SLOPE('Raw touched'!$E29:$U29,$E$5:$U$5))+INTERCEPT('Raw touched'!$E29:$U29,$E$5:$U$5)),'Raw touched'!N29)</f>
        <v>2.8742859882286211</v>
      </c>
      <c r="O29" s="4">
        <f>IF(ISBLANK('Raw touched'!O29),((O$5*SLOPE('Raw touched'!$E29:$U29,$E$5:$U$5))+INTERCEPT('Raw touched'!$E29:$U29,$E$5:$U$5)),'Raw touched'!O29)</f>
        <v>2.0857145895713529</v>
      </c>
      <c r="P29" s="4">
        <f>IF(ISBLANK('Raw touched'!P29),((P$5*SLOPE('Raw touched'!$E29:$U29,$E$5:$U$5))+INTERCEPT('Raw touched'!$E29:$U29,$E$5:$U$5)),'Raw touched'!P29)</f>
        <v>1.2971431909143121</v>
      </c>
      <c r="Q29" s="4">
        <f>IF(ISBLANK('Raw touched'!Q29),((Q$5*SLOPE('Raw touched'!$E29:$U29,$E$5:$U$5))+INTERCEPT('Raw touched'!$E29:$U29,$E$5:$U$5)),'Raw touched'!Q29)</f>
        <v>0.50857179225704385</v>
      </c>
      <c r="R29" s="4">
        <f>IF(ISBLANK('Raw touched'!R29),((R$5*SLOPE('Raw touched'!$E29:$U29,$E$5:$U$5))+INTERCEPT('Raw touched'!$E29:$U29,$E$5:$U$5)),'Raw touched'!R29)</f>
        <v>-0.27999960639999699</v>
      </c>
      <c r="S29" s="4">
        <f>IF(ISBLANK('Raw touched'!S29),((S$5*SLOPE('Raw touched'!$E29:$U29,$E$5:$U$5))+INTERCEPT('Raw touched'!$E29:$U29,$E$5:$U$5)),'Raw touched'!S29)</f>
        <v>-1.0685710050570378</v>
      </c>
      <c r="T29" s="4">
        <f>IF(ISBLANK('Raw touched'!T29),((T$5*SLOPE('Raw touched'!$E29:$U29,$E$5:$U$5))+INTERCEPT('Raw touched'!$E29:$U29,$E$5:$U$5)),'Raw touched'!T29)</f>
        <v>-1.8571424037143061</v>
      </c>
      <c r="U29" s="4">
        <f>IF(ISBLANK('Raw touched'!U29),((U$5*SLOPE('Raw touched'!$E29:$U29,$E$5:$U$5))+INTERCEPT('Raw touched'!$E29:$U29,$E$5:$U$5)),'Raw touched'!U29)</f>
        <v>-2.6457138023713469</v>
      </c>
    </row>
    <row r="30" spans="3:21" ht="13">
      <c r="C30" s="1" t="s">
        <v>395</v>
      </c>
      <c r="D30" s="1" t="s">
        <v>154</v>
      </c>
      <c r="E30" s="4">
        <f>IF(ISBLANK('Raw touched'!E30),((E$5*SLOPE('Raw touched'!$E30:$U30,$E$5:$U$5))+INTERCEPT('Raw touched'!$E30:$U30,$E$5:$U$5)),'Raw touched'!E30)</f>
        <v>34.599998470000003</v>
      </c>
      <c r="F30" s="4">
        <f>IF(ISBLANK('Raw touched'!F30),((F$5*SLOPE('Raw touched'!$E30:$U30,$E$5:$U$5))+INTERCEPT('Raw touched'!$E30:$U30,$E$5:$U$5)),'Raw touched'!F30)</f>
        <v>28.552011025229149</v>
      </c>
      <c r="G30" s="4">
        <f>IF(ISBLANK('Raw touched'!G30),((G$5*SLOPE('Raw touched'!$E30:$U30,$E$5:$U$5))+INTERCEPT('Raw touched'!$E30:$U30,$E$5:$U$5)),'Raw touched'!G30)</f>
        <v>34.700000760000002</v>
      </c>
      <c r="H30" s="4">
        <f>IF(ISBLANK('Raw touched'!H30),((H$5*SLOPE('Raw touched'!$E30:$U30,$E$5:$U$5))+INTERCEPT('Raw touched'!$E30:$U30,$E$5:$U$5)),'Raw touched'!H30)</f>
        <v>34.700000760000002</v>
      </c>
      <c r="I30" s="4">
        <f>IF(ISBLANK('Raw touched'!I30),((I$5*SLOPE('Raw touched'!$E30:$U30,$E$5:$U$5))+INTERCEPT('Raw touched'!$E30:$U30,$E$5:$U$5)),'Raw touched'!I30)</f>
        <v>34.700000760000002</v>
      </c>
      <c r="J30" s="4">
        <f>IF(ISBLANK('Raw touched'!J30),((J$5*SLOPE('Raw touched'!$E30:$U30,$E$5:$U$5))+INTERCEPT('Raw touched'!$E30:$U30,$E$5:$U$5)),'Raw touched'!J30)</f>
        <v>34.700000760000002</v>
      </c>
      <c r="K30" s="4">
        <f>IF(ISBLANK('Raw touched'!K30),((K$5*SLOPE('Raw touched'!$E30:$U30,$E$5:$U$5))+INTERCEPT('Raw touched'!$E30:$U30,$E$5:$U$5)),'Raw touched'!K30)</f>
        <v>50.584771780402662</v>
      </c>
      <c r="L30" s="4">
        <f>IF(ISBLANK('Raw touched'!L30),((L$5*SLOPE('Raw touched'!$E30:$U30,$E$5:$U$5))+INTERCEPT('Raw touched'!$E30:$U30,$E$5:$U$5)),'Raw touched'!L30)</f>
        <v>54.991323931437364</v>
      </c>
      <c r="M30" s="4">
        <f>IF(ISBLANK('Raw touched'!M30),((M$5*SLOPE('Raw touched'!$E30:$U30,$E$5:$U$5))+INTERCEPT('Raw touched'!$E30:$U30,$E$5:$U$5)),'Raw touched'!M30)</f>
        <v>59.397876082470248</v>
      </c>
      <c r="N30" s="4">
        <f>IF(ISBLANK('Raw touched'!N30),((N$5*SLOPE('Raw touched'!$E30:$U30,$E$5:$U$5))+INTERCEPT('Raw touched'!$E30:$U30,$E$5:$U$5)),'Raw touched'!N30)</f>
        <v>63.80442823350495</v>
      </c>
      <c r="O30" s="4">
        <f>IF(ISBLANK('Raw touched'!O30),((O$5*SLOPE('Raw touched'!$E30:$U30,$E$5:$U$5))+INTERCEPT('Raw touched'!$E30:$U30,$E$5:$U$5)),'Raw touched'!O30)</f>
        <v>77.230003359999998</v>
      </c>
      <c r="P30" s="4">
        <f>IF(ISBLANK('Raw touched'!P30),((P$5*SLOPE('Raw touched'!$E30:$U30,$E$5:$U$5))+INTERCEPT('Raw touched'!$E30:$U30,$E$5:$U$5)),'Raw touched'!P30)</f>
        <v>72.617532535574355</v>
      </c>
      <c r="Q30" s="4">
        <f>IF(ISBLANK('Raw touched'!Q30),((Q$5*SLOPE('Raw touched'!$E30:$U30,$E$5:$U$5))+INTERCEPT('Raw touched'!$E30:$U30,$E$5:$U$5)),'Raw touched'!Q30)</f>
        <v>77.024084686609058</v>
      </c>
      <c r="R30" s="4">
        <f>IF(ISBLANK('Raw touched'!R30),((R$5*SLOPE('Raw touched'!$E30:$U30,$E$5:$U$5))+INTERCEPT('Raw touched'!$E30:$U30,$E$5:$U$5)),'Raw touched'!R30)</f>
        <v>81.43063683764376</v>
      </c>
      <c r="S30" s="4">
        <f>IF(ISBLANK('Raw touched'!S30),((S$5*SLOPE('Raw touched'!$E30:$U30,$E$5:$U$5))+INTERCEPT('Raw touched'!$E30:$U30,$E$5:$U$5)),'Raw touched'!S30)</f>
        <v>85.837188988678463</v>
      </c>
      <c r="T30" s="4">
        <f>IF(ISBLANK('Raw touched'!T30),((T$5*SLOPE('Raw touched'!$E30:$U30,$E$5:$U$5))+INTERCEPT('Raw touched'!$E30:$U30,$E$5:$U$5)),'Raw touched'!T30)</f>
        <v>90.243741139713165</v>
      </c>
      <c r="U30" s="4">
        <f>IF(ISBLANK('Raw touched'!U30),((U$5*SLOPE('Raw touched'!$E30:$U30,$E$5:$U$5))+INTERCEPT('Raw touched'!$E30:$U30,$E$5:$U$5)),'Raw touched'!U30)</f>
        <v>94.650293290746049</v>
      </c>
    </row>
    <row r="31" spans="3:21" ht="13">
      <c r="C31" s="1" t="s">
        <v>243</v>
      </c>
      <c r="D31" s="1" t="s">
        <v>121</v>
      </c>
      <c r="E31" s="4">
        <f>IF(ISBLANK('Raw touched'!E31),((E$5*SLOPE('Raw touched'!$E31:$U31,$E$5:$U$5))+INTERCEPT('Raw touched'!$E31:$U31,$E$5:$U$5)),'Raw touched'!E31)</f>
        <v>92</v>
      </c>
      <c r="F31" s="4">
        <f>IF(ISBLANK('Raw touched'!F31),((F$5*SLOPE('Raw touched'!$E31:$U31,$E$5:$U$5))+INTERCEPT('Raw touched'!$E31:$U31,$E$5:$U$5)),'Raw touched'!F31)</f>
        <v>92</v>
      </c>
      <c r="G31" s="4">
        <f>IF(ISBLANK('Raw touched'!G31),((G$5*SLOPE('Raw touched'!$E31:$U31,$E$5:$U$5))+INTERCEPT('Raw touched'!$E31:$U31,$E$5:$U$5)),'Raw touched'!G31)</f>
        <v>92</v>
      </c>
      <c r="H31" s="4">
        <f>IF(ISBLANK('Raw touched'!H31),((H$5*SLOPE('Raw touched'!$E31:$U31,$E$5:$U$5))+INTERCEPT('Raw touched'!$E31:$U31,$E$5:$U$5)),'Raw touched'!H31)</f>
        <v>92.099998470000003</v>
      </c>
      <c r="I31" s="4">
        <f>IF(ISBLANK('Raw touched'!I31),((I$5*SLOPE('Raw touched'!$E31:$U31,$E$5:$U$5))+INTERCEPT('Raw touched'!$E31:$U31,$E$5:$U$5)),'Raw touched'!I31)</f>
        <v>93.854140263821591</v>
      </c>
      <c r="J31" s="4">
        <f>IF(ISBLANK('Raw touched'!J31),((J$5*SLOPE('Raw touched'!$E31:$U31,$E$5:$U$5))+INTERCEPT('Raw touched'!$E31:$U31,$E$5:$U$5)),'Raw touched'!J31)</f>
        <v>94.546815593598694</v>
      </c>
      <c r="K31" s="4">
        <f>IF(ISBLANK('Raw touched'!K31),((K$5*SLOPE('Raw touched'!$E31:$U31,$E$5:$U$5))+INTERCEPT('Raw touched'!$E31:$U31,$E$5:$U$5)),'Raw touched'!K31)</f>
        <v>95.239490923375797</v>
      </c>
      <c r="L31" s="4">
        <f>IF(ISBLANK('Raw touched'!L31),((L$5*SLOPE('Raw touched'!$E31:$U31,$E$5:$U$5))+INTERCEPT('Raw touched'!$E31:$U31,$E$5:$U$5)),'Raw touched'!L31)</f>
        <v>95.9321662531529</v>
      </c>
      <c r="M31" s="4">
        <f>IF(ISBLANK('Raw touched'!M31),((M$5*SLOPE('Raw touched'!$E31:$U31,$E$5:$U$5))+INTERCEPT('Raw touched'!$E31:$U31,$E$5:$U$5)),'Raw touched'!M31)</f>
        <v>96.624841582930003</v>
      </c>
      <c r="N31" s="4">
        <f>IF(ISBLANK('Raw touched'!N31),((N$5*SLOPE('Raw touched'!$E31:$U31,$E$5:$U$5))+INTERCEPT('Raw touched'!$E31:$U31,$E$5:$U$5)),'Raw touched'!N31)</f>
        <v>97.317516912706878</v>
      </c>
      <c r="O31" s="4">
        <f>IF(ISBLANK('Raw touched'!O31),((O$5*SLOPE('Raw touched'!$E31:$U31,$E$5:$U$5))+INTERCEPT('Raw touched'!$E31:$U31,$E$5:$U$5)),'Raw touched'!O31)</f>
        <v>98.400001529999997</v>
      </c>
      <c r="P31" s="4">
        <f>IF(ISBLANK('Raw touched'!P31),((P$5*SLOPE('Raw touched'!$E31:$U31,$E$5:$U$5))+INTERCEPT('Raw touched'!$E31:$U31,$E$5:$U$5)),'Raw touched'!P31)</f>
        <v>98.702867572261084</v>
      </c>
      <c r="Q31" s="4">
        <f>IF(ISBLANK('Raw touched'!Q31),((Q$5*SLOPE('Raw touched'!$E31:$U31,$E$5:$U$5))+INTERCEPT('Raw touched'!$E31:$U31,$E$5:$U$5)),'Raw touched'!Q31)</f>
        <v>99.395542902038187</v>
      </c>
      <c r="R31" s="4">
        <f>IF(ISBLANK('Raw touched'!R31),((R$5*SLOPE('Raw touched'!$E31:$U31,$E$5:$U$5))+INTERCEPT('Raw touched'!$E31:$U31,$E$5:$U$5)),'Raw touched'!R31)</f>
        <v>100.08821823181529</v>
      </c>
      <c r="S31" s="4">
        <f>IF(ISBLANK('Raw touched'!S31),((S$5*SLOPE('Raw touched'!$E31:$U31,$E$5:$U$5))+INTERCEPT('Raw touched'!$E31:$U31,$E$5:$U$5)),'Raw touched'!S31)</f>
        <v>100.78089356159239</v>
      </c>
      <c r="T31" s="4">
        <f>IF(ISBLANK('Raw touched'!T31),((T$5*SLOPE('Raw touched'!$E31:$U31,$E$5:$U$5))+INTERCEPT('Raw touched'!$E31:$U31,$E$5:$U$5)),'Raw touched'!T31)</f>
        <v>101.4735688913695</v>
      </c>
      <c r="U31" s="4">
        <f>IF(ISBLANK('Raw touched'!U31),((U$5*SLOPE('Raw touched'!$E31:$U31,$E$5:$U$5))+INTERCEPT('Raw touched'!$E31:$U31,$E$5:$U$5)),'Raw touched'!U31)</f>
        <v>102.16624422114637</v>
      </c>
    </row>
    <row r="32" spans="3:21" ht="13">
      <c r="C32" s="1" t="s">
        <v>214</v>
      </c>
      <c r="D32" s="1" t="s">
        <v>209</v>
      </c>
      <c r="E32" s="4">
        <f>IF(ISBLANK('Raw touched'!E32),((E$5*SLOPE('Raw touched'!$E32:$U32,$E$5:$U$5))+INTERCEPT('Raw touched'!$E32:$U32,$E$5:$U$5)),'Raw touched'!E32)</f>
        <v>16</v>
      </c>
      <c r="F32" s="4">
        <f>IF(ISBLANK('Raw touched'!F32),((F$5*SLOPE('Raw touched'!$E32:$U32,$E$5:$U$5))+INTERCEPT('Raw touched'!$E32:$U32,$E$5:$U$5)),'Raw touched'!F32)</f>
        <v>16</v>
      </c>
      <c r="G32" s="4">
        <f>IF(ISBLANK('Raw touched'!G32),((G$5*SLOPE('Raw touched'!$E32:$U32,$E$5:$U$5))+INTERCEPT('Raw touched'!$E32:$U32,$E$5:$U$5)),'Raw touched'!G32)</f>
        <v>16</v>
      </c>
      <c r="H32" s="4">
        <f>IF(ISBLANK('Raw touched'!H32),((H$5*SLOPE('Raw touched'!$E32:$U32,$E$5:$U$5))+INTERCEPT('Raw touched'!$E32:$U32,$E$5:$U$5)),'Raw touched'!H32)</f>
        <v>16</v>
      </c>
      <c r="I32" s="4">
        <f>IF(ISBLANK('Raw touched'!I32),((I$5*SLOPE('Raw touched'!$E32:$U32,$E$5:$U$5))+INTERCEPT('Raw touched'!$E32:$U32,$E$5:$U$5)),'Raw touched'!I32)</f>
        <v>16</v>
      </c>
      <c r="J32" s="4">
        <f>IF(ISBLANK('Raw touched'!J32),((J$5*SLOPE('Raw touched'!$E32:$U32,$E$5:$U$5))+INTERCEPT('Raw touched'!$E32:$U32,$E$5:$U$5)),'Raw touched'!J32)</f>
        <v>11.539508225377631</v>
      </c>
      <c r="K32" s="4">
        <f>IF(ISBLANK('Raw touched'!K32),((K$5*SLOPE('Raw touched'!$E32:$U32,$E$5:$U$5))+INTERCEPT('Raw touched'!$E32:$U32,$E$5:$U$5)),'Raw touched'!K32)</f>
        <v>10.181967250492107</v>
      </c>
      <c r="L32" s="4">
        <f>IF(ISBLANK('Raw touched'!L32),((L$5*SLOPE('Raw touched'!$E32:$U32,$E$5:$U$5))+INTERCEPT('Raw touched'!$E32:$U32,$E$5:$U$5)),'Raw touched'!L32)</f>
        <v>8.8244262756070384</v>
      </c>
      <c r="M32" s="4">
        <f>IF(ISBLANK('Raw touched'!M32),((M$5*SLOPE('Raw touched'!$E32:$U32,$E$5:$U$5))+INTERCEPT('Raw touched'!$E32:$U32,$E$5:$U$5)),'Raw touched'!M32)</f>
        <v>7.4668853007219695</v>
      </c>
      <c r="N32" s="4">
        <f>IF(ISBLANK('Raw touched'!N32),((N$5*SLOPE('Raw touched'!$E32:$U32,$E$5:$U$5))+INTERCEPT('Raw touched'!$E32:$U32,$E$5:$U$5)),'Raw touched'!N32)</f>
        <v>4.170000076</v>
      </c>
      <c r="O32" s="4">
        <f>IF(ISBLANK('Raw touched'!O32),((O$5*SLOPE('Raw touched'!$E32:$U32,$E$5:$U$5))+INTERCEPT('Raw touched'!$E32:$U32,$E$5:$U$5)),'Raw touched'!O32)</f>
        <v>4.7518033509513771</v>
      </c>
      <c r="P32" s="4">
        <f>IF(ISBLANK('Raw touched'!P32),((P$5*SLOPE('Raw touched'!$E32:$U32,$E$5:$U$5))+INTERCEPT('Raw touched'!$E32:$U32,$E$5:$U$5)),'Raw touched'!P32)</f>
        <v>3.3942623760658535</v>
      </c>
      <c r="Q32" s="4">
        <f>IF(ISBLANK('Raw touched'!Q32),((Q$5*SLOPE('Raw touched'!$E32:$U32,$E$5:$U$5))+INTERCEPT('Raw touched'!$E32:$U32,$E$5:$U$5)),'Raw touched'!Q32)</f>
        <v>2.0367214011807846</v>
      </c>
      <c r="R32" s="4">
        <f>IF(ISBLANK('Raw touched'!R32),((R$5*SLOPE('Raw touched'!$E32:$U32,$E$5:$U$5))+INTERCEPT('Raw touched'!$E32:$U32,$E$5:$U$5)),'Raw touched'!R32)</f>
        <v>0.67918042629571573</v>
      </c>
      <c r="S32" s="4">
        <f>IF(ISBLANK('Raw touched'!S32),((S$5*SLOPE('Raw touched'!$E32:$U32,$E$5:$U$5))+INTERCEPT('Raw touched'!$E32:$U32,$E$5:$U$5)),'Raw touched'!S32)</f>
        <v>-0.67836054858980788</v>
      </c>
      <c r="T32" s="4">
        <f>IF(ISBLANK('Raw touched'!T32),((T$5*SLOPE('Raw touched'!$E32:$U32,$E$5:$U$5))+INTERCEPT('Raw touched'!$E32:$U32,$E$5:$U$5)),'Raw touched'!T32)</f>
        <v>-2.0359015234748767</v>
      </c>
      <c r="U32" s="4">
        <f>IF(ISBLANK('Raw touched'!U32),((U$5*SLOPE('Raw touched'!$E32:$U32,$E$5:$U$5))+INTERCEPT('Raw touched'!$E32:$U32,$E$5:$U$5)),'Raw touched'!U32)</f>
        <v>-3.3934424983604004</v>
      </c>
    </row>
    <row r="33" spans="3:21" ht="13">
      <c r="C33" s="1" t="s">
        <v>202</v>
      </c>
      <c r="D33" s="1" t="s">
        <v>189</v>
      </c>
      <c r="E33" s="4">
        <f>IF(ISBLANK('Raw touched'!E33),((E$5*SLOPE('Raw touched'!$E33:$U33,$E$5:$U$5))+INTERCEPT('Raw touched'!$E33:$U33,$E$5:$U$5)),'Raw touched'!E33)</f>
        <v>3.9190478335715397</v>
      </c>
      <c r="F33" s="4">
        <f>IF(ISBLANK('Raw touched'!F33),((F$5*SLOPE('Raw touched'!$E33:$U33,$E$5:$U$5))+INTERCEPT('Raw touched'!$E33:$U33,$E$5:$U$5)),'Raw touched'!F33)</f>
        <v>4.634762049642859</v>
      </c>
      <c r="G33" s="4">
        <f>IF(ISBLANK('Raw touched'!G33),((G$5*SLOPE('Raw touched'!$E33:$U33,$E$5:$U$5))+INTERCEPT('Raw touched'!$E33:$U33,$E$5:$U$5)),'Raw touched'!G33)</f>
        <v>5.3504762657141782</v>
      </c>
      <c r="H33" s="4">
        <f>IF(ISBLANK('Raw touched'!H33),((H$5*SLOPE('Raw touched'!$E33:$U33,$E$5:$U$5))+INTERCEPT('Raw touched'!$E33:$U33,$E$5:$U$5)),'Raw touched'!H33)</f>
        <v>6.0661904817857248</v>
      </c>
      <c r="I33" s="4">
        <f>IF(ISBLANK('Raw touched'!I33),((I$5*SLOPE('Raw touched'!$E33:$U33,$E$5:$U$5))+INTERCEPT('Raw touched'!$E33:$U33,$E$5:$U$5)),'Raw touched'!I33)</f>
        <v>7.0999999049999998</v>
      </c>
      <c r="J33" s="4">
        <f>IF(ISBLANK('Raw touched'!J33),((J$5*SLOPE('Raw touched'!$E33:$U33,$E$5:$U$5))+INTERCEPT('Raw touched'!$E33:$U33,$E$5:$U$5)),'Raw touched'!J33)</f>
        <v>7.0999999049999998</v>
      </c>
      <c r="K33" s="4">
        <f>IF(ISBLANK('Raw touched'!K33),((K$5*SLOPE('Raw touched'!$E33:$U33,$E$5:$U$5))+INTERCEPT('Raw touched'!$E33:$U33,$E$5:$U$5)),'Raw touched'!K33)</f>
        <v>8.2133331299999099</v>
      </c>
      <c r="L33" s="4">
        <f>IF(ISBLANK('Raw touched'!L33),((L$5*SLOPE('Raw touched'!$E33:$U33,$E$5:$U$5))+INTERCEPT('Raw touched'!$E33:$U33,$E$5:$U$5)),'Raw touched'!L33)</f>
        <v>8.9290473460714566</v>
      </c>
      <c r="M33" s="4">
        <f>IF(ISBLANK('Raw touched'!M33),((M$5*SLOPE('Raw touched'!$E33:$U33,$E$5:$U$5))+INTERCEPT('Raw touched'!$E33:$U33,$E$5:$U$5)),'Raw touched'!M33)</f>
        <v>9.6447615621427758</v>
      </c>
      <c r="N33" s="4">
        <f>IF(ISBLANK('Raw touched'!N33),((N$5*SLOPE('Raw touched'!$E33:$U33,$E$5:$U$5))+INTERCEPT('Raw touched'!$E33:$U33,$E$5:$U$5)),'Raw touched'!N33)</f>
        <v>10.43999958</v>
      </c>
      <c r="O33" s="4">
        <f>IF(ISBLANK('Raw touched'!O33),((O$5*SLOPE('Raw touched'!$E33:$U33,$E$5:$U$5))+INTERCEPT('Raw touched'!$E33:$U33,$E$5:$U$5)),'Raw touched'!O33)</f>
        <v>11.076189994285642</v>
      </c>
      <c r="P33" s="4">
        <f>IF(ISBLANK('Raw touched'!P33),((P$5*SLOPE('Raw touched'!$E33:$U33,$E$5:$U$5))+INTERCEPT('Raw touched'!$E33:$U33,$E$5:$U$5)),'Raw touched'!P33)</f>
        <v>11.791904210357188</v>
      </c>
      <c r="Q33" s="4">
        <f>IF(ISBLANK('Raw touched'!Q33),((Q$5*SLOPE('Raw touched'!$E33:$U33,$E$5:$U$5))+INTERCEPT('Raw touched'!$E33:$U33,$E$5:$U$5)),'Raw touched'!Q33)</f>
        <v>12.507618426428508</v>
      </c>
      <c r="R33" s="4">
        <f>IF(ISBLANK('Raw touched'!R33),((R$5*SLOPE('Raw touched'!$E33:$U33,$E$5:$U$5))+INTERCEPT('Raw touched'!$E33:$U33,$E$5:$U$5)),'Raw touched'!R33)</f>
        <v>13.223332642500054</v>
      </c>
      <c r="S33" s="4">
        <f>IF(ISBLANK('Raw touched'!S33),((S$5*SLOPE('Raw touched'!$E33:$U33,$E$5:$U$5))+INTERCEPT('Raw touched'!$E33:$U33,$E$5:$U$5)),'Raw touched'!S33)</f>
        <v>13.939046858571373</v>
      </c>
      <c r="T33" s="4">
        <f>IF(ISBLANK('Raw touched'!T33),((T$5*SLOPE('Raw touched'!$E33:$U33,$E$5:$U$5))+INTERCEPT('Raw touched'!$E33:$U33,$E$5:$U$5)),'Raw touched'!T33)</f>
        <v>14.65476107464292</v>
      </c>
      <c r="U33" s="4">
        <f>IF(ISBLANK('Raw touched'!U33),((U$5*SLOPE('Raw touched'!$E33:$U33,$E$5:$U$5))+INTERCEPT('Raw touched'!$E33:$U33,$E$5:$U$5)),'Raw touched'!U33)</f>
        <v>15.370475290714239</v>
      </c>
    </row>
    <row r="34" spans="3:21" ht="13">
      <c r="C34" s="1" t="s">
        <v>272</v>
      </c>
      <c r="D34" s="1" t="s">
        <v>273</v>
      </c>
      <c r="E34" s="4">
        <f>IF(ISBLANK('Raw touched'!E34),((E$5*SLOPE('Raw touched'!$E34:$U34,$E$5:$U$5))+INTERCEPT('Raw touched'!$E34:$U34,$E$5:$U$5)),'Raw touched'!E34)</f>
        <v>7.5</v>
      </c>
      <c r="F34" s="4">
        <f>IF(ISBLANK('Raw touched'!F34),((F$5*SLOPE('Raw touched'!$E34:$U34,$E$5:$U$5))+INTERCEPT('Raw touched'!$E34:$U34,$E$5:$U$5)),'Raw touched'!F34)</f>
        <v>7.5</v>
      </c>
      <c r="G34" s="4">
        <f>IF(ISBLANK('Raw touched'!G34),((G$5*SLOPE('Raw touched'!$E34:$U34,$E$5:$U$5))+INTERCEPT('Raw touched'!$E34:$U34,$E$5:$U$5)),'Raw touched'!G34)</f>
        <v>7.5</v>
      </c>
      <c r="H34" s="4">
        <f>IF(ISBLANK('Raw touched'!H34),((H$5*SLOPE('Raw touched'!$E34:$U34,$E$5:$U$5))+INTERCEPT('Raw touched'!$E34:$U34,$E$5:$U$5)),'Raw touched'!H34)</f>
        <v>7.1974999904999777</v>
      </c>
      <c r="I34" s="4">
        <f>IF(ISBLANK('Raw touched'!I34),((I$5*SLOPE('Raw touched'!$E34:$U34,$E$5:$U$5))+INTERCEPT('Raw touched'!$E34:$U34,$E$5:$U$5)),'Raw touched'!I34)</f>
        <v>7.0522999859399533</v>
      </c>
      <c r="J34" s="4">
        <f>IF(ISBLANK('Raw touched'!J34),((J$5*SLOPE('Raw touched'!$E34:$U34,$E$5:$U$5))+INTERCEPT('Raw touched'!$E34:$U34,$E$5:$U$5)),'Raw touched'!J34)</f>
        <v>6.907099981379929</v>
      </c>
      <c r="K34" s="4">
        <f>IF(ISBLANK('Raw touched'!K34),((K$5*SLOPE('Raw touched'!$E34:$U34,$E$5:$U$5))+INTERCEPT('Raw touched'!$E34:$U34,$E$5:$U$5)),'Raw touched'!K34)</f>
        <v>6.7618999768199615</v>
      </c>
      <c r="L34" s="4">
        <f>IF(ISBLANK('Raw touched'!L34),((L$5*SLOPE('Raw touched'!$E34:$U34,$E$5:$U$5))+INTERCEPT('Raw touched'!$E34:$U34,$E$5:$U$5)),'Raw touched'!L34)</f>
        <v>6.6166999722599371</v>
      </c>
      <c r="M34" s="4">
        <f>IF(ISBLANK('Raw touched'!M34),((M$5*SLOPE('Raw touched'!$E34:$U34,$E$5:$U$5))+INTERCEPT('Raw touched'!$E34:$U34,$E$5:$U$5)),'Raw touched'!M34)</f>
        <v>6.4714999676999696</v>
      </c>
      <c r="N34" s="4">
        <f>IF(ISBLANK('Raw touched'!N34),((N$5*SLOPE('Raw touched'!$E34:$U34,$E$5:$U$5))+INTERCEPT('Raw touched'!$E34:$U34,$E$5:$U$5)),'Raw touched'!N34)</f>
        <v>6.2899999619999996</v>
      </c>
      <c r="O34" s="4">
        <f>IF(ISBLANK('Raw touched'!O34),((O$5*SLOPE('Raw touched'!$E34:$U34,$E$5:$U$5))+INTERCEPT('Raw touched'!$E34:$U34,$E$5:$U$5)),'Raw touched'!O34)</f>
        <v>6.1810999585799777</v>
      </c>
      <c r="P34" s="4">
        <f>IF(ISBLANK('Raw touched'!P34),((P$5*SLOPE('Raw touched'!$E34:$U34,$E$5:$U$5))+INTERCEPT('Raw touched'!$E34:$U34,$E$5:$U$5)),'Raw touched'!P34)</f>
        <v>6.0358999540199534</v>
      </c>
      <c r="Q34" s="4">
        <f>IF(ISBLANK('Raw touched'!Q34),((Q$5*SLOPE('Raw touched'!$E34:$U34,$E$5:$U$5))+INTERCEPT('Raw touched'!$E34:$U34,$E$5:$U$5)),'Raw touched'!Q34)</f>
        <v>5.890699949459929</v>
      </c>
      <c r="R34" s="4">
        <f>IF(ISBLANK('Raw touched'!R34),((R$5*SLOPE('Raw touched'!$E34:$U34,$E$5:$U$5))+INTERCEPT('Raw touched'!$E34:$U34,$E$5:$U$5)),'Raw touched'!R34)</f>
        <v>5.7454999448999615</v>
      </c>
      <c r="S34" s="4">
        <f>IF(ISBLANK('Raw touched'!S34),((S$5*SLOPE('Raw touched'!$E34:$U34,$E$5:$U$5))+INTERCEPT('Raw touched'!$E34:$U34,$E$5:$U$5)),'Raw touched'!S34)</f>
        <v>5.6002999403399372</v>
      </c>
      <c r="T34" s="4">
        <f>IF(ISBLANK('Raw touched'!T34),((T$5*SLOPE('Raw touched'!$E34:$U34,$E$5:$U$5))+INTERCEPT('Raw touched'!$E34:$U34,$E$5:$U$5)),'Raw touched'!T34)</f>
        <v>5.4550999357799697</v>
      </c>
      <c r="U34" s="4">
        <f>IF(ISBLANK('Raw touched'!U34),((U$5*SLOPE('Raw touched'!$E34:$U34,$E$5:$U$5))+INTERCEPT('Raw touched'!$E34:$U34,$E$5:$U$5)),'Raw touched'!U34)</f>
        <v>5.3098999312199453</v>
      </c>
    </row>
    <row r="35" spans="3:21" ht="13">
      <c r="C35" s="1" t="s">
        <v>327</v>
      </c>
      <c r="D35" s="1" t="s">
        <v>244</v>
      </c>
      <c r="E35" s="4">
        <f>IF(ISBLANK('Raw touched'!E35),((E$5*SLOPE('Raw touched'!$E35:$U35,$E$5:$U$5))+INTERCEPT('Raw touched'!$E35:$U35,$E$5:$U$5)),'Raw touched'!E35)</f>
        <v>12.5</v>
      </c>
      <c r="F35" s="4">
        <f>IF(ISBLANK('Raw touched'!F35),((F$5*SLOPE('Raw touched'!$E35:$U35,$E$5:$U$5))+INTERCEPT('Raw touched'!$E35:$U35,$E$5:$U$5)),'Raw touched'!F35)</f>
        <v>12.5</v>
      </c>
      <c r="G35" s="4">
        <f>IF(ISBLANK('Raw touched'!G35),((G$5*SLOPE('Raw touched'!$E35:$U35,$E$5:$U$5))+INTERCEPT('Raw touched'!$E35:$U35,$E$5:$U$5)),'Raw touched'!G35)</f>
        <v>12.5</v>
      </c>
      <c r="H35" s="4">
        <f>IF(ISBLANK('Raw touched'!H35),((H$5*SLOPE('Raw touched'!$E35:$U35,$E$5:$U$5))+INTERCEPT('Raw touched'!$E35:$U35,$E$5:$U$5)),'Raw touched'!H35)</f>
        <v>12.5</v>
      </c>
      <c r="I35" s="4">
        <f>IF(ISBLANK('Raw touched'!I35),((I$5*SLOPE('Raw touched'!$E35:$U35,$E$5:$U$5))+INTERCEPT('Raw touched'!$E35:$U35,$E$5:$U$5)),'Raw touched'!I35)</f>
        <v>12.5</v>
      </c>
      <c r="J35" s="4">
        <f>IF(ISBLANK('Raw touched'!J35),((J$5*SLOPE('Raw touched'!$E35:$U35,$E$5:$U$5))+INTERCEPT('Raw touched'!$E35:$U35,$E$5:$U$5)),'Raw touched'!J35)</f>
        <v>8.1000003809999992</v>
      </c>
      <c r="K35" s="4">
        <f>IF(ISBLANK('Raw touched'!K35),((K$5*SLOPE('Raw touched'!$E35:$U35,$E$5:$U$5))+INTERCEPT('Raw touched'!$E35:$U35,$E$5:$U$5)),'Raw touched'!K35)</f>
        <v>9.8488830151220554</v>
      </c>
      <c r="L35" s="4">
        <f>IF(ISBLANK('Raw touched'!L35),((L$5*SLOPE('Raw touched'!$E35:$U35,$E$5:$U$5))+INTERCEPT('Raw touched'!$E35:$U35,$E$5:$U$5)),'Raw touched'!L35)</f>
        <v>9.2917819506139949</v>
      </c>
      <c r="M35" s="4">
        <f>IF(ISBLANK('Raw touched'!M35),((M$5*SLOPE('Raw touched'!$E35:$U35,$E$5:$U$5))+INTERCEPT('Raw touched'!$E35:$U35,$E$5:$U$5)),'Raw touched'!M35)</f>
        <v>8.7346808861061618</v>
      </c>
      <c r="N35" s="4">
        <f>IF(ISBLANK('Raw touched'!N35),((N$5*SLOPE('Raw touched'!$E35:$U35,$E$5:$U$5))+INTERCEPT('Raw touched'!$E35:$U35,$E$5:$U$5)),'Raw touched'!N35)</f>
        <v>8.3699998860000004</v>
      </c>
      <c r="O35" s="4">
        <f>IF(ISBLANK('Raw touched'!O35),((O$5*SLOPE('Raw touched'!$E35:$U35,$E$5:$U$5))+INTERCEPT('Raw touched'!$E35:$U35,$E$5:$U$5)),'Raw touched'!O35)</f>
        <v>7.6204787570902681</v>
      </c>
      <c r="P35" s="4">
        <f>IF(ISBLANK('Raw touched'!P35),((P$5*SLOPE('Raw touched'!$E35:$U35,$E$5:$U$5))+INTERCEPT('Raw touched'!$E35:$U35,$E$5:$U$5)),'Raw touched'!P35)</f>
        <v>7.0633776925822076</v>
      </c>
      <c r="Q35" s="4">
        <f>IF(ISBLANK('Raw touched'!Q35),((Q$5*SLOPE('Raw touched'!$E35:$U35,$E$5:$U$5))+INTERCEPT('Raw touched'!$E35:$U35,$E$5:$U$5)),'Raw touched'!Q35)</f>
        <v>6.5062766280741471</v>
      </c>
      <c r="R35" s="4">
        <f>IF(ISBLANK('Raw touched'!R35),((R$5*SLOPE('Raw touched'!$E35:$U35,$E$5:$U$5))+INTERCEPT('Raw touched'!$E35:$U35,$E$5:$U$5)),'Raw touched'!R35)</f>
        <v>5.9491755635663139</v>
      </c>
      <c r="S35" s="4">
        <f>IF(ISBLANK('Raw touched'!S35),((S$5*SLOPE('Raw touched'!$E35:$U35,$E$5:$U$5))+INTERCEPT('Raw touched'!$E35:$U35,$E$5:$U$5)),'Raw touched'!S35)</f>
        <v>5.3920744990582534</v>
      </c>
      <c r="T35" s="4">
        <f>IF(ISBLANK('Raw touched'!T35),((T$5*SLOPE('Raw touched'!$E35:$U35,$E$5:$U$5))+INTERCEPT('Raw touched'!$E35:$U35,$E$5:$U$5)),'Raw touched'!T35)</f>
        <v>4.8349734345501929</v>
      </c>
      <c r="U35" s="4">
        <f>IF(ISBLANK('Raw touched'!U35),((U$5*SLOPE('Raw touched'!$E35:$U35,$E$5:$U$5))+INTERCEPT('Raw touched'!$E35:$U35,$E$5:$U$5)),'Raw touched'!U35)</f>
        <v>4.2778723700423598</v>
      </c>
    </row>
    <row r="36" spans="3:21" ht="13">
      <c r="C36" s="1" t="s">
        <v>138</v>
      </c>
      <c r="D36" s="1" t="s">
        <v>193</v>
      </c>
      <c r="E36" s="4">
        <f>IF(ISBLANK('Raw touched'!E36),((E$5*SLOPE('Raw touched'!$E36:$U36,$E$5:$U$5))+INTERCEPT('Raw touched'!$E36:$U36,$E$5:$U$5)),'Raw touched'!E36)</f>
        <v>35.299999239999998</v>
      </c>
      <c r="F36" s="4">
        <f>IF(ISBLANK('Raw touched'!F36),((F$5*SLOPE('Raw touched'!$E36:$U36,$E$5:$U$5))+INTERCEPT('Raw touched'!$E36:$U36,$E$5:$U$5)),'Raw touched'!F36)</f>
        <v>35.807776983333383</v>
      </c>
      <c r="G36" s="4">
        <f>IF(ISBLANK('Raw touched'!G36),((G$5*SLOPE('Raw touched'!$E36:$U36,$E$5:$U$5))+INTERCEPT('Raw touched'!$E36:$U36,$E$5:$U$5)),'Raw touched'!G36)</f>
        <v>36.315554726666733</v>
      </c>
      <c r="H36" s="4">
        <f>IF(ISBLANK('Raw touched'!H36),((H$5*SLOPE('Raw touched'!$E36:$U36,$E$5:$U$5))+INTERCEPT('Raw touched'!$E36:$U36,$E$5:$U$5)),'Raw touched'!H36)</f>
        <v>36.823332470000082</v>
      </c>
      <c r="I36" s="4">
        <f>IF(ISBLANK('Raw touched'!I36),((I$5*SLOPE('Raw touched'!$E36:$U36,$E$5:$U$5))+INTERCEPT('Raw touched'!$E36:$U36,$E$5:$U$5)),'Raw touched'!I36)</f>
        <v>37.331110213333432</v>
      </c>
      <c r="J36" s="4">
        <f>IF(ISBLANK('Raw touched'!J36),((J$5*SLOPE('Raw touched'!$E36:$U36,$E$5:$U$5))+INTERCEPT('Raw touched'!$E36:$U36,$E$5:$U$5)),'Raw touched'!J36)</f>
        <v>37.838887956666781</v>
      </c>
      <c r="K36" s="4">
        <f>IF(ISBLANK('Raw touched'!K36),((K$5*SLOPE('Raw touched'!$E36:$U36,$E$5:$U$5))+INTERCEPT('Raw touched'!$E36:$U36,$E$5:$U$5)),'Raw touched'!K36)</f>
        <v>38.346665700000131</v>
      </c>
      <c r="L36" s="4">
        <f>IF(ISBLANK('Raw touched'!L36),((L$5*SLOPE('Raw touched'!$E36:$U36,$E$5:$U$5))+INTERCEPT('Raw touched'!$E36:$U36,$E$5:$U$5)),'Raw touched'!L36)</f>
        <v>38.854443443333366</v>
      </c>
      <c r="M36" s="4">
        <f>IF(ISBLANK('Raw touched'!M36),((M$5*SLOPE('Raw touched'!$E36:$U36,$E$5:$U$5))+INTERCEPT('Raw touched'!$E36:$U36,$E$5:$U$5)),'Raw touched'!M36)</f>
        <v>39.362221186666716</v>
      </c>
      <c r="N36" s="4">
        <f>IF(ISBLANK('Raw touched'!N36),((N$5*SLOPE('Raw touched'!$E36:$U36,$E$5:$U$5))+INTERCEPT('Raw touched'!$E36:$U36,$E$5:$U$5)),'Raw touched'!N36)</f>
        <v>39.869998930000001</v>
      </c>
      <c r="O36" s="4">
        <f>IF(ISBLANK('Raw touched'!O36),((O$5*SLOPE('Raw touched'!$E36:$U36,$E$5:$U$5))+INTERCEPT('Raw touched'!$E36:$U36,$E$5:$U$5)),'Raw touched'!O36)</f>
        <v>40.377776673333415</v>
      </c>
      <c r="P36" s="4">
        <f>IF(ISBLANK('Raw touched'!P36),((P$5*SLOPE('Raw touched'!$E36:$U36,$E$5:$U$5))+INTERCEPT('Raw touched'!$E36:$U36,$E$5:$U$5)),'Raw touched'!P36)</f>
        <v>40.885554416666764</v>
      </c>
      <c r="Q36" s="4">
        <f>IF(ISBLANK('Raw touched'!Q36),((Q$5*SLOPE('Raw touched'!$E36:$U36,$E$5:$U$5))+INTERCEPT('Raw touched'!$E36:$U36,$E$5:$U$5)),'Raw touched'!Q36)</f>
        <v>41.393332160000114</v>
      </c>
      <c r="R36" s="4">
        <f>IF(ISBLANK('Raw touched'!R36),((R$5*SLOPE('Raw touched'!$E36:$U36,$E$5:$U$5))+INTERCEPT('Raw touched'!$E36:$U36,$E$5:$U$5)),'Raw touched'!R36)</f>
        <v>41.901109903333463</v>
      </c>
      <c r="S36" s="4">
        <f>IF(ISBLANK('Raw touched'!S36),((S$5*SLOPE('Raw touched'!$E36:$U36,$E$5:$U$5))+INTERCEPT('Raw touched'!$E36:$U36,$E$5:$U$5)),'Raw touched'!S36)</f>
        <v>42.408887646666699</v>
      </c>
      <c r="T36" s="4">
        <f>IF(ISBLANK('Raw touched'!T36),((T$5*SLOPE('Raw touched'!$E36:$U36,$E$5:$U$5))+INTERCEPT('Raw touched'!$E36:$U36,$E$5:$U$5)),'Raw touched'!T36)</f>
        <v>42.916665390000048</v>
      </c>
      <c r="U36" s="4">
        <f>IF(ISBLANK('Raw touched'!U36),((U$5*SLOPE('Raw touched'!$E36:$U36,$E$5:$U$5))+INTERCEPT('Raw touched'!$E36:$U36,$E$5:$U$5)),'Raw touched'!U36)</f>
        <v>43.424443133333398</v>
      </c>
    </row>
    <row r="37" spans="3:21" ht="13">
      <c r="C37" s="1" t="s">
        <v>380</v>
      </c>
      <c r="D37" s="1" t="s">
        <v>182</v>
      </c>
      <c r="E37" s="4">
        <f>IF(ISBLANK('Raw touched'!E37),((E$5*SLOPE('Raw touched'!$E37:$U37,$E$5:$U$5))+INTERCEPT('Raw touched'!$E37:$U37,$E$5:$U$5)),'Raw touched'!E37)</f>
        <v>78</v>
      </c>
      <c r="F37" s="4">
        <f>IF(ISBLANK('Raw touched'!F37),((F$5*SLOPE('Raw touched'!$E37:$U37,$E$5:$U$5))+INTERCEPT('Raw touched'!$E37:$U37,$E$5:$U$5)),'Raw touched'!F37)</f>
        <v>78</v>
      </c>
      <c r="G37" s="4">
        <f>IF(ISBLANK('Raw touched'!G37),((G$5*SLOPE('Raw touched'!$E37:$U37,$E$5:$U$5))+INTERCEPT('Raw touched'!$E37:$U37,$E$5:$U$5)),'Raw touched'!G37)</f>
        <v>78</v>
      </c>
      <c r="H37" s="4">
        <f>IF(ISBLANK('Raw touched'!H37),((H$5*SLOPE('Raw touched'!$E37:$U37,$E$5:$U$5))+INTERCEPT('Raw touched'!$E37:$U37,$E$5:$U$5)),'Raw touched'!H37)</f>
        <v>78</v>
      </c>
      <c r="I37" s="4">
        <f>IF(ISBLANK('Raw touched'!I37),((I$5*SLOPE('Raw touched'!$E37:$U37,$E$5:$U$5))+INTERCEPT('Raw touched'!$E37:$U37,$E$5:$U$5)),'Raw touched'!I37)</f>
        <v>78</v>
      </c>
      <c r="J37" s="4">
        <f>IF(ISBLANK('Raw touched'!J37),((J$5*SLOPE('Raw touched'!$E37:$U37,$E$5:$U$5))+INTERCEPT('Raw touched'!$E37:$U37,$E$5:$U$5)),'Raw touched'!J37)</f>
        <v>69.040000919999997</v>
      </c>
      <c r="K37" s="4">
        <f>IF(ISBLANK('Raw touched'!K37),((K$5*SLOPE('Raw touched'!$E37:$U37,$E$5:$U$5))+INTERCEPT('Raw touched'!$E37:$U37,$E$5:$U$5)),'Raw touched'!K37)</f>
        <v>69.040000919999997</v>
      </c>
      <c r="L37" s="4">
        <f>IF(ISBLANK('Raw touched'!L37),((L$5*SLOPE('Raw touched'!$E37:$U37,$E$5:$U$5))+INTERCEPT('Raw touched'!$E37:$U37,$E$5:$U$5)),'Raw touched'!L37)</f>
        <v>69.040000919999784</v>
      </c>
      <c r="M37" s="4">
        <f>IF(ISBLANK('Raw touched'!M37),((M$5*SLOPE('Raw touched'!$E37:$U37,$E$5:$U$5))+INTERCEPT('Raw touched'!$E37:$U37,$E$5:$U$5)),'Raw touched'!M37)</f>
        <v>67.440001084285541</v>
      </c>
      <c r="N37" s="4">
        <f>IF(ISBLANK('Raw touched'!N37),((N$5*SLOPE('Raw touched'!$E37:$U37,$E$5:$U$5))+INTERCEPT('Raw touched'!$E37:$U37,$E$5:$U$5)),'Raw touched'!N37)</f>
        <v>65.840001248571298</v>
      </c>
      <c r="O37" s="4">
        <f>IF(ISBLANK('Raw touched'!O37),((O$5*SLOPE('Raw touched'!$E37:$U37,$E$5:$U$5))+INTERCEPT('Raw touched'!$E37:$U37,$E$5:$U$5)),'Raw touched'!O37)</f>
        <v>64.240001412857055</v>
      </c>
      <c r="P37" s="4">
        <f>IF(ISBLANK('Raw touched'!P37),((P$5*SLOPE('Raw touched'!$E37:$U37,$E$5:$U$5))+INTERCEPT('Raw touched'!$E37:$U37,$E$5:$U$5)),'Raw touched'!P37)</f>
        <v>62.640001577142812</v>
      </c>
      <c r="Q37" s="4">
        <f>IF(ISBLANK('Raw touched'!Q37),((Q$5*SLOPE('Raw touched'!$E37:$U37,$E$5:$U$5))+INTERCEPT('Raw touched'!$E37:$U37,$E$5:$U$5)),'Raw touched'!Q37)</f>
        <v>61.040001741428568</v>
      </c>
      <c r="R37" s="4">
        <f>IF(ISBLANK('Raw touched'!R37),((R$5*SLOPE('Raw touched'!$E37:$U37,$E$5:$U$5))+INTERCEPT('Raw touched'!$E37:$U37,$E$5:$U$5)),'Raw touched'!R37)</f>
        <v>59.440001905714325</v>
      </c>
      <c r="S37" s="4">
        <f>IF(ISBLANK('Raw touched'!S37),((S$5*SLOPE('Raw touched'!$E37:$U37,$E$5:$U$5))+INTERCEPT('Raw touched'!$E37:$U37,$E$5:$U$5)),'Raw touched'!S37)</f>
        <v>57.840002070000082</v>
      </c>
      <c r="T37" s="4">
        <f>IF(ISBLANK('Raw touched'!T37),((T$5*SLOPE('Raw touched'!$E37:$U37,$E$5:$U$5))+INTERCEPT('Raw touched'!$E37:$U37,$E$5:$U$5)),'Raw touched'!T37)</f>
        <v>56.240002234285839</v>
      </c>
      <c r="U37" s="4">
        <f>IF(ISBLANK('Raw touched'!U37),((U$5*SLOPE('Raw touched'!$E37:$U37,$E$5:$U$5))+INTERCEPT('Raw touched'!$E37:$U37,$E$5:$U$5)),'Raw touched'!U37)</f>
        <v>54.640002398571596</v>
      </c>
    </row>
    <row r="38" spans="3:21" ht="13">
      <c r="C38" s="1" t="s">
        <v>127</v>
      </c>
      <c r="D38" s="1" t="s">
        <v>23</v>
      </c>
      <c r="E38" s="4">
        <f>IF(ISBLANK('Raw touched'!E38),((E$5*SLOPE('Raw touched'!$E38:$U38,$E$5:$U$5))+INTERCEPT('Raw touched'!$E38:$U38,$E$5:$U$5)),'Raw touched'!E38)</f>
        <v>2.0999999049999998</v>
      </c>
      <c r="F38" s="4">
        <f>IF(ISBLANK('Raw touched'!F38),((F$5*SLOPE('Raw touched'!$E38:$U38,$E$5:$U$5))+INTERCEPT('Raw touched'!$E38:$U38,$E$5:$U$5)),'Raw touched'!F38)</f>
        <v>2.0999999049999998</v>
      </c>
      <c r="G38" s="4">
        <f>IF(ISBLANK('Raw touched'!G38),((G$5*SLOPE('Raw touched'!$E38:$U38,$E$5:$U$5))+INTERCEPT('Raw touched'!$E38:$U38,$E$5:$U$5)),'Raw touched'!G38)</f>
        <v>2.4000000950000002</v>
      </c>
      <c r="H38" s="4">
        <f>IF(ISBLANK('Raw touched'!H38),((H$5*SLOPE('Raw touched'!$E38:$U38,$E$5:$U$5))+INTERCEPT('Raw touched'!$E38:$U38,$E$5:$U$5)),'Raw touched'!H38)</f>
        <v>2.7000000480000002</v>
      </c>
      <c r="I38" s="4">
        <f>IF(ISBLANK('Raw touched'!I38),((I$5*SLOPE('Raw touched'!$E38:$U38,$E$5:$U$5))+INTERCEPT('Raw touched'!$E38:$U38,$E$5:$U$5)),'Raw touched'!I38)</f>
        <v>2.8500001429999884</v>
      </c>
      <c r="J38" s="4">
        <f>IF(ISBLANK('Raw touched'!J38),((J$5*SLOPE('Raw touched'!$E38:$U38,$E$5:$U$5))+INTERCEPT('Raw touched'!$E38:$U38,$E$5:$U$5)),'Raw touched'!J38)</f>
        <v>3.0600002048999499</v>
      </c>
      <c r="K38" s="4">
        <f>IF(ISBLANK('Raw touched'!K38),((K$5*SLOPE('Raw touched'!$E38:$U38,$E$5:$U$5))+INTERCEPT('Raw touched'!$E38:$U38,$E$5:$U$5)),'Raw touched'!K38)</f>
        <v>3.2700002667999684</v>
      </c>
      <c r="L38" s="4">
        <f>IF(ISBLANK('Raw touched'!L38),((L$5*SLOPE('Raw touched'!$E38:$U38,$E$5:$U$5))+INTERCEPT('Raw touched'!$E38:$U38,$E$5:$U$5)),'Raw touched'!L38)</f>
        <v>3.4800003286999868</v>
      </c>
      <c r="M38" s="4">
        <f>IF(ISBLANK('Raw touched'!M38),((M$5*SLOPE('Raw touched'!$E38:$U38,$E$5:$U$5))+INTERCEPT('Raw touched'!$E38:$U38,$E$5:$U$5)),'Raw touched'!M38)</f>
        <v>3.6900003905999483</v>
      </c>
      <c r="N38" s="4">
        <f>IF(ISBLANK('Raw touched'!N38),((N$5*SLOPE('Raw touched'!$E38:$U38,$E$5:$U$5))+INTERCEPT('Raw touched'!$E38:$U38,$E$5:$U$5)),'Raw touched'!N38)</f>
        <v>3.9000004524999667</v>
      </c>
      <c r="O38" s="4">
        <f>IF(ISBLANK('Raw touched'!O38),((O$5*SLOPE('Raw touched'!$E38:$U38,$E$5:$U$5))+INTERCEPT('Raw touched'!$E38:$U38,$E$5:$U$5)),'Raw touched'!O38)</f>
        <v>4.1100005143999851</v>
      </c>
      <c r="P38" s="4">
        <f>IF(ISBLANK('Raw touched'!P38),((P$5*SLOPE('Raw touched'!$E38:$U38,$E$5:$U$5))+INTERCEPT('Raw touched'!$E38:$U38,$E$5:$U$5)),'Raw touched'!P38)</f>
        <v>4.3200005762999467</v>
      </c>
      <c r="Q38" s="4">
        <f>IF(ISBLANK('Raw touched'!Q38),((Q$5*SLOPE('Raw touched'!$E38:$U38,$E$5:$U$5))+INTERCEPT('Raw touched'!$E38:$U38,$E$5:$U$5)),'Raw touched'!Q38)</f>
        <v>4.5300006381999651</v>
      </c>
      <c r="R38" s="4">
        <f>IF(ISBLANK('Raw touched'!R38),((R$5*SLOPE('Raw touched'!$E38:$U38,$E$5:$U$5))+INTERCEPT('Raw touched'!$E38:$U38,$E$5:$U$5)),'Raw touched'!R38)</f>
        <v>4.7400007000999835</v>
      </c>
      <c r="S38" s="4">
        <f>IF(ISBLANK('Raw touched'!S38),((S$5*SLOPE('Raw touched'!$E38:$U38,$E$5:$U$5))+INTERCEPT('Raw touched'!$E38:$U38,$E$5:$U$5)),'Raw touched'!S38)</f>
        <v>4.9500007620000019</v>
      </c>
      <c r="T38" s="4">
        <f>IF(ISBLANK('Raw touched'!T38),((T$5*SLOPE('Raw touched'!$E38:$U38,$E$5:$U$5))+INTERCEPT('Raw touched'!$E38:$U38,$E$5:$U$5)),'Raw touched'!T38)</f>
        <v>5.1600008238999635</v>
      </c>
      <c r="U38" s="4">
        <f>IF(ISBLANK('Raw touched'!U38),((U$5*SLOPE('Raw touched'!$E38:$U38,$E$5:$U$5))+INTERCEPT('Raw touched'!$E38:$U38,$E$5:$U$5)),'Raw touched'!U38)</f>
        <v>5.3700008857999819</v>
      </c>
    </row>
    <row r="39" spans="3:21" ht="13">
      <c r="C39" s="1" t="s">
        <v>82</v>
      </c>
      <c r="D39" s="1" t="s">
        <v>88</v>
      </c>
      <c r="E39" s="4">
        <f>IF(ISBLANK('Raw touched'!E39),((E$5*SLOPE('Raw touched'!$E39:$U39,$E$5:$U$5))+INTERCEPT('Raw touched'!$E39:$U39,$E$5:$U$5)),'Raw touched'!E39)</f>
        <v>0.80000001200000004</v>
      </c>
      <c r="F39" s="4">
        <f>IF(ISBLANK('Raw touched'!F39),((F$5*SLOPE('Raw touched'!$E39:$U39,$E$5:$U$5))+INTERCEPT('Raw touched'!$E39:$U39,$E$5:$U$5)),'Raw touched'!F39)</f>
        <v>0.80000001200000004</v>
      </c>
      <c r="G39" s="4">
        <f>IF(ISBLANK('Raw touched'!G39),((G$5*SLOPE('Raw touched'!$E39:$U39,$E$5:$U$5))+INTERCEPT('Raw touched'!$E39:$U39,$E$5:$U$5)),'Raw touched'!G39)</f>
        <v>0.80000001200000004</v>
      </c>
      <c r="H39" s="4">
        <f>IF(ISBLANK('Raw touched'!H39),((H$5*SLOPE('Raw touched'!$E39:$U39,$E$5:$U$5))+INTERCEPT('Raw touched'!$E39:$U39,$E$5:$U$5)),'Raw touched'!H39)</f>
        <v>0.80000001200000004</v>
      </c>
      <c r="I39" s="4">
        <f>IF(ISBLANK('Raw touched'!I39),((I$5*SLOPE('Raw touched'!$E39:$U39,$E$5:$U$5))+INTERCEPT('Raw touched'!$E39:$U39,$E$5:$U$5)),'Raw touched'!I39)</f>
        <v>0.80000001200000004</v>
      </c>
      <c r="J39" s="4">
        <f>IF(ISBLANK('Raw touched'!J39),((J$5*SLOPE('Raw touched'!$E39:$U39,$E$5:$U$5))+INTERCEPT('Raw touched'!$E39:$U39,$E$5:$U$5)),'Raw touched'!J39)</f>
        <v>0.80000001200000004</v>
      </c>
      <c r="K39" s="4">
        <f>IF(ISBLANK('Raw touched'!K39),((K$5*SLOPE('Raw touched'!$E39:$U39,$E$5:$U$5))+INTERCEPT('Raw touched'!$E39:$U39,$E$5:$U$5)),'Raw touched'!K39)</f>
        <v>0.80000001200000004</v>
      </c>
      <c r="L39" s="4">
        <f>IF(ISBLANK('Raw touched'!L39),((L$5*SLOPE('Raw touched'!$E39:$U39,$E$5:$U$5))+INTERCEPT('Raw touched'!$E39:$U39,$E$5:$U$5)),'Raw touched'!L39)</f>
        <v>0.80000001200000004</v>
      </c>
      <c r="M39" s="4">
        <f>IF(ISBLANK('Raw touched'!M39),((M$5*SLOPE('Raw touched'!$E39:$U39,$E$5:$U$5))+INTERCEPT('Raw touched'!$E39:$U39,$E$5:$U$5)),'Raw touched'!M39)</f>
        <v>0.80000001200000004</v>
      </c>
      <c r="N39" s="4">
        <f>IF(ISBLANK('Raw touched'!N39),((N$5*SLOPE('Raw touched'!$E39:$U39,$E$5:$U$5))+INTERCEPT('Raw touched'!$E39:$U39,$E$5:$U$5)),'Raw touched'!N39)</f>
        <v>0.80000001200000004</v>
      </c>
      <c r="O39" s="4">
        <f>IF(ISBLANK('Raw touched'!O39),((O$5*SLOPE('Raw touched'!$E39:$U39,$E$5:$U$5))+INTERCEPT('Raw touched'!$E39:$U39,$E$5:$U$5)),'Raw touched'!O39)</f>
        <v>0.80000001200000004</v>
      </c>
      <c r="P39" s="4">
        <f>IF(ISBLANK('Raw touched'!P39),((P$5*SLOPE('Raw touched'!$E39:$U39,$E$5:$U$5))+INTERCEPT('Raw touched'!$E39:$U39,$E$5:$U$5)),'Raw touched'!P39)</f>
        <v>0.80000001200000004</v>
      </c>
      <c r="Q39" s="4">
        <f>IF(ISBLANK('Raw touched'!Q39),((Q$5*SLOPE('Raw touched'!$E39:$U39,$E$5:$U$5))+INTERCEPT('Raw touched'!$E39:$U39,$E$5:$U$5)),'Raw touched'!Q39)</f>
        <v>0.80000001200000004</v>
      </c>
      <c r="R39" s="4">
        <f>IF(ISBLANK('Raw touched'!R39),((R$5*SLOPE('Raw touched'!$E39:$U39,$E$5:$U$5))+INTERCEPT('Raw touched'!$E39:$U39,$E$5:$U$5)),'Raw touched'!R39)</f>
        <v>0.80000001200000004</v>
      </c>
      <c r="S39" s="4">
        <f>IF(ISBLANK('Raw touched'!S39),((S$5*SLOPE('Raw touched'!$E39:$U39,$E$5:$U$5))+INTERCEPT('Raw touched'!$E39:$U39,$E$5:$U$5)),'Raw touched'!S39)</f>
        <v>0.80000001200000004</v>
      </c>
      <c r="T39" s="4">
        <f>IF(ISBLANK('Raw touched'!T39),((T$5*SLOPE('Raw touched'!$E39:$U39,$E$5:$U$5))+INTERCEPT('Raw touched'!$E39:$U39,$E$5:$U$5)),'Raw touched'!T39)</f>
        <v>0.80000001200000004</v>
      </c>
      <c r="U39" s="4">
        <f>IF(ISBLANK('Raw touched'!U39),((U$5*SLOPE('Raw touched'!$E39:$U39,$E$5:$U$5))+INTERCEPT('Raw touched'!$E39:$U39,$E$5:$U$5)),'Raw touched'!U39)</f>
        <v>0.80000001200000004</v>
      </c>
    </row>
    <row r="40" spans="3:21" ht="13">
      <c r="C40" s="1" t="s">
        <v>260</v>
      </c>
      <c r="D40" s="1" t="s">
        <v>281</v>
      </c>
      <c r="E40" s="4">
        <f>IF(ISBLANK('Raw touched'!E40),((E$5*SLOPE('Raw touched'!$E40:$U40,$E$5:$U$5))+INTERCEPT('Raw touched'!$E40:$U40,$E$5:$U$5)),'Raw touched'!E40)</f>
        <v>15.899999619999999</v>
      </c>
      <c r="F40" s="4">
        <f>IF(ISBLANK('Raw touched'!F40),((F$5*SLOPE('Raw touched'!$E40:$U40,$E$5:$U$5))+INTERCEPT('Raw touched'!$E40:$U40,$E$5:$U$5)),'Raw touched'!F40)</f>
        <v>16.700000760000002</v>
      </c>
      <c r="G40" s="4">
        <f>IF(ISBLANK('Raw touched'!G40),((G$5*SLOPE('Raw touched'!$E40:$U40,$E$5:$U$5))+INTERCEPT('Raw touched'!$E40:$U40,$E$5:$U$5)),'Raw touched'!G40)</f>
        <v>17.200000760000002</v>
      </c>
      <c r="H40" s="4">
        <f>IF(ISBLANK('Raw touched'!H40),((H$5*SLOPE('Raw touched'!$E40:$U40,$E$5:$U$5))+INTERCEPT('Raw touched'!$E40:$U40,$E$5:$U$5)),'Raw touched'!H40)</f>
        <v>18.299999239999998</v>
      </c>
      <c r="I40" s="4">
        <f>IF(ISBLANK('Raw touched'!I40),((I$5*SLOPE('Raw touched'!$E40:$U40,$E$5:$U$5))+INTERCEPT('Raw touched'!$E40:$U40,$E$5:$U$5)),'Raw touched'!I40)</f>
        <v>18.899999619999999</v>
      </c>
      <c r="J40" s="4">
        <f>IF(ISBLANK('Raw touched'!J40),((J$5*SLOPE('Raw touched'!$E40:$U40,$E$5:$U$5))+INTERCEPT('Raw touched'!$E40:$U40,$E$5:$U$5)),'Raw touched'!J40)</f>
        <v>18.399999619999999</v>
      </c>
      <c r="K40" s="4">
        <f>IF(ISBLANK('Raw touched'!K40),((K$5*SLOPE('Raw touched'!$E40:$U40,$E$5:$U$5))+INTERCEPT('Raw touched'!$E40:$U40,$E$5:$U$5)),'Raw touched'!K40)</f>
        <v>20.200000760000002</v>
      </c>
      <c r="L40" s="4">
        <f>IF(ISBLANK('Raw touched'!L40),((L$5*SLOPE('Raw touched'!$E40:$U40,$E$5:$U$5))+INTERCEPT('Raw touched'!$E40:$U40,$E$5:$U$5)),'Raw touched'!L40)</f>
        <v>20.514285768571199</v>
      </c>
      <c r="M40" s="4">
        <f>IF(ISBLANK('Raw touched'!M40),((M$5*SLOPE('Raw touched'!$E40:$U40,$E$5:$U$5))+INTERCEPT('Raw touched'!$E40:$U40,$E$5:$U$5)),'Raw touched'!M40)</f>
        <v>21.157142911428537</v>
      </c>
      <c r="N40" s="4">
        <f>IF(ISBLANK('Raw touched'!N40),((N$5*SLOPE('Raw touched'!$E40:$U40,$E$5:$U$5))+INTERCEPT('Raw touched'!$E40:$U40,$E$5:$U$5)),'Raw touched'!N40)</f>
        <v>21.800000054285647</v>
      </c>
      <c r="O40" s="4">
        <f>IF(ISBLANK('Raw touched'!O40),((O$5*SLOPE('Raw touched'!$E40:$U40,$E$5:$U$5))+INTERCEPT('Raw touched'!$E40:$U40,$E$5:$U$5)),'Raw touched'!O40)</f>
        <v>22.442857197142757</v>
      </c>
      <c r="P40" s="4">
        <f>IF(ISBLANK('Raw touched'!P40),((P$5*SLOPE('Raw touched'!$E40:$U40,$E$5:$U$5))+INTERCEPT('Raw touched'!$E40:$U40,$E$5:$U$5)),'Raw touched'!P40)</f>
        <v>23.085714339999868</v>
      </c>
      <c r="Q40" s="4">
        <f>IF(ISBLANK('Raw touched'!Q40),((Q$5*SLOPE('Raw touched'!$E40:$U40,$E$5:$U$5))+INTERCEPT('Raw touched'!$E40:$U40,$E$5:$U$5)),'Raw touched'!Q40)</f>
        <v>23.728571482856978</v>
      </c>
      <c r="R40" s="4">
        <f>IF(ISBLANK('Raw touched'!R40),((R$5*SLOPE('Raw touched'!$E40:$U40,$E$5:$U$5))+INTERCEPT('Raw touched'!$E40:$U40,$E$5:$U$5)),'Raw touched'!R40)</f>
        <v>24.371428625714088</v>
      </c>
      <c r="S40" s="4">
        <f>IF(ISBLANK('Raw touched'!S40),((S$5*SLOPE('Raw touched'!$E40:$U40,$E$5:$U$5))+INTERCEPT('Raw touched'!$E40:$U40,$E$5:$U$5)),'Raw touched'!S40)</f>
        <v>25.014285768571199</v>
      </c>
      <c r="T40" s="4">
        <f>IF(ISBLANK('Raw touched'!T40),((T$5*SLOPE('Raw touched'!$E40:$U40,$E$5:$U$5))+INTERCEPT('Raw touched'!$E40:$U40,$E$5:$U$5)),'Raw touched'!T40)</f>
        <v>25.657142911428537</v>
      </c>
      <c r="U40" s="4">
        <f>IF(ISBLANK('Raw touched'!U40),((U$5*SLOPE('Raw touched'!$E40:$U40,$E$5:$U$5))+INTERCEPT('Raw touched'!$E40:$U40,$E$5:$U$5)),'Raw touched'!U40)</f>
        <v>26.300000054285647</v>
      </c>
    </row>
    <row r="41" spans="3:21" ht="13">
      <c r="C41" s="1" t="s">
        <v>261</v>
      </c>
      <c r="D41" s="1" t="s">
        <v>265</v>
      </c>
      <c r="E41" s="4">
        <f>IF(ISBLANK('Raw touched'!E41),((E$5*SLOPE('Raw touched'!$E41:$U41,$E$5:$U$5))+INTERCEPT('Raw touched'!$E41:$U41,$E$5:$U$5)),'Raw touched'!E41)</f>
        <v>-3.1400049539988686</v>
      </c>
      <c r="F41" s="4">
        <f>IF(ISBLANK('Raw touched'!F41),((F$5*SLOPE('Raw touched'!$E41:$U41,$E$5:$U$5))+INTERCEPT('Raw touched'!$E41:$U41,$E$5:$U$5)),'Raw touched'!F41)</f>
        <v>1.219995426999958</v>
      </c>
      <c r="G41" s="4">
        <f>IF(ISBLANK('Raw touched'!G41),((G$5*SLOPE('Raw touched'!$E41:$U41,$E$5:$U$5))+INTERCEPT('Raw touched'!$E41:$U41,$E$5:$U$5)),'Raw touched'!G41)</f>
        <v>5.5799958080006036</v>
      </c>
      <c r="H41" s="4">
        <f>IF(ISBLANK('Raw touched'!H41),((H$5*SLOPE('Raw touched'!$E41:$U41,$E$5:$U$5))+INTERCEPT('Raw touched'!$E41:$U41,$E$5:$U$5)),'Raw touched'!H41)</f>
        <v>9.9399961890012491</v>
      </c>
      <c r="I41" s="4">
        <f>IF(ISBLANK('Raw touched'!I41),((I$5*SLOPE('Raw touched'!$E41:$U41,$E$5:$U$5))+INTERCEPT('Raw touched'!$E41:$U41,$E$5:$U$5)),'Raw touched'!I41)</f>
        <v>14.299996570000076</v>
      </c>
      <c r="J41" s="4">
        <f>IF(ISBLANK('Raw touched'!J41),((J$5*SLOPE('Raw touched'!$E41:$U41,$E$5:$U$5))+INTERCEPT('Raw touched'!$E41:$U41,$E$5:$U$5)),'Raw touched'!J41)</f>
        <v>18.659996951000721</v>
      </c>
      <c r="K41" s="4">
        <f>IF(ISBLANK('Raw touched'!K41),((K$5*SLOPE('Raw touched'!$E41:$U41,$E$5:$U$5))+INTERCEPT('Raw touched'!$E41:$U41,$E$5:$U$5)),'Raw touched'!K41)</f>
        <v>23.019997332001367</v>
      </c>
      <c r="L41" s="4">
        <f>IF(ISBLANK('Raw touched'!L41),((L$5*SLOPE('Raw touched'!$E41:$U41,$E$5:$U$5))+INTERCEPT('Raw touched'!$E41:$U41,$E$5:$U$5)),'Raw touched'!L41)</f>
        <v>27.379997713000193</v>
      </c>
      <c r="M41" s="4">
        <f>IF(ISBLANK('Raw touched'!M41),((M$5*SLOPE('Raw touched'!$E41:$U41,$E$5:$U$5))+INTERCEPT('Raw touched'!$E41:$U41,$E$5:$U$5)),'Raw touched'!M41)</f>
        <v>31.739998094000839</v>
      </c>
      <c r="N41" s="4">
        <f>IF(ISBLANK('Raw touched'!N41),((N$5*SLOPE('Raw touched'!$E41:$U41,$E$5:$U$5))+INTERCEPT('Raw touched'!$E41:$U41,$E$5:$U$5)),'Raw touched'!N41)</f>
        <v>36.099998475001485</v>
      </c>
      <c r="O41" s="4">
        <f>IF(ISBLANK('Raw touched'!O41),((O$5*SLOPE('Raw touched'!$E41:$U41,$E$5:$U$5))+INTERCEPT('Raw touched'!$E41:$U41,$E$5:$U$5)),'Raw touched'!O41)</f>
        <v>40.799999239999998</v>
      </c>
      <c r="P41" s="4">
        <f>IF(ISBLANK('Raw touched'!P41),((P$5*SLOPE('Raw touched'!$E41:$U41,$E$5:$U$5))+INTERCEPT('Raw touched'!$E41:$U41,$E$5:$U$5)),'Raw touched'!P41)</f>
        <v>44.099998470000003</v>
      </c>
      <c r="Q41" s="4">
        <f>IF(ISBLANK('Raw touched'!Q41),((Q$5*SLOPE('Raw touched'!$E41:$U41,$E$5:$U$5))+INTERCEPT('Raw touched'!$E41:$U41,$E$5:$U$5)),'Raw touched'!Q41)</f>
        <v>49.6</v>
      </c>
      <c r="R41" s="4">
        <f>IF(ISBLANK('Raw touched'!R41),((R$5*SLOPE('Raw touched'!$E41:$U41,$E$5:$U$5))+INTERCEPT('Raw touched'!$E41:$U41,$E$5:$U$5)),'Raw touched'!R41)</f>
        <v>53.5</v>
      </c>
      <c r="S41" s="4">
        <f>IF(ISBLANK('Raw touched'!S41),((S$5*SLOPE('Raw touched'!$E41:$U41,$E$5:$U$5))+INTERCEPT('Raw touched'!$E41:$U41,$E$5:$U$5)),'Raw touched'!S41)</f>
        <v>57.900000380001075</v>
      </c>
      <c r="T41" s="4">
        <f>IF(ISBLANK('Raw touched'!T41),((T$5*SLOPE('Raw touched'!$E41:$U41,$E$5:$U$5))+INTERCEPT('Raw touched'!$E41:$U41,$E$5:$U$5)),'Raw touched'!T41)</f>
        <v>62.260000760999901</v>
      </c>
      <c r="U41" s="4">
        <f>IF(ISBLANK('Raw touched'!U41),((U$5*SLOPE('Raw touched'!$E41:$U41,$E$5:$U$5))+INTERCEPT('Raw touched'!$E41:$U41,$E$5:$U$5)),'Raw touched'!U41)</f>
        <v>66.620001142000547</v>
      </c>
    </row>
    <row r="42" spans="3:21" ht="13">
      <c r="C42" s="1" t="s">
        <v>297</v>
      </c>
      <c r="D42" s="1" t="s">
        <v>315</v>
      </c>
      <c r="E42" s="4">
        <f>IF(ISBLANK('Raw touched'!E42),((E$5*SLOPE('Raw touched'!$E42:$U42,$E$5:$U$5))+INTERCEPT('Raw touched'!$E42:$U42,$E$5:$U$5)),'Raw touched'!E42)</f>
        <v>9.1999998089999995</v>
      </c>
      <c r="F42" s="4">
        <f>IF(ISBLANK('Raw touched'!F42),((F$5*SLOPE('Raw touched'!$E42:$U42,$E$5:$U$5))+INTERCEPT('Raw touched'!$E42:$U42,$E$5:$U$5)),'Raw touched'!F42)</f>
        <v>11.899999619999999</v>
      </c>
      <c r="G42" s="4">
        <f>IF(ISBLANK('Raw touched'!G42),((G$5*SLOPE('Raw touched'!$E42:$U42,$E$5:$U$5))+INTERCEPT('Raw touched'!$E42:$U42,$E$5:$U$5)),'Raw touched'!G42)</f>
        <v>12</v>
      </c>
      <c r="H42" s="4">
        <f>IF(ISBLANK('Raw touched'!H42),((H$5*SLOPE('Raw touched'!$E42:$U42,$E$5:$U$5))+INTERCEPT('Raw touched'!$E42:$U42,$E$5:$U$5)),'Raw touched'!H42)</f>
        <v>14.30000019</v>
      </c>
      <c r="I42" s="4">
        <f>IF(ISBLANK('Raw touched'!I42),((I$5*SLOPE('Raw touched'!$E42:$U42,$E$5:$U$5))+INTERCEPT('Raw touched'!$E42:$U42,$E$5:$U$5)),'Raw touched'!I42)</f>
        <v>14.399999619999999</v>
      </c>
      <c r="J42" s="4">
        <f>IF(ISBLANK('Raw touched'!J42),((J$5*SLOPE('Raw touched'!$E42:$U42,$E$5:$U$5))+INTERCEPT('Raw touched'!$E42:$U42,$E$5:$U$5)),'Raw touched'!J42)</f>
        <v>16.199999905399636</v>
      </c>
      <c r="K42" s="4">
        <f>IF(ISBLANK('Raw touched'!K42),((K$5*SLOPE('Raw touched'!$E42:$U42,$E$5:$U$5))+INTERCEPT('Raw touched'!$E42:$U42,$E$5:$U$5)),'Raw touched'!K42)</f>
        <v>17.479999924599724</v>
      </c>
      <c r="L42" s="4">
        <f>IF(ISBLANK('Raw touched'!L42),((L$5*SLOPE('Raw touched'!$E42:$U42,$E$5:$U$5))+INTERCEPT('Raw touched'!$E42:$U42,$E$5:$U$5)),'Raw touched'!L42)</f>
        <v>18.759999943799812</v>
      </c>
      <c r="M42" s="4">
        <f>IF(ISBLANK('Raw touched'!M42),((M$5*SLOPE('Raw touched'!$E42:$U42,$E$5:$U$5))+INTERCEPT('Raw touched'!$E42:$U42,$E$5:$U$5)),'Raw touched'!M42)</f>
        <v>20.0399999629999</v>
      </c>
      <c r="N42" s="4">
        <f>IF(ISBLANK('Raw touched'!N42),((N$5*SLOPE('Raw touched'!$E42:$U42,$E$5:$U$5))+INTERCEPT('Raw touched'!$E42:$U42,$E$5:$U$5)),'Raw touched'!N42)</f>
        <v>21.319999982199988</v>
      </c>
      <c r="O42" s="4">
        <f>IF(ISBLANK('Raw touched'!O42),((O$5*SLOPE('Raw touched'!$E42:$U42,$E$5:$U$5))+INTERCEPT('Raw touched'!$E42:$U42,$E$5:$U$5)),'Raw touched'!O42)</f>
        <v>22.600000001399621</v>
      </c>
      <c r="P42" s="4">
        <f>IF(ISBLANK('Raw touched'!P42),((P$5*SLOPE('Raw touched'!$E42:$U42,$E$5:$U$5))+INTERCEPT('Raw touched'!$E42:$U42,$E$5:$U$5)),'Raw touched'!P42)</f>
        <v>23.880000020599709</v>
      </c>
      <c r="Q42" s="4">
        <f>IF(ISBLANK('Raw touched'!Q42),((Q$5*SLOPE('Raw touched'!$E42:$U42,$E$5:$U$5))+INTERCEPT('Raw touched'!$E42:$U42,$E$5:$U$5)),'Raw touched'!Q42)</f>
        <v>25.160000039799797</v>
      </c>
      <c r="R42" s="4">
        <f>IF(ISBLANK('Raw touched'!R42),((R$5*SLOPE('Raw touched'!$E42:$U42,$E$5:$U$5))+INTERCEPT('Raw touched'!$E42:$U42,$E$5:$U$5)),'Raw touched'!R42)</f>
        <v>26.440000058999885</v>
      </c>
      <c r="S42" s="4">
        <f>IF(ISBLANK('Raw touched'!S42),((S$5*SLOPE('Raw touched'!$E42:$U42,$E$5:$U$5))+INTERCEPT('Raw touched'!$E42:$U42,$E$5:$U$5)),'Raw touched'!S42)</f>
        <v>27.720000078199973</v>
      </c>
      <c r="T42" s="4">
        <f>IF(ISBLANK('Raw touched'!T42),((T$5*SLOPE('Raw touched'!$E42:$U42,$E$5:$U$5))+INTERCEPT('Raw touched'!$E42:$U42,$E$5:$U$5)),'Raw touched'!T42)</f>
        <v>29.000000097399607</v>
      </c>
      <c r="U42" s="4">
        <f>IF(ISBLANK('Raw touched'!U42),((U$5*SLOPE('Raw touched'!$E42:$U42,$E$5:$U$5))+INTERCEPT('Raw touched'!$E42:$U42,$E$5:$U$5)),'Raw touched'!U42)</f>
        <v>30.280000116599695</v>
      </c>
    </row>
    <row r="43" spans="3:21" ht="13">
      <c r="C43" s="1" t="s">
        <v>296</v>
      </c>
      <c r="D43" s="1" t="s">
        <v>95</v>
      </c>
      <c r="E43" s="4">
        <f>IF(ISBLANK('Raw touched'!E43),((E$5*SLOPE('Raw touched'!$E43:$U43,$E$5:$U$5))+INTERCEPT('Raw touched'!$E43:$U43,$E$5:$U$5)),'Raw touched'!E43)</f>
        <v>76.5</v>
      </c>
      <c r="F43" s="4">
        <f>IF(ISBLANK('Raw touched'!F43),((F$5*SLOPE('Raw touched'!$E43:$U43,$E$5:$U$5))+INTERCEPT('Raw touched'!$E43:$U43,$E$5:$U$5)),'Raw touched'!F43)</f>
        <v>76.5</v>
      </c>
      <c r="G43" s="4">
        <f>IF(ISBLANK('Raw touched'!G43),((G$5*SLOPE('Raw touched'!$E43:$U43,$E$5:$U$5))+INTERCEPT('Raw touched'!$E43:$U43,$E$5:$U$5)),'Raw touched'!G43)</f>
        <v>76.5</v>
      </c>
      <c r="H43" s="4">
        <f>IF(ISBLANK('Raw touched'!H43),((H$5*SLOPE('Raw touched'!$E43:$U43,$E$5:$U$5))+INTERCEPT('Raw touched'!$E43:$U43,$E$5:$U$5)),'Raw touched'!H43)</f>
        <v>76.5</v>
      </c>
      <c r="I43" s="4">
        <f>IF(ISBLANK('Raw touched'!I43),((I$5*SLOPE('Raw touched'!$E43:$U43,$E$5:$U$5))+INTERCEPT('Raw touched'!$E43:$U43,$E$5:$U$5)),'Raw touched'!I43)</f>
        <v>76.5</v>
      </c>
      <c r="J43" s="4">
        <f>IF(ISBLANK('Raw touched'!J43),((J$5*SLOPE('Raw touched'!$E43:$U43,$E$5:$U$5))+INTERCEPT('Raw touched'!$E43:$U43,$E$5:$U$5)),'Raw touched'!J43)</f>
        <v>76.5</v>
      </c>
      <c r="K43" s="4">
        <f>IF(ISBLANK('Raw touched'!K43),((K$5*SLOPE('Raw touched'!$E43:$U43,$E$5:$U$5))+INTERCEPT('Raw touched'!$E43:$U43,$E$5:$U$5)),'Raw touched'!K43)</f>
        <v>76.5</v>
      </c>
      <c r="L43" s="4">
        <f>IF(ISBLANK('Raw touched'!L43),((L$5*SLOPE('Raw touched'!$E43:$U43,$E$5:$U$5))+INTERCEPT('Raw touched'!$E43:$U43,$E$5:$U$5)),'Raw touched'!L43)</f>
        <v>76.5</v>
      </c>
      <c r="M43" s="4">
        <f>IF(ISBLANK('Raw touched'!M43),((M$5*SLOPE('Raw touched'!$E43:$U43,$E$5:$U$5))+INTERCEPT('Raw touched'!$E43:$U43,$E$5:$U$5)),'Raw touched'!M43)</f>
        <v>76.5</v>
      </c>
      <c r="N43" s="4">
        <f>IF(ISBLANK('Raw touched'!N43),((N$5*SLOPE('Raw touched'!$E43:$U43,$E$5:$U$5))+INTERCEPT('Raw touched'!$E43:$U43,$E$5:$U$5)),'Raw touched'!N43)</f>
        <v>76.5</v>
      </c>
      <c r="O43" s="4">
        <f>IF(ISBLANK('Raw touched'!O43),((O$5*SLOPE('Raw touched'!$E43:$U43,$E$5:$U$5))+INTERCEPT('Raw touched'!$E43:$U43,$E$5:$U$5)),'Raw touched'!O43)</f>
        <v>76.5</v>
      </c>
      <c r="P43" s="4">
        <f>IF(ISBLANK('Raw touched'!P43),((P$5*SLOPE('Raw touched'!$E43:$U43,$E$5:$U$5))+INTERCEPT('Raw touched'!$E43:$U43,$E$5:$U$5)),'Raw touched'!P43)</f>
        <v>76.5</v>
      </c>
      <c r="Q43" s="4">
        <f>IF(ISBLANK('Raw touched'!Q43),((Q$5*SLOPE('Raw touched'!$E43:$U43,$E$5:$U$5))+INTERCEPT('Raw touched'!$E43:$U43,$E$5:$U$5)),'Raw touched'!Q43)</f>
        <v>76.5</v>
      </c>
      <c r="R43" s="4">
        <f>IF(ISBLANK('Raw touched'!R43),((R$5*SLOPE('Raw touched'!$E43:$U43,$E$5:$U$5))+INTERCEPT('Raw touched'!$E43:$U43,$E$5:$U$5)),'Raw touched'!R43)</f>
        <v>76.5</v>
      </c>
      <c r="S43" s="4">
        <f>IF(ISBLANK('Raw touched'!S43),((S$5*SLOPE('Raw touched'!$E43:$U43,$E$5:$U$5))+INTERCEPT('Raw touched'!$E43:$U43,$E$5:$U$5)),'Raw touched'!S43)</f>
        <v>76.5</v>
      </c>
      <c r="T43" s="4">
        <f>IF(ISBLANK('Raw touched'!T43),((T$5*SLOPE('Raw touched'!$E43:$U43,$E$5:$U$5))+INTERCEPT('Raw touched'!$E43:$U43,$E$5:$U$5)),'Raw touched'!T43)</f>
        <v>76.5</v>
      </c>
      <c r="U43" s="4">
        <f>IF(ISBLANK('Raw touched'!U43),((U$5*SLOPE('Raw touched'!$E43:$U43,$E$5:$U$5))+INTERCEPT('Raw touched'!$E43:$U43,$E$5:$U$5)),'Raw touched'!U43)</f>
        <v>76.5</v>
      </c>
    </row>
    <row r="44" spans="3:21" ht="13">
      <c r="C44" s="1" t="s">
        <v>285</v>
      </c>
      <c r="D44" s="1" t="s">
        <v>68</v>
      </c>
      <c r="E44" s="4">
        <f>IF(ISBLANK('Raw touched'!E44),((E$5*SLOPE('Raw touched'!$E44:$U44,$E$5:$U$5))+INTERCEPT('Raw touched'!$E44:$U44,$E$5:$U$5)),'Raw touched'!E44)</f>
        <v>9.6999998089999995</v>
      </c>
      <c r="F44" s="4">
        <f>IF(ISBLANK('Raw touched'!F44),((F$5*SLOPE('Raw touched'!$E44:$U44,$E$5:$U$5))+INTERCEPT('Raw touched'!$E44:$U44,$E$5:$U$5)),'Raw touched'!F44)</f>
        <v>9.6999998089999995</v>
      </c>
      <c r="G44" s="4">
        <f>IF(ISBLANK('Raw touched'!G44),((G$5*SLOPE('Raw touched'!$E44:$U44,$E$5:$U$5))+INTERCEPT('Raw touched'!$E44:$U44,$E$5:$U$5)),'Raw touched'!G44)</f>
        <v>9.6999998089999995</v>
      </c>
      <c r="H44" s="4">
        <f>IF(ISBLANK('Raw touched'!H44),((H$5*SLOPE('Raw touched'!$E44:$U44,$E$5:$U$5))+INTERCEPT('Raw touched'!$E44:$U44,$E$5:$U$5)),'Raw touched'!H44)</f>
        <v>9.6999998089999995</v>
      </c>
      <c r="I44" s="4">
        <f>IF(ISBLANK('Raw touched'!I44),((I$5*SLOPE('Raw touched'!$E44:$U44,$E$5:$U$5))+INTERCEPT('Raw touched'!$E44:$U44,$E$5:$U$5)),'Raw touched'!I44)</f>
        <v>9.6999998089999995</v>
      </c>
      <c r="J44" s="4">
        <f>IF(ISBLANK('Raw touched'!J44),((J$5*SLOPE('Raw touched'!$E44:$U44,$E$5:$U$5))+INTERCEPT('Raw touched'!$E44:$U44,$E$5:$U$5)),'Raw touched'!J44)</f>
        <v>9.6999998089999995</v>
      </c>
      <c r="K44" s="4">
        <f>IF(ISBLANK('Raw touched'!K44),((K$5*SLOPE('Raw touched'!$E44:$U44,$E$5:$U$5))+INTERCEPT('Raw touched'!$E44:$U44,$E$5:$U$5)),'Raw touched'!K44)</f>
        <v>8.1847029413272594</v>
      </c>
      <c r="L44" s="4">
        <f>IF(ISBLANK('Raw touched'!L44),((L$5*SLOPE('Raw touched'!$E44:$U44,$E$5:$U$5))+INTERCEPT('Raw touched'!$E44:$U44,$E$5:$U$5)),'Raw touched'!L44)</f>
        <v>7.8114885499132924</v>
      </c>
      <c r="M44" s="4">
        <f>IF(ISBLANK('Raw touched'!M44),((M$5*SLOPE('Raw touched'!$E44:$U44,$E$5:$U$5))+INTERCEPT('Raw touched'!$E44:$U44,$E$5:$U$5)),'Raw touched'!M44)</f>
        <v>7.4382741584993255</v>
      </c>
      <c r="N44" s="4">
        <f>IF(ISBLANK('Raw touched'!N44),((N$5*SLOPE('Raw touched'!$E44:$U44,$E$5:$U$5))+INTERCEPT('Raw touched'!$E44:$U44,$E$5:$U$5)),'Raw touched'!N44)</f>
        <v>5</v>
      </c>
      <c r="O44" s="4">
        <f>IF(ISBLANK('Raw touched'!O44),((O$5*SLOPE('Raw touched'!$E44:$U44,$E$5:$U$5))+INTERCEPT('Raw touched'!$E44:$U44,$E$5:$U$5)),'Raw touched'!O44)</f>
        <v>6.6918453756713916</v>
      </c>
      <c r="P44" s="4">
        <f>IF(ISBLANK('Raw touched'!P44),((P$5*SLOPE('Raw touched'!$E44:$U44,$E$5:$U$5))+INTERCEPT('Raw touched'!$E44:$U44,$E$5:$U$5)),'Raw touched'!P44)</f>
        <v>7.1294117650000004</v>
      </c>
      <c r="Q44" s="4">
        <f>IF(ISBLANK('Raw touched'!Q44),((Q$5*SLOPE('Raw touched'!$E44:$U44,$E$5:$U$5))+INTERCEPT('Raw touched'!$E44:$U44,$E$5:$U$5)),'Raw touched'!Q44)</f>
        <v>5.9454165928434577</v>
      </c>
      <c r="R44" s="4">
        <f>IF(ISBLANK('Raw touched'!R44),((R$5*SLOPE('Raw touched'!$E44:$U44,$E$5:$U$5))+INTERCEPT('Raw touched'!$E44:$U44,$E$5:$U$5)),'Raw touched'!R44)</f>
        <v>5.5722022014294907</v>
      </c>
      <c r="S44" s="4">
        <f>IF(ISBLANK('Raw touched'!S44),((S$5*SLOPE('Raw touched'!$E44:$U44,$E$5:$U$5))+INTERCEPT('Raw touched'!$E44:$U44,$E$5:$U$5)),'Raw touched'!S44)</f>
        <v>5.1989878100155238</v>
      </c>
      <c r="T44" s="4">
        <f>IF(ISBLANK('Raw touched'!T44),((T$5*SLOPE('Raw touched'!$E44:$U44,$E$5:$U$5))+INTERCEPT('Raw touched'!$E44:$U44,$E$5:$U$5)),'Raw touched'!T44)</f>
        <v>4.8257734186015568</v>
      </c>
      <c r="U44" s="4">
        <f>IF(ISBLANK('Raw touched'!U44),((U$5*SLOPE('Raw touched'!$E44:$U44,$E$5:$U$5))+INTERCEPT('Raw touched'!$E44:$U44,$E$5:$U$5)),'Raw touched'!U44)</f>
        <v>4.4525590271875899</v>
      </c>
    </row>
    <row r="45" spans="3:21" ht="13">
      <c r="C45" s="1" t="s">
        <v>286</v>
      </c>
      <c r="D45" s="1" t="s">
        <v>24</v>
      </c>
      <c r="E45" s="4">
        <f>IF(ISBLANK('Raw touched'!E45),((E$5*SLOPE('Raw touched'!$E45:$U45,$E$5:$U$5))+INTERCEPT('Raw touched'!$E45:$U45,$E$5:$U$5)),'Raw touched'!E45)</f>
        <v>2.31140006604</v>
      </c>
      <c r="F45" s="4">
        <f>IF(ISBLANK('Raw touched'!F45),((F$5*SLOPE('Raw touched'!$E45:$U45,$E$5:$U$5))+INTERCEPT('Raw touched'!$E45:$U45,$E$5:$U$5)),'Raw touched'!F45)</f>
        <v>2.2568000644800037</v>
      </c>
      <c r="G45" s="4">
        <f>IF(ISBLANK('Raw touched'!G45),((G$5*SLOPE('Raw touched'!$E45:$U45,$E$5:$U$5))+INTERCEPT('Raw touched'!$E45:$U45,$E$5:$U$5)),'Raw touched'!G45)</f>
        <v>2.2022000629199994</v>
      </c>
      <c r="H45" s="4">
        <f>IF(ISBLANK('Raw touched'!H45),((H$5*SLOPE('Raw touched'!$E45:$U45,$E$5:$U$5))+INTERCEPT('Raw touched'!$E45:$U45,$E$5:$U$5)),'Raw touched'!H45)</f>
        <v>2.1476000613600092</v>
      </c>
      <c r="I45" s="4">
        <f>IF(ISBLANK('Raw touched'!I45),((I$5*SLOPE('Raw touched'!$E45:$U45,$E$5:$U$5))+INTERCEPT('Raw touched'!$E45:$U45,$E$5:$U$5)),'Raw touched'!I45)</f>
        <v>2.0930000598000049</v>
      </c>
      <c r="J45" s="4">
        <f>IF(ISBLANK('Raw touched'!J45),((J$5*SLOPE('Raw touched'!$E45:$U45,$E$5:$U$5))+INTERCEPT('Raw touched'!$E45:$U45,$E$5:$U$5)),'Raw touched'!J45)</f>
        <v>2.0384000582400006</v>
      </c>
      <c r="K45" s="4">
        <f>IF(ISBLANK('Raw touched'!K45),((K$5*SLOPE('Raw touched'!$E45:$U45,$E$5:$U$5))+INTERCEPT('Raw touched'!$E45:$U45,$E$5:$U$5)),'Raw touched'!K45)</f>
        <v>1.9838000566800105</v>
      </c>
      <c r="L45" s="4">
        <f>IF(ISBLANK('Raw touched'!L45),((L$5*SLOPE('Raw touched'!$E45:$U45,$E$5:$U$5))+INTERCEPT('Raw touched'!$E45:$U45,$E$5:$U$5)),'Raw touched'!L45)</f>
        <v>1.9292000551200061</v>
      </c>
      <c r="M45" s="4">
        <f>IF(ISBLANK('Raw touched'!M45),((M$5*SLOPE('Raw touched'!$E45:$U45,$E$5:$U$5))+INTERCEPT('Raw touched'!$E45:$U45,$E$5:$U$5)),'Raw touched'!M45)</f>
        <v>1.8746000535600018</v>
      </c>
      <c r="N45" s="4">
        <f>IF(ISBLANK('Raw touched'!N45),((N$5*SLOPE('Raw touched'!$E45:$U45,$E$5:$U$5))+INTERCEPT('Raw touched'!$E45:$U45,$E$5:$U$5)),'Raw touched'!N45)</f>
        <v>1.8200000519999999</v>
      </c>
      <c r="O45" s="4">
        <f>IF(ISBLANK('Raw touched'!O45),((O$5*SLOPE('Raw touched'!$E45:$U45,$E$5:$U$5))+INTERCEPT('Raw touched'!$E45:$U45,$E$5:$U$5)),'Raw touched'!O45)</f>
        <v>1.7654000504400074</v>
      </c>
      <c r="P45" s="4">
        <f>IF(ISBLANK('Raw touched'!P45),((P$5*SLOPE('Raw touched'!$E45:$U45,$E$5:$U$5))+INTERCEPT('Raw touched'!$E45:$U45,$E$5:$U$5)),'Raw touched'!P45)</f>
        <v>1.710800048880003</v>
      </c>
      <c r="Q45" s="4">
        <f>IF(ISBLANK('Raw touched'!Q45),((Q$5*SLOPE('Raw touched'!$E45:$U45,$E$5:$U$5))+INTERCEPT('Raw touched'!$E45:$U45,$E$5:$U$5)),'Raw touched'!Q45)</f>
        <v>1.6562000473200129</v>
      </c>
      <c r="R45" s="4">
        <f>IF(ISBLANK('Raw touched'!R45),((R$5*SLOPE('Raw touched'!$E45:$U45,$E$5:$U$5))+INTERCEPT('Raw touched'!$E45:$U45,$E$5:$U$5)),'Raw touched'!R45)</f>
        <v>1.6016000457600086</v>
      </c>
      <c r="S45" s="4">
        <f>IF(ISBLANK('Raw touched'!S45),((S$5*SLOPE('Raw touched'!$E45:$U45,$E$5:$U$5))+INTERCEPT('Raw touched'!$E45:$U45,$E$5:$U$5)),'Raw touched'!S45)</f>
        <v>1.5470000442000043</v>
      </c>
      <c r="T45" s="4">
        <f>IF(ISBLANK('Raw touched'!T45),((T$5*SLOPE('Raw touched'!$E45:$U45,$E$5:$U$5))+INTERCEPT('Raw touched'!$E45:$U45,$E$5:$U$5)),'Raw touched'!T45)</f>
        <v>1.4924000426399999</v>
      </c>
      <c r="U45" s="4">
        <f>IF(ISBLANK('Raw touched'!U45),((U$5*SLOPE('Raw touched'!$E45:$U45,$E$5:$U$5))+INTERCEPT('Raw touched'!$E45:$U45,$E$5:$U$5)),'Raw touched'!U45)</f>
        <v>1.4378000410800098</v>
      </c>
    </row>
    <row r="46" spans="3:21" ht="13">
      <c r="C46" s="1" t="s">
        <v>399</v>
      </c>
      <c r="D46" s="1" t="s">
        <v>128</v>
      </c>
      <c r="E46" s="4">
        <f>IF(ISBLANK('Raw touched'!E46),((E$5*SLOPE('Raw touched'!$E46:$U46,$E$5:$U$5))+INTERCEPT('Raw touched'!$E46:$U46,$E$5:$U$5)),'Raw touched'!E46)</f>
        <v>16.700000760000002</v>
      </c>
      <c r="F46" s="4">
        <f>IF(ISBLANK('Raw touched'!F46),((F$5*SLOPE('Raw touched'!$E46:$U46,$E$5:$U$5))+INTERCEPT('Raw touched'!$E46:$U46,$E$5:$U$5)),'Raw touched'!F46)</f>
        <v>17</v>
      </c>
      <c r="G46" s="4">
        <f>IF(ISBLANK('Raw touched'!G46),((G$5*SLOPE('Raw touched'!$E46:$U46,$E$5:$U$5))+INTERCEPT('Raw touched'!$E46:$U46,$E$5:$U$5)),'Raw touched'!G46)</f>
        <v>17</v>
      </c>
      <c r="H46" s="4">
        <f>IF(ISBLANK('Raw touched'!H46),((H$5*SLOPE('Raw touched'!$E46:$U46,$E$5:$U$5))+INTERCEPT('Raw touched'!$E46:$U46,$E$5:$U$5)),'Raw touched'!H46)</f>
        <v>21</v>
      </c>
      <c r="I46" s="4">
        <f>IF(ISBLANK('Raw touched'!I46),((I$5*SLOPE('Raw touched'!$E46:$U46,$E$5:$U$5))+INTERCEPT('Raw touched'!$E46:$U46,$E$5:$U$5)),'Raw touched'!I46)</f>
        <v>22</v>
      </c>
      <c r="J46" s="4">
        <f>IF(ISBLANK('Raw touched'!J46),((J$5*SLOPE('Raw touched'!$E46:$U46,$E$5:$U$5))+INTERCEPT('Raw touched'!$E46:$U46,$E$5:$U$5)),'Raw touched'!J46)</f>
        <v>22</v>
      </c>
      <c r="K46" s="4">
        <f>IF(ISBLANK('Raw touched'!K46),((K$5*SLOPE('Raw touched'!$E46:$U46,$E$5:$U$5))+INTERCEPT('Raw touched'!$E46:$U46,$E$5:$U$5)),'Raw touched'!K46)</f>
        <v>22</v>
      </c>
      <c r="L46" s="4">
        <f>IF(ISBLANK('Raw touched'!L46),((L$5*SLOPE('Raw touched'!$E46:$U46,$E$5:$U$5))+INTERCEPT('Raw touched'!$E46:$U46,$E$5:$U$5)),'Raw touched'!L46)</f>
        <v>22</v>
      </c>
      <c r="M46" s="4">
        <f>IF(ISBLANK('Raw touched'!M46),((M$5*SLOPE('Raw touched'!$E46:$U46,$E$5:$U$5))+INTERCEPT('Raw touched'!$E46:$U46,$E$5:$U$5)),'Raw touched'!M46)</f>
        <v>24.600000380000001</v>
      </c>
      <c r="N46" s="4">
        <f>IF(ISBLANK('Raw touched'!N46),((N$5*SLOPE('Raw touched'!$E46:$U46,$E$5:$U$5))+INTERCEPT('Raw touched'!$E46:$U46,$E$5:$U$5)),'Raw touched'!N46)</f>
        <v>24.399999619999999</v>
      </c>
      <c r="O46" s="4">
        <f>IF(ISBLANK('Raw touched'!O46),((O$5*SLOPE('Raw touched'!$E46:$U46,$E$5:$U$5))+INTERCEPT('Raw touched'!$E46:$U46,$E$5:$U$5)),'Raw touched'!O46)</f>
        <v>24.585952329321572</v>
      </c>
      <c r="P46" s="4">
        <f>IF(ISBLANK('Raw touched'!P46),((P$5*SLOPE('Raw touched'!$E46:$U46,$E$5:$U$5))+INTERCEPT('Raw touched'!$E46:$U46,$E$5:$U$5)),'Raw touched'!P46)</f>
        <v>25.200000760000002</v>
      </c>
      <c r="Q46" s="4">
        <f>IF(ISBLANK('Raw touched'!Q46),((Q$5*SLOPE('Raw touched'!$E46:$U46,$E$5:$U$5))+INTERCEPT('Raw touched'!$E46:$U46,$E$5:$U$5)),'Raw touched'!Q46)</f>
        <v>25.53336607</v>
      </c>
      <c r="R46" s="4">
        <f>IF(ISBLANK('Raw touched'!R46),((R$5*SLOPE('Raw touched'!$E46:$U46,$E$5:$U$5))+INTERCEPT('Raw touched'!$E46:$U46,$E$5:$U$5)),'Raw touched'!R46)</f>
        <v>25.28</v>
      </c>
      <c r="S46" s="4">
        <f>IF(ISBLANK('Raw touched'!S46),((S$5*SLOPE('Raw touched'!$E46:$U46,$E$5:$U$5))+INTERCEPT('Raw touched'!$E46:$U46,$E$5:$U$5)),'Raw touched'!S46)</f>
        <v>27.435259487785288</v>
      </c>
      <c r="T46" s="4">
        <f>IF(ISBLANK('Raw touched'!T46),((T$5*SLOPE('Raw touched'!$E46:$U46,$E$5:$U$5))+INTERCEPT('Raw touched'!$E46:$U46,$E$5:$U$5)),'Raw touched'!T46)</f>
        <v>28.14758627740116</v>
      </c>
      <c r="U46" s="4">
        <f>IF(ISBLANK('Raw touched'!U46),((U$5*SLOPE('Raw touched'!$E46:$U46,$E$5:$U$5))+INTERCEPT('Raw touched'!$E46:$U46,$E$5:$U$5)),'Raw touched'!U46)</f>
        <v>28.859913067017033</v>
      </c>
    </row>
    <row r="47" spans="3:21" ht="13">
      <c r="C47" s="1" t="s">
        <v>267</v>
      </c>
      <c r="D47" s="1" t="s">
        <v>18</v>
      </c>
      <c r="E47" s="4">
        <f>IF(ISBLANK('Raw touched'!E47),((E$5*SLOPE('Raw touched'!$E47:$U47,$E$5:$U$5))+INTERCEPT('Raw touched'!$E47:$U47,$E$5:$U$5)),'Raw touched'!E47)</f>
        <v>9.6000003809999992</v>
      </c>
      <c r="F47" s="4">
        <f>IF(ISBLANK('Raw touched'!F47),((F$5*SLOPE('Raw touched'!$E47:$U47,$E$5:$U$5))+INTERCEPT('Raw touched'!$E47:$U47,$E$5:$U$5)),'Raw touched'!F47)</f>
        <v>9.6999998089999995</v>
      </c>
      <c r="G47" s="4">
        <f>IF(ISBLANK('Raw touched'!G47),((G$5*SLOPE('Raw touched'!$E47:$U47,$E$5:$U$5))+INTERCEPT('Raw touched'!$E47:$U47,$E$5:$U$5)),'Raw touched'!G47)</f>
        <v>9.6999998089999995</v>
      </c>
      <c r="H47" s="4">
        <f>IF(ISBLANK('Raw touched'!H47),((H$5*SLOPE('Raw touched'!$E47:$U47,$E$5:$U$5))+INTERCEPT('Raw touched'!$E47:$U47,$E$5:$U$5)),'Raw touched'!H47)</f>
        <v>9.6999998089999995</v>
      </c>
      <c r="I47" s="4">
        <f>IF(ISBLANK('Raw touched'!I47),((I$5*SLOPE('Raw touched'!$E47:$U47,$E$5:$U$5))+INTERCEPT('Raw touched'!$E47:$U47,$E$5:$U$5)),'Raw touched'!I47)</f>
        <v>9.6999998089999995</v>
      </c>
      <c r="J47" s="4">
        <f>IF(ISBLANK('Raw touched'!J47),((J$5*SLOPE('Raw touched'!$E47:$U47,$E$5:$U$5))+INTERCEPT('Raw touched'!$E47:$U47,$E$5:$U$5)),'Raw touched'!J47)</f>
        <v>9.6999998089999995</v>
      </c>
      <c r="K47" s="4">
        <f>IF(ISBLANK('Raw touched'!K47),((K$5*SLOPE('Raw touched'!$E47:$U47,$E$5:$U$5))+INTERCEPT('Raw touched'!$E47:$U47,$E$5:$U$5)),'Raw touched'!K47)</f>
        <v>9.0152628931313075</v>
      </c>
      <c r="L47" s="4">
        <f>IF(ISBLANK('Raw touched'!L47),((L$5*SLOPE('Raw touched'!$E47:$U47,$E$5:$U$5))+INTERCEPT('Raw touched'!$E47:$U47,$E$5:$U$5)),'Raw touched'!L47)</f>
        <v>8.8463002871355343</v>
      </c>
      <c r="M47" s="4">
        <f>IF(ISBLANK('Raw touched'!M47),((M$5*SLOPE('Raw touched'!$E47:$U47,$E$5:$U$5))+INTERCEPT('Raw touched'!$E47:$U47,$E$5:$U$5)),'Raw touched'!M47)</f>
        <v>8.677337681139818</v>
      </c>
      <c r="N47" s="4">
        <f>IF(ISBLANK('Raw touched'!N47),((N$5*SLOPE('Raw touched'!$E47:$U47,$E$5:$U$5))+INTERCEPT('Raw touched'!$E47:$U47,$E$5:$U$5)),'Raw touched'!N47)</f>
        <v>8.1199998860000004</v>
      </c>
      <c r="O47" s="4">
        <f>IF(ISBLANK('Raw touched'!O47),((O$5*SLOPE('Raw touched'!$E47:$U47,$E$5:$U$5))+INTERCEPT('Raw touched'!$E47:$U47,$E$5:$U$5)),'Raw touched'!O47)</f>
        <v>8.3394124691482716</v>
      </c>
      <c r="P47" s="4">
        <f>IF(ISBLANK('Raw touched'!P47),((P$5*SLOPE('Raw touched'!$E47:$U47,$E$5:$U$5))+INTERCEPT('Raw touched'!$E47:$U47,$E$5:$U$5)),'Raw touched'!P47)</f>
        <v>8.1704498631524984</v>
      </c>
      <c r="Q47" s="4">
        <f>IF(ISBLANK('Raw touched'!Q47),((Q$5*SLOPE('Raw touched'!$E47:$U47,$E$5:$U$5))+INTERCEPT('Raw touched'!$E47:$U47,$E$5:$U$5)),'Raw touched'!Q47)</f>
        <v>7.9296551050000001</v>
      </c>
      <c r="R47" s="4">
        <f>IF(ISBLANK('Raw touched'!R47),((R$5*SLOPE('Raw touched'!$E47:$U47,$E$5:$U$5))+INTERCEPT('Raw touched'!$E47:$U47,$E$5:$U$5)),'Raw touched'!R47)</f>
        <v>7.8325246511610089</v>
      </c>
      <c r="S47" s="4">
        <f>IF(ISBLANK('Raw touched'!S47),((S$5*SLOPE('Raw touched'!$E47:$U47,$E$5:$U$5))+INTERCEPT('Raw touched'!$E47:$U47,$E$5:$U$5)),'Raw touched'!S47)</f>
        <v>7.6635620451652358</v>
      </c>
      <c r="T47" s="4">
        <f>IF(ISBLANK('Raw touched'!T47),((T$5*SLOPE('Raw touched'!$E47:$U47,$E$5:$U$5))+INTERCEPT('Raw touched'!$E47:$U47,$E$5:$U$5)),'Raw touched'!T47)</f>
        <v>7.4945994391694626</v>
      </c>
      <c r="U47" s="4">
        <f>IF(ISBLANK('Raw touched'!U47),((U$5*SLOPE('Raw touched'!$E47:$U47,$E$5:$U$5))+INTERCEPT('Raw touched'!$E47:$U47,$E$5:$U$5)),'Raw touched'!U47)</f>
        <v>7.3256368331736894</v>
      </c>
    </row>
    <row r="48" spans="3:21" ht="13">
      <c r="C48" s="1" t="s">
        <v>291</v>
      </c>
      <c r="D48" s="1" t="s">
        <v>46</v>
      </c>
      <c r="E48" s="4">
        <f>IF(ISBLANK('Raw touched'!E48),((E$5*SLOPE('Raw touched'!$E48:$U48,$E$5:$U$5))+INTERCEPT('Raw touched'!$E48:$U48,$E$5:$U$5)),'Raw touched'!E48)</f>
        <v>81.856247320985744</v>
      </c>
      <c r="F48" s="4">
        <f>IF(ISBLANK('Raw touched'!F48),((F$5*SLOPE('Raw touched'!$E48:$U48,$E$5:$U$5))+INTERCEPT('Raw touched'!$E48:$U48,$E$5:$U$5)),'Raw touched'!F48)</f>
        <v>81.5</v>
      </c>
      <c r="G48" s="4">
        <f>IF(ISBLANK('Raw touched'!G48),((G$5*SLOPE('Raw touched'!$E48:$U48,$E$5:$U$5))+INTERCEPT('Raw touched'!$E48:$U48,$E$5:$U$5)),'Raw touched'!G48)</f>
        <v>81.5</v>
      </c>
      <c r="H48" s="4">
        <f>IF(ISBLANK('Raw touched'!H48),((H$5*SLOPE('Raw touched'!$E48:$U48,$E$5:$U$5))+INTERCEPT('Raw touched'!$E48:$U48,$E$5:$U$5)),'Raw touched'!H48)</f>
        <v>84.400001529999997</v>
      </c>
      <c r="I48" s="4">
        <f>IF(ISBLANK('Raw touched'!I48),((I$5*SLOPE('Raw touched'!$E48:$U48,$E$5:$U$5))+INTERCEPT('Raw touched'!$E48:$U48,$E$5:$U$5)),'Raw touched'!I48)</f>
        <v>84.599998470000003</v>
      </c>
      <c r="J48" s="4">
        <f>IF(ISBLANK('Raw touched'!J48),((J$5*SLOPE('Raw touched'!$E48:$U48,$E$5:$U$5))+INTERCEPT('Raw touched'!$E48:$U48,$E$5:$U$5)),'Raw touched'!J48)</f>
        <v>85.4</v>
      </c>
      <c r="K48" s="4">
        <f>IF(ISBLANK('Raw touched'!K48),((K$5*SLOPE('Raw touched'!$E48:$U48,$E$5:$U$5))+INTERCEPT('Raw touched'!$E48:$U48,$E$5:$U$5)),'Raw touched'!K48)</f>
        <v>84.927745360000003</v>
      </c>
      <c r="L48" s="4">
        <f>IF(ISBLANK('Raw touched'!L48),((L$5*SLOPE('Raw touched'!$E48:$U48,$E$5:$U$5))+INTERCEPT('Raw touched'!$E48:$U48,$E$5:$U$5)),'Raw touched'!L48)</f>
        <v>85.430698358046698</v>
      </c>
      <c r="M48" s="4">
        <f>IF(ISBLANK('Raw touched'!M48),((M$5*SLOPE('Raw touched'!$E48:$U48,$E$5:$U$5))+INTERCEPT('Raw touched'!$E48:$U48,$E$5:$U$5)),'Raw touched'!M48)</f>
        <v>85.941334220483895</v>
      </c>
      <c r="N48" s="4">
        <f>IF(ISBLANK('Raw touched'!N48),((N$5*SLOPE('Raw touched'!$E48:$U48,$E$5:$U$5))+INTERCEPT('Raw touched'!$E48:$U48,$E$5:$U$5)),'Raw touched'!N48)</f>
        <v>86.451970082921207</v>
      </c>
      <c r="O48" s="4">
        <f>IF(ISBLANK('Raw touched'!O48),((O$5*SLOPE('Raw touched'!$E48:$U48,$E$5:$U$5))+INTERCEPT('Raw touched'!$E48:$U48,$E$5:$U$5)),'Raw touched'!O48)</f>
        <v>86.962605945358519</v>
      </c>
      <c r="P48" s="4">
        <f>IF(ISBLANK('Raw touched'!P48),((P$5*SLOPE('Raw touched'!$E48:$U48,$E$5:$U$5))+INTERCEPT('Raw touched'!$E48:$U48,$E$5:$U$5)),'Raw touched'!P48)</f>
        <v>87.47324180779583</v>
      </c>
      <c r="Q48" s="4">
        <f>IF(ISBLANK('Raw touched'!Q48),((Q$5*SLOPE('Raw touched'!$E48:$U48,$E$5:$U$5))+INTERCEPT('Raw touched'!$E48:$U48,$E$5:$U$5)),'Raw touched'!Q48)</f>
        <v>89.131482879999993</v>
      </c>
      <c r="R48" s="4">
        <f>IF(ISBLANK('Raw touched'!R48),((R$5*SLOPE('Raw touched'!$E48:$U48,$E$5:$U$5))+INTERCEPT('Raw touched'!$E48:$U48,$E$5:$U$5)),'Raw touched'!R48)</f>
        <v>86.88</v>
      </c>
      <c r="S48" s="4">
        <f>IF(ISBLANK('Raw touched'!S48),((S$5*SLOPE('Raw touched'!$E48:$U48,$E$5:$U$5))+INTERCEPT('Raw touched'!$E48:$U48,$E$5:$U$5)),'Raw touched'!S48)</f>
        <v>89.005149395107537</v>
      </c>
      <c r="T48" s="4">
        <f>IF(ISBLANK('Raw touched'!T48),((T$5*SLOPE('Raw touched'!$E48:$U48,$E$5:$U$5))+INTERCEPT('Raw touched'!$E48:$U48,$E$5:$U$5)),'Raw touched'!T48)</f>
        <v>89.515785257544849</v>
      </c>
      <c r="U48" s="4">
        <f>IF(ISBLANK('Raw touched'!U48),((U$5*SLOPE('Raw touched'!$E48:$U48,$E$5:$U$5))+INTERCEPT('Raw touched'!$E48:$U48,$E$5:$U$5)),'Raw touched'!U48)</f>
        <v>90.02642111998216</v>
      </c>
    </row>
    <row r="49" spans="3:21" ht="13">
      <c r="C49" s="1" t="s">
        <v>25</v>
      </c>
      <c r="D49" s="1" t="s">
        <v>126</v>
      </c>
      <c r="E49" s="4">
        <f>IF(ISBLANK('Raw touched'!E49),((E$5*SLOPE('Raw touched'!$E49:$U49,$E$5:$U$5))+INTERCEPT('Raw touched'!$E49:$U49,$E$5:$U$5)),'Raw touched'!E49)</f>
        <v>55.799999239999998</v>
      </c>
      <c r="F49" s="4">
        <f>IF(ISBLANK('Raw touched'!F49),((F$5*SLOPE('Raw touched'!$E49:$U49,$E$5:$U$5))+INTERCEPT('Raw touched'!$E49:$U49,$E$5:$U$5)),'Raw touched'!F49)</f>
        <v>55.900001529999997</v>
      </c>
      <c r="G49" s="4">
        <f>IF(ISBLANK('Raw touched'!G49),((G$5*SLOPE('Raw touched'!$E49:$U49,$E$5:$U$5))+INTERCEPT('Raw touched'!$E49:$U49,$E$5:$U$5)),'Raw touched'!G49)</f>
        <v>49</v>
      </c>
      <c r="H49" s="4">
        <f>IF(ISBLANK('Raw touched'!H49),((H$5*SLOPE('Raw touched'!$E49:$U49,$E$5:$U$5))+INTERCEPT('Raw touched'!$E49:$U49,$E$5:$U$5)),'Raw touched'!H49)</f>
        <v>49</v>
      </c>
      <c r="I49" s="4">
        <f>IF(ISBLANK('Raw touched'!I49),((I$5*SLOPE('Raw touched'!$E49:$U49,$E$5:$U$5))+INTERCEPT('Raw touched'!$E49:$U49,$E$5:$U$5)),'Raw touched'!I49)</f>
        <v>49</v>
      </c>
      <c r="J49" s="4">
        <f>IF(ISBLANK('Raw touched'!J49),((J$5*SLOPE('Raw touched'!$E49:$U49,$E$5:$U$5))+INTERCEPT('Raw touched'!$E49:$U49,$E$5:$U$5)),'Raw touched'!J49)</f>
        <v>49</v>
      </c>
      <c r="K49" s="4">
        <f>IF(ISBLANK('Raw touched'!K49),((K$5*SLOPE('Raw touched'!$E49:$U49,$E$5:$U$5))+INTERCEPT('Raw touched'!$E49:$U49,$E$5:$U$5)),'Raw touched'!K49)</f>
        <v>49</v>
      </c>
      <c r="L49" s="4">
        <f>IF(ISBLANK('Raw touched'!L49),((L$5*SLOPE('Raw touched'!$E49:$U49,$E$5:$U$5))+INTERCEPT('Raw touched'!$E49:$U49,$E$5:$U$5)),'Raw touched'!L49)</f>
        <v>46.07142857000008</v>
      </c>
      <c r="M49" s="4">
        <f>IF(ISBLANK('Raw touched'!M49),((M$5*SLOPE('Raw touched'!$E49:$U49,$E$5:$U$5))+INTERCEPT('Raw touched'!$E49:$U49,$E$5:$U$5)),'Raw touched'!M49)</f>
        <v>44.849999970714634</v>
      </c>
      <c r="N49" s="4">
        <f>IF(ISBLANK('Raw touched'!N49),((N$5*SLOPE('Raw touched'!$E49:$U49,$E$5:$U$5))+INTERCEPT('Raw touched'!$E49:$U49,$E$5:$U$5)),'Raw touched'!N49)</f>
        <v>43.628571371428734</v>
      </c>
      <c r="O49" s="4">
        <f>IF(ISBLANK('Raw touched'!O49),((O$5*SLOPE('Raw touched'!$E49:$U49,$E$5:$U$5))+INTERCEPT('Raw touched'!$E49:$U49,$E$5:$U$5)),'Raw touched'!O49)</f>
        <v>42.407142772142834</v>
      </c>
      <c r="P49" s="4">
        <f>IF(ISBLANK('Raw touched'!P49),((P$5*SLOPE('Raw touched'!$E49:$U49,$E$5:$U$5))+INTERCEPT('Raw touched'!$E49:$U49,$E$5:$U$5)),'Raw touched'!P49)</f>
        <v>41.185714172857388</v>
      </c>
      <c r="Q49" s="4">
        <f>IF(ISBLANK('Raw touched'!Q49),((Q$5*SLOPE('Raw touched'!$E49:$U49,$E$5:$U$5))+INTERCEPT('Raw touched'!$E49:$U49,$E$5:$U$5)),'Raw touched'!Q49)</f>
        <v>39.964285573571487</v>
      </c>
      <c r="R49" s="4">
        <f>IF(ISBLANK('Raw touched'!R49),((R$5*SLOPE('Raw touched'!$E49:$U49,$E$5:$U$5))+INTERCEPT('Raw touched'!$E49:$U49,$E$5:$U$5)),'Raw touched'!R49)</f>
        <v>38.742856974286042</v>
      </c>
      <c r="S49" s="4">
        <f>IF(ISBLANK('Raw touched'!S49),((S$5*SLOPE('Raw touched'!$E49:$U49,$E$5:$U$5))+INTERCEPT('Raw touched'!$E49:$U49,$E$5:$U$5)),'Raw touched'!S49)</f>
        <v>37.521428375000141</v>
      </c>
      <c r="T49" s="4">
        <f>IF(ISBLANK('Raw touched'!T49),((T$5*SLOPE('Raw touched'!$E49:$U49,$E$5:$U$5))+INTERCEPT('Raw touched'!$E49:$U49,$E$5:$U$5)),'Raw touched'!T49)</f>
        <v>36.299999775714241</v>
      </c>
      <c r="U49" s="4">
        <f>IF(ISBLANK('Raw touched'!U49),((U$5*SLOPE('Raw touched'!$E49:$U49,$E$5:$U$5))+INTERCEPT('Raw touched'!$E49:$U49,$E$5:$U$5)),'Raw touched'!U49)</f>
        <v>35.078571176428795</v>
      </c>
    </row>
    <row r="50" spans="3:21" ht="13">
      <c r="C50" s="1" t="s">
        <v>62</v>
      </c>
      <c r="D50" s="1" t="s">
        <v>39</v>
      </c>
      <c r="E50" s="4">
        <f>IF(ISBLANK('Raw touched'!E50),((E$5*SLOPE('Raw touched'!$E50:$U50,$E$5:$U$5))+INTERCEPT('Raw touched'!$E50:$U50,$E$5:$U$5)),'Raw touched'!E50)</f>
        <v>57</v>
      </c>
      <c r="F50" s="4">
        <f>IF(ISBLANK('Raw touched'!F50),((F$5*SLOPE('Raw touched'!$E50:$U50,$E$5:$U$5))+INTERCEPT('Raw touched'!$E50:$U50,$E$5:$U$5)),'Raw touched'!F50)</f>
        <v>57.200000760000002</v>
      </c>
      <c r="G50" s="4">
        <f>IF(ISBLANK('Raw touched'!G50),((G$5*SLOPE('Raw touched'!$E50:$U50,$E$5:$U$5))+INTERCEPT('Raw touched'!$E50:$U50,$E$5:$U$5)),'Raw touched'!G50)</f>
        <v>57.299999239999998</v>
      </c>
      <c r="H50" s="4">
        <f>IF(ISBLANK('Raw touched'!H50),((H$5*SLOPE('Raw touched'!$E50:$U50,$E$5:$U$5))+INTERCEPT('Raw touched'!$E50:$U50,$E$5:$U$5)),'Raw touched'!H50)</f>
        <v>59.200000760000002</v>
      </c>
      <c r="I50" s="4">
        <f>IF(ISBLANK('Raw touched'!I50),((I$5*SLOPE('Raw touched'!$E50:$U50,$E$5:$U$5))+INTERCEPT('Raw touched'!$E50:$U50,$E$5:$U$5)),'Raw touched'!I50)</f>
        <v>59.599998470000003</v>
      </c>
      <c r="J50" s="4">
        <f>IF(ISBLANK('Raw touched'!J50),((J$5*SLOPE('Raw touched'!$E50:$U50,$E$5:$U$5))+INTERCEPT('Raw touched'!$E50:$U50,$E$5:$U$5)),'Raw touched'!J50)</f>
        <v>60.599998470000003</v>
      </c>
      <c r="K50" s="4">
        <f>IF(ISBLANK('Raw touched'!K50),((K$5*SLOPE('Raw touched'!$E50:$U50,$E$5:$U$5))+INTERCEPT('Raw touched'!$E50:$U50,$E$5:$U$5)),'Raw touched'!K50)</f>
        <v>61.200000760000002</v>
      </c>
      <c r="L50" s="4">
        <f>IF(ISBLANK('Raw touched'!L50),((L$5*SLOPE('Raw touched'!$E50:$U50,$E$5:$U$5))+INTERCEPT('Raw touched'!$E50:$U50,$E$5:$U$5)),'Raw touched'!L50)</f>
        <v>62.200000760000002</v>
      </c>
      <c r="M50" s="4">
        <f>IF(ISBLANK('Raw touched'!M50),((M$5*SLOPE('Raw touched'!$E50:$U50,$E$5:$U$5))+INTERCEPT('Raw touched'!$E50:$U50,$E$5:$U$5)),'Raw touched'!M50)</f>
        <v>62.950000760000002</v>
      </c>
      <c r="N50" s="4">
        <f>IF(ISBLANK('Raw touched'!N50),((N$5*SLOPE('Raw touched'!$E50:$U50,$E$5:$U$5))+INTERCEPT('Raw touched'!$E50:$U50,$E$5:$U$5)),'Raw touched'!N50)</f>
        <v>63</v>
      </c>
      <c r="O50" s="4">
        <f>IF(ISBLANK('Raw touched'!O50),((O$5*SLOPE('Raw touched'!$E50:$U50,$E$5:$U$5))+INTERCEPT('Raw touched'!$E50:$U50,$E$5:$U$5)),'Raw touched'!O50)</f>
        <v>64.589996339999999</v>
      </c>
      <c r="P50" s="4">
        <f>IF(ISBLANK('Raw touched'!P50),((P$5*SLOPE('Raw touched'!$E50:$U50,$E$5:$U$5))+INTERCEPT('Raw touched'!$E50:$U50,$E$5:$U$5)),'Raw touched'!P50)</f>
        <v>65.050003050000001</v>
      </c>
      <c r="Q50" s="4">
        <f>IF(ISBLANK('Raw touched'!Q50),((Q$5*SLOPE('Raw touched'!$E50:$U50,$E$5:$U$5))+INTERCEPT('Raw touched'!$E50:$U50,$E$5:$U$5)),'Raw touched'!Q50)</f>
        <v>64.037236649999997</v>
      </c>
      <c r="R50" s="4">
        <f>IF(ISBLANK('Raw touched'!R50),((R$5*SLOPE('Raw touched'!$E50:$U50,$E$5:$U$5))+INTERCEPT('Raw touched'!$E50:$U50,$E$5:$U$5)),'Raw touched'!R50)</f>
        <v>64.61</v>
      </c>
      <c r="S50" s="4">
        <f>IF(ISBLANK('Raw touched'!S50),((S$5*SLOPE('Raw touched'!$E50:$U50,$E$5:$U$5))+INTERCEPT('Raw touched'!$E50:$U50,$E$5:$U$5)),'Raw touched'!S50)</f>
        <v>66.379081902417511</v>
      </c>
      <c r="T50" s="4">
        <f>IF(ISBLANK('Raw touched'!T50),((T$5*SLOPE('Raw touched'!$E50:$U50,$E$5:$U$5))+INTERCEPT('Raw touched'!$E50:$U50,$E$5:$U$5)),'Raw touched'!T50)</f>
        <v>67.053081051120671</v>
      </c>
      <c r="U50" s="4">
        <f>IF(ISBLANK('Raw touched'!U50),((U$5*SLOPE('Raw touched'!$E50:$U50,$E$5:$U$5))+INTERCEPT('Raw touched'!$E50:$U50,$E$5:$U$5)),'Raw touched'!U50)</f>
        <v>67.727080199824059</v>
      </c>
    </row>
    <row r="51" spans="3:21" ht="13">
      <c r="C51" s="1" t="s">
        <v>54</v>
      </c>
      <c r="D51" s="1" t="s">
        <v>303</v>
      </c>
      <c r="E51" s="4">
        <f>IF(ISBLANK('Raw touched'!E51),((E$5*SLOPE('Raw touched'!$E51:$U51,$E$5:$U$5))+INTERCEPT('Raw touched'!$E51:$U51,$E$5:$U$5)),'Raw touched'!E51)</f>
        <v>100</v>
      </c>
      <c r="F51" s="4">
        <f>IF(ISBLANK('Raw touched'!F51),((F$5*SLOPE('Raw touched'!$E51:$U51,$E$5:$U$5))+INTERCEPT('Raw touched'!$E51:$U51,$E$5:$U$5)),'Raw touched'!F51)</f>
        <v>100</v>
      </c>
      <c r="G51" s="4">
        <f>IF(ISBLANK('Raw touched'!G51),((G$5*SLOPE('Raw touched'!$E51:$U51,$E$5:$U$5))+INTERCEPT('Raw touched'!$E51:$U51,$E$5:$U$5)),'Raw touched'!G51)</f>
        <v>100</v>
      </c>
      <c r="H51" s="4">
        <f>IF(ISBLANK('Raw touched'!H51),((H$5*SLOPE('Raw touched'!$E51:$U51,$E$5:$U$5))+INTERCEPT('Raw touched'!$E51:$U51,$E$5:$U$5)),'Raw touched'!H51)</f>
        <v>100</v>
      </c>
      <c r="I51" s="4">
        <f>IF(ISBLANK('Raw touched'!I51),((I$5*SLOPE('Raw touched'!$E51:$U51,$E$5:$U$5))+INTERCEPT('Raw touched'!$E51:$U51,$E$5:$U$5)),'Raw touched'!I51)</f>
        <v>100</v>
      </c>
      <c r="J51" s="4">
        <f>IF(ISBLANK('Raw touched'!J51),((J$5*SLOPE('Raw touched'!$E51:$U51,$E$5:$U$5))+INTERCEPT('Raw touched'!$E51:$U51,$E$5:$U$5)),'Raw touched'!J51)</f>
        <v>100</v>
      </c>
      <c r="K51" s="4">
        <f>IF(ISBLANK('Raw touched'!K51),((K$5*SLOPE('Raw touched'!$E51:$U51,$E$5:$U$5))+INTERCEPT('Raw touched'!$E51:$U51,$E$5:$U$5)),'Raw touched'!K51)</f>
        <v>100</v>
      </c>
      <c r="L51" s="4">
        <f>IF(ISBLANK('Raw touched'!L51),((L$5*SLOPE('Raw touched'!$E51:$U51,$E$5:$U$5))+INTERCEPT('Raw touched'!$E51:$U51,$E$5:$U$5)),'Raw touched'!L51)</f>
        <v>100</v>
      </c>
      <c r="M51" s="4">
        <f>IF(ISBLANK('Raw touched'!M51),((M$5*SLOPE('Raw touched'!$E51:$U51,$E$5:$U$5))+INTERCEPT('Raw touched'!$E51:$U51,$E$5:$U$5)),'Raw touched'!M51)</f>
        <v>100</v>
      </c>
      <c r="N51" s="4">
        <f>IF(ISBLANK('Raw touched'!N51),((N$5*SLOPE('Raw touched'!$E51:$U51,$E$5:$U$5))+INTERCEPT('Raw touched'!$E51:$U51,$E$5:$U$5)),'Raw touched'!N51)</f>
        <v>100</v>
      </c>
      <c r="O51" s="4">
        <f>IF(ISBLANK('Raw touched'!O51),((O$5*SLOPE('Raw touched'!$E51:$U51,$E$5:$U$5))+INTERCEPT('Raw touched'!$E51:$U51,$E$5:$U$5)),'Raw touched'!O51)</f>
        <v>100</v>
      </c>
      <c r="P51" s="4">
        <f>IF(ISBLANK('Raw touched'!P51),((P$5*SLOPE('Raw touched'!$E51:$U51,$E$5:$U$5))+INTERCEPT('Raw touched'!$E51:$U51,$E$5:$U$5)),'Raw touched'!P51)</f>
        <v>100</v>
      </c>
      <c r="Q51" s="4">
        <f>IF(ISBLANK('Raw touched'!Q51),((Q$5*SLOPE('Raw touched'!$E51:$U51,$E$5:$U$5))+INTERCEPT('Raw touched'!$E51:$U51,$E$5:$U$5)),'Raw touched'!Q51)</f>
        <v>100</v>
      </c>
      <c r="R51" s="4">
        <f>IF(ISBLANK('Raw touched'!R51),((R$5*SLOPE('Raw touched'!$E51:$U51,$E$5:$U$5))+INTERCEPT('Raw touched'!$E51:$U51,$E$5:$U$5)),'Raw touched'!R51)</f>
        <v>100</v>
      </c>
      <c r="S51" s="4">
        <f>IF(ISBLANK('Raw touched'!S51),((S$5*SLOPE('Raw touched'!$E51:$U51,$E$5:$U$5))+INTERCEPT('Raw touched'!$E51:$U51,$E$5:$U$5)),'Raw touched'!S51)</f>
        <v>100</v>
      </c>
      <c r="T51" s="4">
        <f>IF(ISBLANK('Raw touched'!T51),((T$5*SLOPE('Raw touched'!$E51:$U51,$E$5:$U$5))+INTERCEPT('Raw touched'!$E51:$U51,$E$5:$U$5)),'Raw touched'!T51)</f>
        <v>100</v>
      </c>
      <c r="U51" s="4">
        <f>IF(ISBLANK('Raw touched'!U51),((U$5*SLOPE('Raw touched'!$E51:$U51,$E$5:$U$5))+INTERCEPT('Raw touched'!$E51:$U51,$E$5:$U$5)),'Raw touched'!U51)</f>
        <v>100</v>
      </c>
    </row>
    <row r="52" spans="3:21" ht="13">
      <c r="C52" s="1" t="s">
        <v>347</v>
      </c>
      <c r="D52" s="1" t="s">
        <v>234</v>
      </c>
      <c r="E52" s="4">
        <f>IF(ISBLANK('Raw touched'!E52),((E$5*SLOPE('Raw touched'!$E52:$U52,$E$5:$U$5))+INTERCEPT('Raw touched'!$E52:$U52,$E$5:$U$5)),'Raw touched'!E52)</f>
        <v>100</v>
      </c>
      <c r="F52" s="4">
        <f>IF(ISBLANK('Raw touched'!F52),((F$5*SLOPE('Raw touched'!$E52:$U52,$E$5:$U$5))+INTERCEPT('Raw touched'!$E52:$U52,$E$5:$U$5)),'Raw touched'!F52)</f>
        <v>100</v>
      </c>
      <c r="G52" s="4">
        <f>IF(ISBLANK('Raw touched'!G52),((G$5*SLOPE('Raw touched'!$E52:$U52,$E$5:$U$5))+INTERCEPT('Raw touched'!$E52:$U52,$E$5:$U$5)),'Raw touched'!G52)</f>
        <v>100</v>
      </c>
      <c r="H52" s="4">
        <f>IF(ISBLANK('Raw touched'!H52),((H$5*SLOPE('Raw touched'!$E52:$U52,$E$5:$U$5))+INTERCEPT('Raw touched'!$E52:$U52,$E$5:$U$5)),'Raw touched'!H52)</f>
        <v>100</v>
      </c>
      <c r="I52" s="4">
        <f>IF(ISBLANK('Raw touched'!I52),((I$5*SLOPE('Raw touched'!$E52:$U52,$E$5:$U$5))+INTERCEPT('Raw touched'!$E52:$U52,$E$5:$U$5)),'Raw touched'!I52)</f>
        <v>100</v>
      </c>
      <c r="J52" s="4">
        <f>IF(ISBLANK('Raw touched'!J52),((J$5*SLOPE('Raw touched'!$E52:$U52,$E$5:$U$5))+INTERCEPT('Raw touched'!$E52:$U52,$E$5:$U$5)),'Raw touched'!J52)</f>
        <v>100</v>
      </c>
      <c r="K52" s="4">
        <f>IF(ISBLANK('Raw touched'!K52),((K$5*SLOPE('Raw touched'!$E52:$U52,$E$5:$U$5))+INTERCEPT('Raw touched'!$E52:$U52,$E$5:$U$5)),'Raw touched'!K52)</f>
        <v>100</v>
      </c>
      <c r="L52" s="4">
        <f>IF(ISBLANK('Raw touched'!L52),((L$5*SLOPE('Raw touched'!$E52:$U52,$E$5:$U$5))+INTERCEPT('Raw touched'!$E52:$U52,$E$5:$U$5)),'Raw touched'!L52)</f>
        <v>100</v>
      </c>
      <c r="M52" s="4">
        <f>IF(ISBLANK('Raw touched'!M52),((M$5*SLOPE('Raw touched'!$E52:$U52,$E$5:$U$5))+INTERCEPT('Raw touched'!$E52:$U52,$E$5:$U$5)),'Raw touched'!M52)</f>
        <v>100</v>
      </c>
      <c r="N52" s="4">
        <f>IF(ISBLANK('Raw touched'!N52),((N$5*SLOPE('Raw touched'!$E52:$U52,$E$5:$U$5))+INTERCEPT('Raw touched'!$E52:$U52,$E$5:$U$5)),'Raw touched'!N52)</f>
        <v>100</v>
      </c>
      <c r="O52" s="4">
        <f>IF(ISBLANK('Raw touched'!O52),((O$5*SLOPE('Raw touched'!$E52:$U52,$E$5:$U$5))+INTERCEPT('Raw touched'!$E52:$U52,$E$5:$U$5)),'Raw touched'!O52)</f>
        <v>100</v>
      </c>
      <c r="P52" s="4">
        <f>IF(ISBLANK('Raw touched'!P52),((P$5*SLOPE('Raw touched'!$E52:$U52,$E$5:$U$5))+INTERCEPT('Raw touched'!$E52:$U52,$E$5:$U$5)),'Raw touched'!P52)</f>
        <v>100</v>
      </c>
      <c r="Q52" s="4">
        <f>IF(ISBLANK('Raw touched'!Q52),((Q$5*SLOPE('Raw touched'!$E52:$U52,$E$5:$U$5))+INTERCEPT('Raw touched'!$E52:$U52,$E$5:$U$5)),'Raw touched'!Q52)</f>
        <v>100</v>
      </c>
      <c r="R52" s="4">
        <f>IF(ISBLANK('Raw touched'!R52),((R$5*SLOPE('Raw touched'!$E52:$U52,$E$5:$U$5))+INTERCEPT('Raw touched'!$E52:$U52,$E$5:$U$5)),'Raw touched'!R52)</f>
        <v>100</v>
      </c>
      <c r="S52" s="4">
        <f>IF(ISBLANK('Raw touched'!S52),((S$5*SLOPE('Raw touched'!$E52:$U52,$E$5:$U$5))+INTERCEPT('Raw touched'!$E52:$U52,$E$5:$U$5)),'Raw touched'!S52)</f>
        <v>100</v>
      </c>
      <c r="T52" s="4">
        <f>IF(ISBLANK('Raw touched'!T52),((T$5*SLOPE('Raw touched'!$E52:$U52,$E$5:$U$5))+INTERCEPT('Raw touched'!$E52:$U52,$E$5:$U$5)),'Raw touched'!T52)</f>
        <v>100</v>
      </c>
      <c r="U52" s="4">
        <f>IF(ISBLANK('Raw touched'!U52),((U$5*SLOPE('Raw touched'!$E52:$U52,$E$5:$U$5))+INTERCEPT('Raw touched'!$E52:$U52,$E$5:$U$5)),'Raw touched'!U52)</f>
        <v>100</v>
      </c>
    </row>
    <row r="53" spans="3:21" ht="13">
      <c r="C53" s="1" t="s">
        <v>176</v>
      </c>
      <c r="D53" s="1" t="s">
        <v>184</v>
      </c>
      <c r="E53" s="4">
        <f>IF(ISBLANK('Raw touched'!E53),((E$5*SLOPE('Raw touched'!$E53:$U53,$E$5:$U$5))+INTERCEPT('Raw touched'!$E53:$U53,$E$5:$U$5)),'Raw touched'!E53)</f>
        <v>45</v>
      </c>
      <c r="F53" s="4">
        <f>IF(ISBLANK('Raw touched'!F53),((F$5*SLOPE('Raw touched'!$E53:$U53,$E$5:$U$5))+INTERCEPT('Raw touched'!$E53:$U53,$E$5:$U$5)),'Raw touched'!F53)</f>
        <v>45</v>
      </c>
      <c r="G53" s="4">
        <f>IF(ISBLANK('Raw touched'!G53),((G$5*SLOPE('Raw touched'!$E53:$U53,$E$5:$U$5))+INTERCEPT('Raw touched'!$E53:$U53,$E$5:$U$5)),'Raw touched'!G53)</f>
        <v>45</v>
      </c>
      <c r="H53" s="4">
        <f>IF(ISBLANK('Raw touched'!H53),((H$5*SLOPE('Raw touched'!$E53:$U53,$E$5:$U$5))+INTERCEPT('Raw touched'!$E53:$U53,$E$5:$U$5)),'Raw touched'!H53)</f>
        <v>45</v>
      </c>
      <c r="I53" s="4">
        <f>IF(ISBLANK('Raw touched'!I53),((I$5*SLOPE('Raw touched'!$E53:$U53,$E$5:$U$5))+INTERCEPT('Raw touched'!$E53:$U53,$E$5:$U$5)),'Raw touched'!I53)</f>
        <v>45</v>
      </c>
      <c r="J53" s="4">
        <f>IF(ISBLANK('Raw touched'!J53),((J$5*SLOPE('Raw touched'!$E53:$U53,$E$5:$U$5))+INTERCEPT('Raw touched'!$E53:$U53,$E$5:$U$5)),'Raw touched'!J53)</f>
        <v>45</v>
      </c>
      <c r="K53" s="4">
        <f>IF(ISBLANK('Raw touched'!K53),((K$5*SLOPE('Raw touched'!$E53:$U53,$E$5:$U$5))+INTERCEPT('Raw touched'!$E53:$U53,$E$5:$U$5)),'Raw touched'!K53)</f>
        <v>45</v>
      </c>
      <c r="L53" s="4">
        <f>IF(ISBLANK('Raw touched'!L53),((L$5*SLOPE('Raw touched'!$E53:$U53,$E$5:$U$5))+INTERCEPT('Raw touched'!$E53:$U53,$E$5:$U$5)),'Raw touched'!L53)</f>
        <v>45</v>
      </c>
      <c r="M53" s="4">
        <f>IF(ISBLANK('Raw touched'!M53),((M$5*SLOPE('Raw touched'!$E53:$U53,$E$5:$U$5))+INTERCEPT('Raw touched'!$E53:$U53,$E$5:$U$5)),'Raw touched'!M53)</f>
        <v>45</v>
      </c>
      <c r="N53" s="4">
        <f>IF(ISBLANK('Raw touched'!N53),((N$5*SLOPE('Raw touched'!$E53:$U53,$E$5:$U$5))+INTERCEPT('Raw touched'!$E53:$U53,$E$5:$U$5)),'Raw touched'!N53)</f>
        <v>45</v>
      </c>
      <c r="O53" s="4">
        <f>IF(ISBLANK('Raw touched'!O53),((O$5*SLOPE('Raw touched'!$E53:$U53,$E$5:$U$5))+INTERCEPT('Raw touched'!$E53:$U53,$E$5:$U$5)),'Raw touched'!O53)</f>
        <v>45</v>
      </c>
      <c r="P53" s="4">
        <f>IF(ISBLANK('Raw touched'!P53),((P$5*SLOPE('Raw touched'!$E53:$U53,$E$5:$U$5))+INTERCEPT('Raw touched'!$E53:$U53,$E$5:$U$5)),'Raw touched'!P53)</f>
        <v>45</v>
      </c>
      <c r="Q53" s="4">
        <f>IF(ISBLANK('Raw touched'!Q53),((Q$5*SLOPE('Raw touched'!$E53:$U53,$E$5:$U$5))+INTERCEPT('Raw touched'!$E53:$U53,$E$5:$U$5)),'Raw touched'!Q53)</f>
        <v>45</v>
      </c>
      <c r="R53" s="4">
        <f>IF(ISBLANK('Raw touched'!R53),((R$5*SLOPE('Raw touched'!$E53:$U53,$E$5:$U$5))+INTERCEPT('Raw touched'!$E53:$U53,$E$5:$U$5)),'Raw touched'!R53)</f>
        <v>45</v>
      </c>
      <c r="S53" s="4">
        <f>IF(ISBLANK('Raw touched'!S53),((S$5*SLOPE('Raw touched'!$E53:$U53,$E$5:$U$5))+INTERCEPT('Raw touched'!$E53:$U53,$E$5:$U$5)),'Raw touched'!S53)</f>
        <v>45</v>
      </c>
      <c r="T53" s="4">
        <f>IF(ISBLANK('Raw touched'!T53),((T$5*SLOPE('Raw touched'!$E53:$U53,$E$5:$U$5))+INTERCEPT('Raw touched'!$E53:$U53,$E$5:$U$5)),'Raw touched'!T53)</f>
        <v>45</v>
      </c>
      <c r="U53" s="4">
        <f>IF(ISBLANK('Raw touched'!U53),((U$5*SLOPE('Raw touched'!$E53:$U53,$E$5:$U$5))+INTERCEPT('Raw touched'!$E53:$U53,$E$5:$U$5)),'Raw touched'!U53)</f>
        <v>45</v>
      </c>
    </row>
    <row r="54" spans="3:21" ht="13">
      <c r="C54" s="1" t="s">
        <v>203</v>
      </c>
      <c r="D54" s="1" t="s">
        <v>262</v>
      </c>
      <c r="E54" s="4">
        <f>IF(ISBLANK('Raw touched'!E54),((E$5*SLOPE('Raw touched'!$E54:$U54,$E$5:$U$5))+INTERCEPT('Raw touched'!$E54:$U54,$E$5:$U$5)),'Raw touched'!E54)</f>
        <v>50.299999239999998</v>
      </c>
      <c r="F54" s="4">
        <f>IF(ISBLANK('Raw touched'!F54),((F$5*SLOPE('Raw touched'!$E54:$U54,$E$5:$U$5))+INTERCEPT('Raw touched'!$E54:$U54,$E$5:$U$5)),'Raw touched'!F54)</f>
        <v>50.400001529999997</v>
      </c>
      <c r="G54" s="4">
        <f>IF(ISBLANK('Raw touched'!G54),((G$5*SLOPE('Raw touched'!$E54:$U54,$E$5:$U$5))+INTERCEPT('Raw touched'!$E54:$U54,$E$5:$U$5)),'Raw touched'!G54)</f>
        <v>50.400001529999997</v>
      </c>
      <c r="H54" s="4">
        <f>IF(ISBLANK('Raw touched'!H54),((H$5*SLOPE('Raw touched'!$E54:$U54,$E$5:$U$5))+INTERCEPT('Raw touched'!$E54:$U54,$E$5:$U$5)),'Raw touched'!H54)</f>
        <v>50.400001529999997</v>
      </c>
      <c r="I54" s="4">
        <f>IF(ISBLANK('Raw touched'!I54),((I$5*SLOPE('Raw touched'!$E54:$U54,$E$5:$U$5))+INTERCEPT('Raw touched'!$E54:$U54,$E$5:$U$5)),'Raw touched'!I54)</f>
        <v>50.400001529999997</v>
      </c>
      <c r="J54" s="4">
        <f>IF(ISBLANK('Raw touched'!J54),((J$5*SLOPE('Raw touched'!$E54:$U54,$E$5:$U$5))+INTERCEPT('Raw touched'!$E54:$U54,$E$5:$U$5)),'Raw touched'!J54)</f>
        <v>50.400001529999997</v>
      </c>
      <c r="K54" s="4">
        <f>IF(ISBLANK('Raw touched'!K54),((K$5*SLOPE('Raw touched'!$E54:$U54,$E$5:$U$5))+INTERCEPT('Raw touched'!$E54:$U54,$E$5:$U$5)),'Raw touched'!K54)</f>
        <v>50.400001529999997</v>
      </c>
      <c r="L54" s="4">
        <f>IF(ISBLANK('Raw touched'!L54),((L$5*SLOPE('Raw touched'!$E54:$U54,$E$5:$U$5))+INTERCEPT('Raw touched'!$E54:$U54,$E$5:$U$5)),'Raw touched'!L54)</f>
        <v>50.428573612857136</v>
      </c>
      <c r="M54" s="4">
        <f>IF(ISBLANK('Raw touched'!M54),((M$5*SLOPE('Raw touched'!$E54:$U54,$E$5:$U$5))+INTERCEPT('Raw touched'!$E54:$U54,$E$5:$U$5)),'Raw touched'!M54)</f>
        <v>50.439288143928565</v>
      </c>
      <c r="N54" s="4">
        <f>IF(ISBLANK('Raw touched'!N54),((N$5*SLOPE('Raw touched'!$E54:$U54,$E$5:$U$5))+INTERCEPT('Raw touched'!$E54:$U54,$E$5:$U$5)),'Raw touched'!N54)</f>
        <v>50.450002674999993</v>
      </c>
      <c r="O54" s="4">
        <f>IF(ISBLANK('Raw touched'!O54),((O$5*SLOPE('Raw touched'!$E54:$U54,$E$5:$U$5))+INTERCEPT('Raw touched'!$E54:$U54,$E$5:$U$5)),'Raw touched'!O54)</f>
        <v>50.460717206071422</v>
      </c>
      <c r="P54" s="4">
        <f>IF(ISBLANK('Raw touched'!P54),((P$5*SLOPE('Raw touched'!$E54:$U54,$E$5:$U$5))+INTERCEPT('Raw touched'!$E54:$U54,$E$5:$U$5)),'Raw touched'!P54)</f>
        <v>50.471431737142851</v>
      </c>
      <c r="Q54" s="4">
        <f>IF(ISBLANK('Raw touched'!Q54),((Q$5*SLOPE('Raw touched'!$E54:$U54,$E$5:$U$5))+INTERCEPT('Raw touched'!$E54:$U54,$E$5:$U$5)),'Raw touched'!Q54)</f>
        <v>50.482146268214279</v>
      </c>
      <c r="R54" s="4">
        <f>IF(ISBLANK('Raw touched'!R54),((R$5*SLOPE('Raw touched'!$E54:$U54,$E$5:$U$5))+INTERCEPT('Raw touched'!$E54:$U54,$E$5:$U$5)),'Raw touched'!R54)</f>
        <v>50.492860799285708</v>
      </c>
      <c r="S54" s="4">
        <f>IF(ISBLANK('Raw touched'!S54),((S$5*SLOPE('Raw touched'!$E54:$U54,$E$5:$U$5))+INTERCEPT('Raw touched'!$E54:$U54,$E$5:$U$5)),'Raw touched'!S54)</f>
        <v>50.503575330357137</v>
      </c>
      <c r="T54" s="4">
        <f>IF(ISBLANK('Raw touched'!T54),((T$5*SLOPE('Raw touched'!$E54:$U54,$E$5:$U$5))+INTERCEPT('Raw touched'!$E54:$U54,$E$5:$U$5)),'Raw touched'!T54)</f>
        <v>50.514289861428566</v>
      </c>
      <c r="U54" s="4">
        <f>IF(ISBLANK('Raw touched'!U54),((U$5*SLOPE('Raw touched'!$E54:$U54,$E$5:$U$5))+INTERCEPT('Raw touched'!$E54:$U54,$E$5:$U$5)),'Raw touched'!U54)</f>
        <v>50.525004392499994</v>
      </c>
    </row>
    <row r="55" spans="3:21" ht="13">
      <c r="C55" s="1" t="s">
        <v>365</v>
      </c>
      <c r="D55" s="1" t="s">
        <v>67</v>
      </c>
      <c r="E55" s="4">
        <f>IF(ISBLANK('Raw touched'!E55),((E$5*SLOPE('Raw touched'!$E55:$U55,$E$5:$U$5))+INTERCEPT('Raw touched'!$E55:$U55,$E$5:$U$5)),'Raw touched'!E55)</f>
        <v>49.299999239999998</v>
      </c>
      <c r="F55" s="4">
        <f>IF(ISBLANK('Raw touched'!F55),((F$5*SLOPE('Raw touched'!$E55:$U55,$E$5:$U$5))+INTERCEPT('Raw touched'!$E55:$U55,$E$5:$U$5)),'Raw touched'!F55)</f>
        <v>49.400001529999997</v>
      </c>
      <c r="G55" s="4">
        <f>IF(ISBLANK('Raw touched'!G55),((G$5*SLOPE('Raw touched'!$E55:$U55,$E$5:$U$5))+INTERCEPT('Raw touched'!$E55:$U55,$E$5:$U$5)),'Raw touched'!G55)</f>
        <v>49.365672385671644</v>
      </c>
      <c r="H55" s="4">
        <f>IF(ISBLANK('Raw touched'!H55),((H$5*SLOPE('Raw touched'!$E55:$U55,$E$5:$U$5))+INTERCEPT('Raw touched'!$E55:$U55,$E$5:$U$5)),'Raw touched'!H55)</f>
        <v>49.377612957611944</v>
      </c>
      <c r="I55" s="4">
        <f>IF(ISBLANK('Raw touched'!I55),((I$5*SLOPE('Raw touched'!$E55:$U55,$E$5:$U$5))+INTERCEPT('Raw touched'!$E55:$U55,$E$5:$U$5)),'Raw touched'!I55)</f>
        <v>49.400001529999997</v>
      </c>
      <c r="J55" s="4">
        <f>IF(ISBLANK('Raw touched'!J55),((J$5*SLOPE('Raw touched'!$E55:$U55,$E$5:$U$5))+INTERCEPT('Raw touched'!$E55:$U55,$E$5:$U$5)),'Raw touched'!J55)</f>
        <v>49.400001529999997</v>
      </c>
      <c r="K55" s="4">
        <f>IF(ISBLANK('Raw touched'!K55),((K$5*SLOPE('Raw touched'!$E55:$U55,$E$5:$U$5))+INTERCEPT('Raw touched'!$E55:$U55,$E$5:$U$5)),'Raw touched'!K55)</f>
        <v>49.400001529999997</v>
      </c>
      <c r="L55" s="4">
        <f>IF(ISBLANK('Raw touched'!L55),((L$5*SLOPE('Raw touched'!$E55:$U55,$E$5:$U$5))+INTERCEPT('Raw touched'!$E55:$U55,$E$5:$U$5)),'Raw touched'!L55)</f>
        <v>49.425375245373132</v>
      </c>
      <c r="M55" s="4">
        <f>IF(ISBLANK('Raw touched'!M55),((M$5*SLOPE('Raw touched'!$E55:$U55,$E$5:$U$5))+INTERCEPT('Raw touched'!$E55:$U55,$E$5:$U$5)),'Raw touched'!M55)</f>
        <v>49.437315817313433</v>
      </c>
      <c r="N55" s="4">
        <f>IF(ISBLANK('Raw touched'!N55),((N$5*SLOPE('Raw touched'!$E55:$U55,$E$5:$U$5))+INTERCEPT('Raw touched'!$E55:$U55,$E$5:$U$5)),'Raw touched'!N55)</f>
        <v>49.449256389253733</v>
      </c>
      <c r="O55" s="4">
        <f>IF(ISBLANK('Raw touched'!O55),((O$5*SLOPE('Raw touched'!$E55:$U55,$E$5:$U$5))+INTERCEPT('Raw touched'!$E55:$U55,$E$5:$U$5)),'Raw touched'!O55)</f>
        <v>49.461196961194034</v>
      </c>
      <c r="P55" s="4">
        <f>IF(ISBLANK('Raw touched'!P55),((P$5*SLOPE('Raw touched'!$E55:$U55,$E$5:$U$5))+INTERCEPT('Raw touched'!$E55:$U55,$E$5:$U$5)),'Raw touched'!P55)</f>
        <v>49.473137533134327</v>
      </c>
      <c r="Q55" s="4">
        <f>IF(ISBLANK('Raw touched'!Q55),((Q$5*SLOPE('Raw touched'!$E55:$U55,$E$5:$U$5))+INTERCEPT('Raw touched'!$E55:$U55,$E$5:$U$5)),'Raw touched'!Q55)</f>
        <v>49.485078105074621</v>
      </c>
      <c r="R55" s="4">
        <f>IF(ISBLANK('Raw touched'!R55),((R$5*SLOPE('Raw touched'!$E55:$U55,$E$5:$U$5))+INTERCEPT('Raw touched'!$E55:$U55,$E$5:$U$5)),'Raw touched'!R55)</f>
        <v>49.497018677014921</v>
      </c>
      <c r="S55" s="4">
        <f>IF(ISBLANK('Raw touched'!S55),((S$5*SLOPE('Raw touched'!$E55:$U55,$E$5:$U$5))+INTERCEPT('Raw touched'!$E55:$U55,$E$5:$U$5)),'Raw touched'!S55)</f>
        <v>49.508959248955222</v>
      </c>
      <c r="T55" s="4">
        <f>IF(ISBLANK('Raw touched'!T55),((T$5*SLOPE('Raw touched'!$E55:$U55,$E$5:$U$5))+INTERCEPT('Raw touched'!$E55:$U55,$E$5:$U$5)),'Raw touched'!T55)</f>
        <v>49.520899820895522</v>
      </c>
      <c r="U55" s="4">
        <f>IF(ISBLANK('Raw touched'!U55),((U$5*SLOPE('Raw touched'!$E55:$U55,$E$5:$U$5))+INTERCEPT('Raw touched'!$E55:$U55,$E$5:$U$5)),'Raw touched'!U55)</f>
        <v>49.532840392835823</v>
      </c>
    </row>
    <row r="56" spans="3:21" ht="13">
      <c r="C56" s="1" t="s">
        <v>152</v>
      </c>
      <c r="D56" s="1" t="s">
        <v>75</v>
      </c>
      <c r="E56" s="4">
        <f>IF(ISBLANK('Raw touched'!E56),((E$5*SLOPE('Raw touched'!$E56:$U56,$E$5:$U$5))+INTERCEPT('Raw touched'!$E56:$U56,$E$5:$U$5)),'Raw touched'!E56)</f>
        <v>12.69999981</v>
      </c>
      <c r="F56" s="4">
        <f>IF(ISBLANK('Raw touched'!F56),((F$5*SLOPE('Raw touched'!$E56:$U56,$E$5:$U$5))+INTERCEPT('Raw touched'!$E56:$U56,$E$5:$U$5)),'Raw touched'!F56)</f>
        <v>13.30000019</v>
      </c>
      <c r="G56" s="4">
        <f>IF(ISBLANK('Raw touched'!G56),((G$5*SLOPE('Raw touched'!$E56:$U56,$E$5:$U$5))+INTERCEPT('Raw touched'!$E56:$U56,$E$5:$U$5)),'Raw touched'!G56)</f>
        <v>18.899999619999999</v>
      </c>
      <c r="H56" s="4">
        <f>IF(ISBLANK('Raw touched'!H56),((H$5*SLOPE('Raw touched'!$E56:$U56,$E$5:$U$5))+INTERCEPT('Raw touched'!$E56:$U56,$E$5:$U$5)),'Raw touched'!H56)</f>
        <v>18.899999619999999</v>
      </c>
      <c r="I56" s="4">
        <f>IF(ISBLANK('Raw touched'!I56),((I$5*SLOPE('Raw touched'!$E56:$U56,$E$5:$U$5))+INTERCEPT('Raw touched'!$E56:$U56,$E$5:$U$5)),'Raw touched'!I56)</f>
        <v>18.899999619999999</v>
      </c>
      <c r="J56" s="4">
        <f>IF(ISBLANK('Raw touched'!J56),((J$5*SLOPE('Raw touched'!$E56:$U56,$E$5:$U$5))+INTERCEPT('Raw touched'!$E56:$U56,$E$5:$U$5)),'Raw touched'!J56)</f>
        <v>18.899999619999999</v>
      </c>
      <c r="K56" s="4">
        <f>IF(ISBLANK('Raw touched'!K56),((K$5*SLOPE('Raw touched'!$E56:$U56,$E$5:$U$5))+INTERCEPT('Raw touched'!$E56:$U56,$E$5:$U$5)),'Raw touched'!K56)</f>
        <v>16.870000839999999</v>
      </c>
      <c r="L56" s="4">
        <f>IF(ISBLANK('Raw touched'!L56),((L$5*SLOPE('Raw touched'!$E56:$U56,$E$5:$U$5))+INTERCEPT('Raw touched'!$E56:$U56,$E$5:$U$5)),'Raw touched'!L56)</f>
        <v>16.870000839999999</v>
      </c>
      <c r="M56" s="4">
        <f>IF(ISBLANK('Raw touched'!M56),((M$5*SLOPE('Raw touched'!$E56:$U56,$E$5:$U$5))+INTERCEPT('Raw touched'!$E56:$U56,$E$5:$U$5)),'Raw touched'!M56)</f>
        <v>14.93999958</v>
      </c>
      <c r="N56" s="4">
        <f>IF(ISBLANK('Raw touched'!N56),((N$5*SLOPE('Raw touched'!$E56:$U56,$E$5:$U$5))+INTERCEPT('Raw touched'!$E56:$U56,$E$5:$U$5)),'Raw touched'!N56)</f>
        <v>14.97000027</v>
      </c>
      <c r="O56" s="4">
        <f>IF(ISBLANK('Raw touched'!O56),((O$5*SLOPE('Raw touched'!$E56:$U56,$E$5:$U$5))+INTERCEPT('Raw touched'!$E56:$U56,$E$5:$U$5)),'Raw touched'!O56)</f>
        <v>15.921498448947375</v>
      </c>
      <c r="P56" s="4">
        <f>IF(ISBLANK('Raw touched'!P56),((P$5*SLOPE('Raw touched'!$E56:$U56,$E$5:$U$5))+INTERCEPT('Raw touched'!$E56:$U56,$E$5:$U$5)),'Raw touched'!P56)</f>
        <v>14.81566334</v>
      </c>
      <c r="Q56" s="4">
        <f>IF(ISBLANK('Raw touched'!Q56),((Q$5*SLOPE('Raw touched'!$E56:$U56,$E$5:$U$5))+INTERCEPT('Raw touched'!$E56:$U56,$E$5:$U$5)),'Raw touched'!Q56)</f>
        <v>14.81566293</v>
      </c>
      <c r="R56" s="4">
        <f>IF(ISBLANK('Raw touched'!R56),((R$5*SLOPE('Raw touched'!$E56:$U56,$E$5:$U$5))+INTERCEPT('Raw touched'!$E56:$U56,$E$5:$U$5)),'Raw touched'!R56)</f>
        <v>15.700920858987843</v>
      </c>
      <c r="S56" s="4">
        <f>IF(ISBLANK('Raw touched'!S56),((S$5*SLOPE('Raw touched'!$E56:$U56,$E$5:$U$5))+INTERCEPT('Raw touched'!$E56:$U56,$E$5:$U$5)),'Raw touched'!S56)</f>
        <v>15.627394995668027</v>
      </c>
      <c r="T56" s="4">
        <f>IF(ISBLANK('Raw touched'!T56),((T$5*SLOPE('Raw touched'!$E56:$U56,$E$5:$U$5))+INTERCEPT('Raw touched'!$E56:$U56,$E$5:$U$5)),'Raw touched'!T56)</f>
        <v>15.553869132348183</v>
      </c>
      <c r="U56" s="4">
        <f>IF(ISBLANK('Raw touched'!U56),((U$5*SLOPE('Raw touched'!$E56:$U56,$E$5:$U$5))+INTERCEPT('Raw touched'!$E56:$U56,$E$5:$U$5)),'Raw touched'!U56)</f>
        <v>15.480343269028339</v>
      </c>
    </row>
    <row r="57" spans="3:21" ht="13">
      <c r="C57" s="1" t="s">
        <v>105</v>
      </c>
      <c r="D57" s="1" t="s">
        <v>216</v>
      </c>
      <c r="E57" s="4">
        <f>IF(ISBLANK('Raw touched'!E57),((E$5*SLOPE('Raw touched'!$E57:$U57,$E$5:$U$5))+INTERCEPT('Raw touched'!$E57:$U57,$E$5:$U$5)),'Raw touched'!E57)</f>
        <v>78</v>
      </c>
      <c r="F57" s="4">
        <f>IF(ISBLANK('Raw touched'!F57),((F$5*SLOPE('Raw touched'!$E57:$U57,$E$5:$U$5))+INTERCEPT('Raw touched'!$E57:$U57,$E$5:$U$5)),'Raw touched'!F57)</f>
        <v>78.099998470000003</v>
      </c>
      <c r="G57" s="4">
        <f>IF(ISBLANK('Raw touched'!G57),((G$5*SLOPE('Raw touched'!$E57:$U57,$E$5:$U$5))+INTERCEPT('Raw touched'!$E57:$U57,$E$5:$U$5)),'Raw touched'!G57)</f>
        <v>78.099998470000003</v>
      </c>
      <c r="H57" s="4">
        <f>IF(ISBLANK('Raw touched'!H57),((H$5*SLOPE('Raw touched'!$E57:$U57,$E$5:$U$5))+INTERCEPT('Raw touched'!$E57:$U57,$E$5:$U$5)),'Raw touched'!H57)</f>
        <v>78.099998470000003</v>
      </c>
      <c r="I57" s="4">
        <f>IF(ISBLANK('Raw touched'!I57),((I$5*SLOPE('Raw touched'!$E57:$U57,$E$5:$U$5))+INTERCEPT('Raw touched'!$E57:$U57,$E$5:$U$5)),'Raw touched'!I57)</f>
        <v>78.099998470000003</v>
      </c>
      <c r="J57" s="4">
        <f>IF(ISBLANK('Raw touched'!J57),((J$5*SLOPE('Raw touched'!$E57:$U57,$E$5:$U$5))+INTERCEPT('Raw touched'!$E57:$U57,$E$5:$U$5)),'Raw touched'!J57)</f>
        <v>78.099998470000003</v>
      </c>
      <c r="K57" s="4">
        <f>IF(ISBLANK('Raw touched'!K57),((K$5*SLOPE('Raw touched'!$E57:$U57,$E$5:$U$5))+INTERCEPT('Raw touched'!$E57:$U57,$E$5:$U$5)),'Raw touched'!K57)</f>
        <v>80.439905800747056</v>
      </c>
      <c r="L57" s="4">
        <f>IF(ISBLANK('Raw touched'!L57),((L$5*SLOPE('Raw touched'!$E57:$U57,$E$5:$U$5))+INTERCEPT('Raw touched'!$E57:$U57,$E$5:$U$5)),'Raw touched'!L57)</f>
        <v>81.088019805835756</v>
      </c>
      <c r="M57" s="4">
        <f>IF(ISBLANK('Raw touched'!M57),((M$5*SLOPE('Raw touched'!$E57:$U57,$E$5:$U$5))+INTERCEPT('Raw touched'!$E57:$U57,$E$5:$U$5)),'Raw touched'!M57)</f>
        <v>81.736133810924457</v>
      </c>
      <c r="N57" s="4">
        <f>IF(ISBLANK('Raw touched'!N57),((N$5*SLOPE('Raw touched'!$E57:$U57,$E$5:$U$5))+INTERCEPT('Raw touched'!$E57:$U57,$E$5:$U$5)),'Raw touched'!N57)</f>
        <v>81</v>
      </c>
      <c r="O57" s="4">
        <f>IF(ISBLANK('Raw touched'!O57),((O$5*SLOPE('Raw touched'!$E57:$U57,$E$5:$U$5))+INTERCEPT('Raw touched'!$E57:$U57,$E$5:$U$5)),'Raw touched'!O57)</f>
        <v>83.032361821101858</v>
      </c>
      <c r="P57" s="4">
        <f>IF(ISBLANK('Raw touched'!P57),((P$5*SLOPE('Raw touched'!$E57:$U57,$E$5:$U$5))+INTERCEPT('Raw touched'!$E57:$U57,$E$5:$U$5)),'Raw touched'!P57)</f>
        <v>83.680475826190559</v>
      </c>
      <c r="Q57" s="4">
        <f>IF(ISBLANK('Raw touched'!Q57),((Q$5*SLOPE('Raw touched'!$E57:$U57,$E$5:$U$5))+INTERCEPT('Raw touched'!$E57:$U57,$E$5:$U$5)),'Raw touched'!Q57)</f>
        <v>84.32858983127926</v>
      </c>
      <c r="R57" s="4">
        <f>IF(ISBLANK('Raw touched'!R57),((R$5*SLOPE('Raw touched'!$E57:$U57,$E$5:$U$5))+INTERCEPT('Raw touched'!$E57:$U57,$E$5:$U$5)),'Raw touched'!R57)</f>
        <v>86.89</v>
      </c>
      <c r="S57" s="4">
        <f>IF(ISBLANK('Raw touched'!S57),((S$5*SLOPE('Raw touched'!$E57:$U57,$E$5:$U$5))+INTERCEPT('Raw touched'!$E57:$U57,$E$5:$U$5)),'Raw touched'!S57)</f>
        <v>85.624817841456661</v>
      </c>
      <c r="T57" s="4">
        <f>IF(ISBLANK('Raw touched'!T57),((T$5*SLOPE('Raw touched'!$E57:$U57,$E$5:$U$5))+INTERCEPT('Raw touched'!$E57:$U57,$E$5:$U$5)),'Raw touched'!T57)</f>
        <v>86.272931846545362</v>
      </c>
      <c r="U57" s="4">
        <f>IF(ISBLANK('Raw touched'!U57),((U$5*SLOPE('Raw touched'!$E57:$U57,$E$5:$U$5))+INTERCEPT('Raw touched'!$E57:$U57,$E$5:$U$5)),'Raw touched'!U57)</f>
        <v>86.921045851634062</v>
      </c>
    </row>
    <row r="58" spans="3:21" ht="13">
      <c r="C58" s="1" t="s">
        <v>355</v>
      </c>
      <c r="D58" s="1" t="s">
        <v>20</v>
      </c>
      <c r="E58" s="4">
        <f>IF(ISBLANK('Raw touched'!E58),((E$5*SLOPE('Raw touched'!$E58:$U58,$E$5:$U$5))+INTERCEPT('Raw touched'!$E58:$U58,$E$5:$U$5)),'Raw touched'!E58)</f>
        <v>20</v>
      </c>
      <c r="F58" s="4">
        <f>IF(ISBLANK('Raw touched'!F58),((F$5*SLOPE('Raw touched'!$E58:$U58,$E$5:$U$5))+INTERCEPT('Raw touched'!$E58:$U58,$E$5:$U$5)),'Raw touched'!F58)</f>
        <v>19.899999619999999</v>
      </c>
      <c r="G58" s="4">
        <f>IF(ISBLANK('Raw touched'!G58),((G$5*SLOPE('Raw touched'!$E58:$U58,$E$5:$U$5))+INTERCEPT('Raw touched'!$E58:$U58,$E$5:$U$5)),'Raw touched'!G58)</f>
        <v>19.799999239999998</v>
      </c>
      <c r="H58" s="4">
        <f>IF(ISBLANK('Raw touched'!H58),((H$5*SLOPE('Raw touched'!$E58:$U58,$E$5:$U$5))+INTERCEPT('Raw touched'!$E58:$U58,$E$5:$U$5)),'Raw touched'!H58)</f>
        <v>19.799999239999998</v>
      </c>
      <c r="I58" s="4">
        <f>IF(ISBLANK('Raw touched'!I58),((I$5*SLOPE('Raw touched'!$E58:$U58,$E$5:$U$5))+INTERCEPT('Raw touched'!$E58:$U58,$E$5:$U$5)),'Raw touched'!I58)</f>
        <v>19.799999239999998</v>
      </c>
      <c r="J58" s="4">
        <f>IF(ISBLANK('Raw touched'!J58),((J$5*SLOPE('Raw touched'!$E58:$U58,$E$5:$U$5))+INTERCEPT('Raw touched'!$E58:$U58,$E$5:$U$5)),'Raw touched'!J58)</f>
        <v>19.799999239999998</v>
      </c>
      <c r="K58" s="4">
        <f>IF(ISBLANK('Raw touched'!K58),((K$5*SLOPE('Raw touched'!$E58:$U58,$E$5:$U$5))+INTERCEPT('Raw touched'!$E58:$U58,$E$5:$U$5)),'Raw touched'!K58)</f>
        <v>19.799999239999998</v>
      </c>
      <c r="L58" s="4">
        <f>IF(ISBLANK('Raw touched'!L58),((L$5*SLOPE('Raw touched'!$E58:$U58,$E$5:$U$5))+INTERCEPT('Raw touched'!$E58:$U58,$E$5:$U$5)),'Raw touched'!L58)</f>
        <v>19.72857039714286</v>
      </c>
      <c r="M58" s="4">
        <f>IF(ISBLANK('Raw touched'!M58),((M$5*SLOPE('Raw touched'!$E58:$U58,$E$5:$U$5))+INTERCEPT('Raw touched'!$E58:$U58,$E$5:$U$5)),'Raw touched'!M58)</f>
        <v>19.699998860000001</v>
      </c>
      <c r="N58" s="4">
        <f>IF(ISBLANK('Raw touched'!N58),((N$5*SLOPE('Raw touched'!$E58:$U58,$E$5:$U$5))+INTERCEPT('Raw touched'!$E58:$U58,$E$5:$U$5)),'Raw touched'!N58)</f>
        <v>19.671427322857141</v>
      </c>
      <c r="O58" s="4">
        <f>IF(ISBLANK('Raw touched'!O58),((O$5*SLOPE('Raw touched'!$E58:$U58,$E$5:$U$5))+INTERCEPT('Raw touched'!$E58:$U58,$E$5:$U$5)),'Raw touched'!O58)</f>
        <v>19.642855785714289</v>
      </c>
      <c r="P58" s="4">
        <f>IF(ISBLANK('Raw touched'!P58),((P$5*SLOPE('Raw touched'!$E58:$U58,$E$5:$U$5))+INTERCEPT('Raw touched'!$E58:$U58,$E$5:$U$5)),'Raw touched'!P58)</f>
        <v>19.61428424857143</v>
      </c>
      <c r="Q58" s="4">
        <f>IF(ISBLANK('Raw touched'!Q58),((Q$5*SLOPE('Raw touched'!$E58:$U58,$E$5:$U$5))+INTERCEPT('Raw touched'!$E58:$U58,$E$5:$U$5)),'Raw touched'!Q58)</f>
        <v>19.58571271142857</v>
      </c>
      <c r="R58" s="4">
        <f>IF(ISBLANK('Raw touched'!R58),((R$5*SLOPE('Raw touched'!$E58:$U58,$E$5:$U$5))+INTERCEPT('Raw touched'!$E58:$U58,$E$5:$U$5)),'Raw touched'!R58)</f>
        <v>19.557141174285718</v>
      </c>
      <c r="S58" s="4">
        <f>IF(ISBLANK('Raw touched'!S58),((S$5*SLOPE('Raw touched'!$E58:$U58,$E$5:$U$5))+INTERCEPT('Raw touched'!$E58:$U58,$E$5:$U$5)),'Raw touched'!S58)</f>
        <v>19.528569637142859</v>
      </c>
      <c r="T58" s="4">
        <f>IF(ISBLANK('Raw touched'!T58),((T$5*SLOPE('Raw touched'!$E58:$U58,$E$5:$U$5))+INTERCEPT('Raw touched'!$E58:$U58,$E$5:$U$5)),'Raw touched'!T58)</f>
        <v>19.499998099999999</v>
      </c>
      <c r="U58" s="4">
        <f>IF(ISBLANK('Raw touched'!U58),((U$5*SLOPE('Raw touched'!$E58:$U58,$E$5:$U$5))+INTERCEPT('Raw touched'!$E58:$U58,$E$5:$U$5)),'Raw touched'!U58)</f>
        <v>19.47142656285714</v>
      </c>
    </row>
    <row r="59" spans="3:21" ht="13">
      <c r="C59" s="1" t="s">
        <v>306</v>
      </c>
      <c r="D59" s="1" t="s">
        <v>44</v>
      </c>
      <c r="E59" s="4" t="e">
        <f>IF(ISBLANK('Raw touched'!E59),((E$5*SLOPE('Raw touched'!$E59:$U59,$E$5:$U$5))+INTERCEPT('Raw touched'!$E59:$U59,$E$5:$U$5)),'Raw touched'!E59)</f>
        <v>#DIV/0!</v>
      </c>
      <c r="F59" s="4" t="e">
        <f>IF(ISBLANK('Raw touched'!F59),((F$5*SLOPE('Raw touched'!$E59:$U59,$E$5:$U$5))+INTERCEPT('Raw touched'!$E59:$U59,$E$5:$U$5)),'Raw touched'!F59)</f>
        <v>#DIV/0!</v>
      </c>
      <c r="G59" s="4" t="e">
        <f>IF(ISBLANK('Raw touched'!G59),((G$5*SLOPE('Raw touched'!$E59:$U59,$E$5:$U$5))+INTERCEPT('Raw touched'!$E59:$U59,$E$5:$U$5)),'Raw touched'!G59)</f>
        <v>#DIV/0!</v>
      </c>
      <c r="H59" s="4" t="e">
        <f>IF(ISBLANK('Raw touched'!H59),((H$5*SLOPE('Raw touched'!$E59:$U59,$E$5:$U$5))+INTERCEPT('Raw touched'!$E59:$U59,$E$5:$U$5)),'Raw touched'!H59)</f>
        <v>#DIV/0!</v>
      </c>
      <c r="I59" s="4" t="e">
        <f>IF(ISBLANK('Raw touched'!I59),((I$5*SLOPE('Raw touched'!$E59:$U59,$E$5:$U$5))+INTERCEPT('Raw touched'!$E59:$U59,$E$5:$U$5)),'Raw touched'!I59)</f>
        <v>#DIV/0!</v>
      </c>
      <c r="J59" s="4" t="e">
        <f>IF(ISBLANK('Raw touched'!J59),((J$5*SLOPE('Raw touched'!$E59:$U59,$E$5:$U$5))+INTERCEPT('Raw touched'!$E59:$U59,$E$5:$U$5)),'Raw touched'!J59)</f>
        <v>#DIV/0!</v>
      </c>
      <c r="K59" s="4" t="e">
        <f>IF(ISBLANK('Raw touched'!K59),((K$5*SLOPE('Raw touched'!$E59:$U59,$E$5:$U$5))+INTERCEPT('Raw touched'!$E59:$U59,$E$5:$U$5)),'Raw touched'!K59)</f>
        <v>#DIV/0!</v>
      </c>
      <c r="L59" s="4" t="e">
        <f>IF(ISBLANK('Raw touched'!L59),((L$5*SLOPE('Raw touched'!$E59:$U59,$E$5:$U$5))+INTERCEPT('Raw touched'!$E59:$U59,$E$5:$U$5)),'Raw touched'!L59)</f>
        <v>#DIV/0!</v>
      </c>
      <c r="M59" s="4" t="e">
        <f>IF(ISBLANK('Raw touched'!M59),((M$5*SLOPE('Raw touched'!$E59:$U59,$E$5:$U$5))+INTERCEPT('Raw touched'!$E59:$U59,$E$5:$U$5)),'Raw touched'!M59)</f>
        <v>#DIV/0!</v>
      </c>
      <c r="N59" s="4" t="e">
        <f>IF(ISBLANK('Raw touched'!N59),((N$5*SLOPE('Raw touched'!$E59:$U59,$E$5:$U$5))+INTERCEPT('Raw touched'!$E59:$U59,$E$5:$U$5)),'Raw touched'!N59)</f>
        <v>#DIV/0!</v>
      </c>
      <c r="O59" s="4" t="e">
        <f>IF(ISBLANK('Raw touched'!O59),((O$5*SLOPE('Raw touched'!$E59:$U59,$E$5:$U$5))+INTERCEPT('Raw touched'!$E59:$U59,$E$5:$U$5)),'Raw touched'!O59)</f>
        <v>#DIV/0!</v>
      </c>
      <c r="P59" s="4" t="e">
        <f>IF(ISBLANK('Raw touched'!P59),((P$5*SLOPE('Raw touched'!$E59:$U59,$E$5:$U$5))+INTERCEPT('Raw touched'!$E59:$U59,$E$5:$U$5)),'Raw touched'!P59)</f>
        <v>#DIV/0!</v>
      </c>
      <c r="Q59" s="4" t="e">
        <f>IF(ISBLANK('Raw touched'!Q59),((Q$5*SLOPE('Raw touched'!$E59:$U59,$E$5:$U$5))+INTERCEPT('Raw touched'!$E59:$U59,$E$5:$U$5)),'Raw touched'!Q59)</f>
        <v>#DIV/0!</v>
      </c>
      <c r="R59" s="4" t="e">
        <f>IF(ISBLANK('Raw touched'!R59),((R$5*SLOPE('Raw touched'!$E59:$U59,$E$5:$U$5))+INTERCEPT('Raw touched'!$E59:$U59,$E$5:$U$5)),'Raw touched'!R59)</f>
        <v>#DIV/0!</v>
      </c>
      <c r="S59" s="4" t="e">
        <f>IF(ISBLANK('Raw touched'!S59),((S$5*SLOPE('Raw touched'!$E59:$U59,$E$5:$U$5))+INTERCEPT('Raw touched'!$E59:$U59,$E$5:$U$5)),'Raw touched'!S59)</f>
        <v>#DIV/0!</v>
      </c>
      <c r="T59" s="4" t="e">
        <f>IF(ISBLANK('Raw touched'!T59),((T$5*SLOPE('Raw touched'!$E59:$U59,$E$5:$U$5))+INTERCEPT('Raw touched'!$E59:$U59,$E$5:$U$5)),'Raw touched'!T59)</f>
        <v>#DIV/0!</v>
      </c>
      <c r="U59" s="4" t="e">
        <f>IF(ISBLANK('Raw touched'!U59),((U$5*SLOPE('Raw touched'!$E59:$U59,$E$5:$U$5))+INTERCEPT('Raw touched'!$E59:$U59,$E$5:$U$5)),'Raw touched'!U59)</f>
        <v>#DIV/0!</v>
      </c>
    </row>
    <row r="60" spans="3:21" ht="13">
      <c r="C60" s="1" t="s">
        <v>387</v>
      </c>
      <c r="D60" s="1" t="s">
        <v>136</v>
      </c>
      <c r="E60" s="4">
        <f>IF(ISBLANK('Raw touched'!E60),((E$5*SLOPE('Raw touched'!$E60:$U60,$E$5:$U$5))+INTERCEPT('Raw touched'!$E60:$U60,$E$5:$U$5)),'Raw touched'!E60)</f>
        <v>21.399999619999999</v>
      </c>
      <c r="F60" s="4">
        <f>IF(ISBLANK('Raw touched'!F60),((F$5*SLOPE('Raw touched'!$E60:$U60,$E$5:$U$5))+INTERCEPT('Raw touched'!$E60:$U60,$E$5:$U$5)),'Raw touched'!F60)</f>
        <v>21.799999239999998</v>
      </c>
      <c r="G60" s="4">
        <f>IF(ISBLANK('Raw touched'!G60),((G$5*SLOPE('Raw touched'!$E60:$U60,$E$5:$U$5))+INTERCEPT('Raw touched'!$E60:$U60,$E$5:$U$5)),'Raw touched'!G60)</f>
        <v>21.799999239999998</v>
      </c>
      <c r="H60" s="4">
        <f>IF(ISBLANK('Raw touched'!H60),((H$5*SLOPE('Raw touched'!$E60:$U60,$E$5:$U$5))+INTERCEPT('Raw touched'!$E60:$U60,$E$5:$U$5)),'Raw touched'!H60)</f>
        <v>21.799999239999998</v>
      </c>
      <c r="I60" s="4">
        <f>IF(ISBLANK('Raw touched'!I60),((I$5*SLOPE('Raw touched'!$E60:$U60,$E$5:$U$5))+INTERCEPT('Raw touched'!$E60:$U60,$E$5:$U$5)),'Raw touched'!I60)</f>
        <v>21.799999239999998</v>
      </c>
      <c r="J60" s="4">
        <f>IF(ISBLANK('Raw touched'!J60),((J$5*SLOPE('Raw touched'!$E60:$U60,$E$5:$U$5))+INTERCEPT('Raw touched'!$E60:$U60,$E$5:$U$5)),'Raw touched'!J60)</f>
        <v>21.799999239999998</v>
      </c>
      <c r="K60" s="4">
        <f>IF(ISBLANK('Raw touched'!K60),((K$5*SLOPE('Raw touched'!$E60:$U60,$E$5:$U$5))+INTERCEPT('Raw touched'!$E60:$U60,$E$5:$U$5)),'Raw touched'!K60)</f>
        <v>21.799999239999998</v>
      </c>
      <c r="L60" s="4">
        <f>IF(ISBLANK('Raw touched'!L60),((L$5*SLOPE('Raw touched'!$E60:$U60,$E$5:$U$5))+INTERCEPT('Raw touched'!$E60:$U60,$E$5:$U$5)),'Raw touched'!L60)</f>
        <v>21.914284845714292</v>
      </c>
      <c r="M60" s="4">
        <f>IF(ISBLANK('Raw touched'!M60),((M$5*SLOPE('Raw touched'!$E60:$U60,$E$5:$U$5))+INTERCEPT('Raw touched'!$E60:$U60,$E$5:$U$5)),'Raw touched'!M60)</f>
        <v>21.957141947857139</v>
      </c>
      <c r="N60" s="4">
        <f>IF(ISBLANK('Raw touched'!N60),((N$5*SLOPE('Raw touched'!$E60:$U60,$E$5:$U$5))+INTERCEPT('Raw touched'!$E60:$U60,$E$5:$U$5)),'Raw touched'!N60)</f>
        <v>21.99999905</v>
      </c>
      <c r="O60" s="4">
        <f>IF(ISBLANK('Raw touched'!O60),((O$5*SLOPE('Raw touched'!$E60:$U60,$E$5:$U$5))+INTERCEPT('Raw touched'!$E60:$U60,$E$5:$U$5)),'Raw touched'!O60)</f>
        <v>22.042856152142861</v>
      </c>
      <c r="P60" s="4">
        <f>IF(ISBLANK('Raw touched'!P60),((P$5*SLOPE('Raw touched'!$E60:$U60,$E$5:$U$5))+INTERCEPT('Raw touched'!$E60:$U60,$E$5:$U$5)),'Raw touched'!P60)</f>
        <v>22.085713254285722</v>
      </c>
      <c r="Q60" s="4">
        <f>IF(ISBLANK('Raw touched'!Q60),((Q$5*SLOPE('Raw touched'!$E60:$U60,$E$5:$U$5))+INTERCEPT('Raw touched'!$E60:$U60,$E$5:$U$5)),'Raw touched'!Q60)</f>
        <v>22.128570356428568</v>
      </c>
      <c r="R60" s="4">
        <f>IF(ISBLANK('Raw touched'!R60),((R$5*SLOPE('Raw touched'!$E60:$U60,$E$5:$U$5))+INTERCEPT('Raw touched'!$E60:$U60,$E$5:$U$5)),'Raw touched'!R60)</f>
        <v>22.171427458571429</v>
      </c>
      <c r="S60" s="4">
        <f>IF(ISBLANK('Raw touched'!S60),((S$5*SLOPE('Raw touched'!$E60:$U60,$E$5:$U$5))+INTERCEPT('Raw touched'!$E60:$U60,$E$5:$U$5)),'Raw touched'!S60)</f>
        <v>22.21428456071429</v>
      </c>
      <c r="T60" s="4">
        <f>IF(ISBLANK('Raw touched'!T60),((T$5*SLOPE('Raw touched'!$E60:$U60,$E$5:$U$5))+INTERCEPT('Raw touched'!$E60:$U60,$E$5:$U$5)),'Raw touched'!T60)</f>
        <v>22.257141662857151</v>
      </c>
      <c r="U60" s="4">
        <f>IF(ISBLANK('Raw touched'!U60),((U$5*SLOPE('Raw touched'!$E60:$U60,$E$5:$U$5))+INTERCEPT('Raw touched'!$E60:$U60,$E$5:$U$5)),'Raw touched'!U60)</f>
        <v>22.299998764999998</v>
      </c>
    </row>
    <row r="61" spans="3:21" ht="13">
      <c r="C61" s="1" t="s">
        <v>368</v>
      </c>
      <c r="D61" s="1" t="s">
        <v>247</v>
      </c>
      <c r="E61" s="4">
        <f>IF(ISBLANK('Raw touched'!E61),((E$5*SLOPE('Raw touched'!$E61:$U61,$E$5:$U$5))+INTERCEPT('Raw touched'!$E61:$U61,$E$5:$U$5)),'Raw touched'!E61)</f>
        <v>54</v>
      </c>
      <c r="F61" s="4">
        <f>IF(ISBLANK('Raw touched'!F61),((F$5*SLOPE('Raw touched'!$E61:$U61,$E$5:$U$5))+INTERCEPT('Raw touched'!$E61:$U61,$E$5:$U$5)),'Raw touched'!F61)</f>
        <v>53.200000760000002</v>
      </c>
      <c r="G61" s="4">
        <f>IF(ISBLANK('Raw touched'!G61),((G$5*SLOPE('Raw touched'!$E61:$U61,$E$5:$U$5))+INTERCEPT('Raw touched'!$E61:$U61,$E$5:$U$5)),'Raw touched'!G61)</f>
        <v>50.799999239999998</v>
      </c>
      <c r="H61" s="4">
        <f>IF(ISBLANK('Raw touched'!H61),((H$5*SLOPE('Raw touched'!$E61:$U61,$E$5:$U$5))+INTERCEPT('Raw touched'!$E61:$U61,$E$5:$U$5)),'Raw touched'!H61)</f>
        <v>22.100000380000001</v>
      </c>
      <c r="I61" s="4">
        <f>IF(ISBLANK('Raw touched'!I61),((I$5*SLOPE('Raw touched'!$E61:$U61,$E$5:$U$5))+INTERCEPT('Raw touched'!$E61:$U61,$E$5:$U$5)),'Raw touched'!I61)</f>
        <v>21.299999239999998</v>
      </c>
      <c r="J61" s="4">
        <f>IF(ISBLANK('Raw touched'!J61),((J$5*SLOPE('Raw touched'!$E61:$U61,$E$5:$U$5))+INTERCEPT('Raw touched'!$E61:$U61,$E$5:$U$5)),'Raw touched'!J61)</f>
        <v>20.100000380000001</v>
      </c>
      <c r="K61" s="4">
        <f>IF(ISBLANK('Raw touched'!K61),((K$5*SLOPE('Raw touched'!$E61:$U61,$E$5:$U$5))+INTERCEPT('Raw touched'!$E61:$U61,$E$5:$U$5)),'Raw touched'!K61)</f>
        <v>19.700000760000002</v>
      </c>
      <c r="L61" s="4">
        <f>IF(ISBLANK('Raw touched'!L61),((L$5*SLOPE('Raw touched'!$E61:$U61,$E$5:$U$5))+INTERCEPT('Raw touched'!$E61:$U61,$E$5:$U$5)),'Raw touched'!L61)</f>
        <v>24.799999239999998</v>
      </c>
      <c r="M61" s="4">
        <f>IF(ISBLANK('Raw touched'!M61),((M$5*SLOPE('Raw touched'!$E61:$U61,$E$5:$U$5))+INTERCEPT('Raw touched'!$E61:$U61,$E$5:$U$5)),'Raw touched'!M61)</f>
        <v>23.399999619999999</v>
      </c>
      <c r="N61" s="4">
        <f>IF(ISBLANK('Raw touched'!N61),((N$5*SLOPE('Raw touched'!$E61:$U61,$E$5:$U$5))+INTERCEPT('Raw touched'!$E61:$U61,$E$5:$U$5)),'Raw touched'!N61)</f>
        <v>22.13999939</v>
      </c>
      <c r="O61" s="4">
        <f>IF(ISBLANK('Raw touched'!O61),((O$5*SLOPE('Raw touched'!$E61:$U61,$E$5:$U$5))+INTERCEPT('Raw touched'!$E61:$U61,$E$5:$U$5)),'Raw touched'!O61)</f>
        <v>22.670000080000001</v>
      </c>
      <c r="P61" s="4">
        <f>IF(ISBLANK('Raw touched'!P61),((P$5*SLOPE('Raw touched'!$E61:$U61,$E$5:$U$5))+INTERCEPT('Raw touched'!$E61:$U61,$E$5:$U$5)),'Raw touched'!P61)</f>
        <v>21.152516590627783</v>
      </c>
      <c r="Q61" s="4">
        <f>IF(ISBLANK('Raw touched'!Q61),((Q$5*SLOPE('Raw touched'!$E61:$U61,$E$5:$U$5))+INTERCEPT('Raw touched'!$E61:$U61,$E$5:$U$5)),'Raw touched'!Q61)</f>
        <v>28.602449409999998</v>
      </c>
      <c r="R61" s="4">
        <f>IF(ISBLANK('Raw touched'!R61),((R$5*SLOPE('Raw touched'!$E61:$U61,$E$5:$U$5))+INTERCEPT('Raw touched'!$E61:$U61,$E$5:$U$5)),'Raw touched'!R61)</f>
        <v>28.774511489999998</v>
      </c>
      <c r="S61" s="4">
        <f>IF(ISBLANK('Raw touched'!S61),((S$5*SLOPE('Raw touched'!$E61:$U61,$E$5:$U$5))+INTERCEPT('Raw touched'!$E61:$U61,$E$5:$U$5)),'Raw touched'!S61)</f>
        <v>15.599933528159909</v>
      </c>
      <c r="T61" s="4">
        <f>IF(ISBLANK('Raw touched'!T61),((T$5*SLOPE('Raw touched'!$E61:$U61,$E$5:$U$5))+INTERCEPT('Raw touched'!$E61:$U61,$E$5:$U$5)),'Raw touched'!T61)</f>
        <v>13.749072507337132</v>
      </c>
      <c r="U61" s="4">
        <f>IF(ISBLANK('Raw touched'!U61),((U$5*SLOPE('Raw touched'!$E61:$U61,$E$5:$U$5))+INTERCEPT('Raw touched'!$E61:$U61,$E$5:$U$5)),'Raw touched'!U61)</f>
        <v>11.898211486514356</v>
      </c>
    </row>
    <row r="62" spans="3:21" ht="13">
      <c r="C62" s="1" t="s">
        <v>359</v>
      </c>
      <c r="D62" s="1" t="s">
        <v>383</v>
      </c>
      <c r="E62" s="4">
        <f>IF(ISBLANK('Raw touched'!E62),((E$5*SLOPE('Raw touched'!$E62:$U62,$E$5:$U$5))+INTERCEPT('Raw touched'!$E62:$U62,$E$5:$U$5)),'Raw touched'!E62)</f>
        <v>15.5</v>
      </c>
      <c r="F62" s="4">
        <f>IF(ISBLANK('Raw touched'!F62),((F$5*SLOPE('Raw touched'!$E62:$U62,$E$5:$U$5))+INTERCEPT('Raw touched'!$E62:$U62,$E$5:$U$5)),'Raw touched'!F62)</f>
        <v>15.30000019</v>
      </c>
      <c r="G62" s="4">
        <f>IF(ISBLANK('Raw touched'!G62),((G$5*SLOPE('Raw touched'!$E62:$U62,$E$5:$U$5))+INTERCEPT('Raw touched'!$E62:$U62,$E$5:$U$5)),'Raw touched'!G62)</f>
        <v>15.30000019</v>
      </c>
      <c r="H62" s="4">
        <f>IF(ISBLANK('Raw touched'!H62),((H$5*SLOPE('Raw touched'!$E62:$U62,$E$5:$U$5))+INTERCEPT('Raw touched'!$E62:$U62,$E$5:$U$5)),'Raw touched'!H62)</f>
        <v>14</v>
      </c>
      <c r="I62" s="4">
        <f>IF(ISBLANK('Raw touched'!I62),((I$5*SLOPE('Raw touched'!$E62:$U62,$E$5:$U$5))+INTERCEPT('Raw touched'!$E62:$U62,$E$5:$U$5)),'Raw touched'!I62)</f>
        <v>13.30000019</v>
      </c>
      <c r="J62" s="4">
        <f>IF(ISBLANK('Raw touched'!J62),((J$5*SLOPE('Raw touched'!$E62:$U62,$E$5:$U$5))+INTERCEPT('Raw touched'!$E62:$U62,$E$5:$U$5)),'Raw touched'!J62)</f>
        <v>12</v>
      </c>
      <c r="K62" s="4">
        <f>IF(ISBLANK('Raw touched'!K62),((K$5*SLOPE('Raw touched'!$E62:$U62,$E$5:$U$5))+INTERCEPT('Raw touched'!$E62:$U62,$E$5:$U$5)),'Raw touched'!K62)</f>
        <v>12</v>
      </c>
      <c r="L62" s="4">
        <f>IF(ISBLANK('Raw touched'!L62),((L$5*SLOPE('Raw touched'!$E62:$U62,$E$5:$U$5))+INTERCEPT('Raw touched'!$E62:$U62,$E$5:$U$5)),'Raw touched'!L62)</f>
        <v>12</v>
      </c>
      <c r="M62" s="4">
        <f>IF(ISBLANK('Raw touched'!M62),((M$5*SLOPE('Raw touched'!$E62:$U62,$E$5:$U$5))+INTERCEPT('Raw touched'!$E62:$U62,$E$5:$U$5)),'Raw touched'!M62)</f>
        <v>12.899999619999999</v>
      </c>
      <c r="N62" s="4">
        <f>IF(ISBLANK('Raw touched'!N62),((N$5*SLOPE('Raw touched'!$E62:$U62,$E$5:$U$5))+INTERCEPT('Raw touched'!$E62:$U62,$E$5:$U$5)),'Raw touched'!N62)</f>
        <v>19.13999939</v>
      </c>
      <c r="O62" s="4">
        <f>IF(ISBLANK('Raw touched'!O62),((O$5*SLOPE('Raw touched'!$E62:$U62,$E$5:$U$5))+INTERCEPT('Raw touched'!$E62:$U62,$E$5:$U$5)),'Raw touched'!O62)</f>
        <v>11.047911259999999</v>
      </c>
      <c r="P62" s="4">
        <f>IF(ISBLANK('Raw touched'!P62),((P$5*SLOPE('Raw touched'!$E62:$U62,$E$5:$U$5))+INTERCEPT('Raw touched'!$E62:$U62,$E$5:$U$5)),'Raw touched'!P62)</f>
        <v>11.63154756</v>
      </c>
      <c r="Q62" s="4">
        <f>IF(ISBLANK('Raw touched'!Q62),((Q$5*SLOPE('Raw touched'!$E62:$U62,$E$5:$U$5))+INTERCEPT('Raw touched'!$E62:$U62,$E$5:$U$5)),'Raw touched'!Q62)</f>
        <v>13.674789779999999</v>
      </c>
      <c r="R62" s="4">
        <f>IF(ISBLANK('Raw touched'!R62),((R$5*SLOPE('Raw touched'!$E62:$U62,$E$5:$U$5))+INTERCEPT('Raw touched'!$E62:$U62,$E$5:$U$5)),'Raw touched'!R62)</f>
        <v>12.457946661538415</v>
      </c>
      <c r="S62" s="4">
        <f>IF(ISBLANK('Raw touched'!S62),((S$5*SLOPE('Raw touched'!$E62:$U62,$E$5:$U$5))+INTERCEPT('Raw touched'!$E62:$U62,$E$5:$U$5)),'Raw touched'!S62)</f>
        <v>12.28387038043951</v>
      </c>
      <c r="T62" s="4">
        <f>IF(ISBLANK('Raw touched'!T62),((T$5*SLOPE('Raw touched'!$E62:$U62,$E$5:$U$5))+INTERCEPT('Raw touched'!$E62:$U62,$E$5:$U$5)),'Raw touched'!T62)</f>
        <v>12.109794099340604</v>
      </c>
      <c r="U62" s="4">
        <f>IF(ISBLANK('Raw touched'!U62),((U$5*SLOPE('Raw touched'!$E62:$U62,$E$5:$U$5))+INTERCEPT('Raw touched'!$E62:$U62,$E$5:$U$5)),'Raw touched'!U62)</f>
        <v>11.935717818241699</v>
      </c>
    </row>
    <row r="63" spans="3:21" ht="13">
      <c r="C63" s="1" t="s">
        <v>305</v>
      </c>
      <c r="D63" s="1" t="s">
        <v>288</v>
      </c>
      <c r="E63" s="4">
        <f>IF(ISBLANK('Raw touched'!E63),((E$5*SLOPE('Raw touched'!$E63:$U63,$E$5:$U$5))+INTERCEPT('Raw touched'!$E63:$U63,$E$5:$U$5)),'Raw touched'!E63)</f>
        <v>49.099998470000003</v>
      </c>
      <c r="F63" s="4">
        <f>IF(ISBLANK('Raw touched'!F63),((F$5*SLOPE('Raw touched'!$E63:$U63,$E$5:$U$5))+INTERCEPT('Raw touched'!$E63:$U63,$E$5:$U$5)),'Raw touched'!F63)</f>
        <v>49.200000760000002</v>
      </c>
      <c r="G63" s="4">
        <f>IF(ISBLANK('Raw touched'!G63),((G$5*SLOPE('Raw touched'!$E63:$U63,$E$5:$U$5))+INTERCEPT('Raw touched'!$E63:$U63,$E$5:$U$5)),'Raw touched'!G63)</f>
        <v>49.200000760000002</v>
      </c>
      <c r="H63" s="4">
        <f>IF(ISBLANK('Raw touched'!H63),((H$5*SLOPE('Raw touched'!$E63:$U63,$E$5:$U$5))+INTERCEPT('Raw touched'!$E63:$U63,$E$5:$U$5)),'Raw touched'!H63)</f>
        <v>49.200000760000002</v>
      </c>
      <c r="I63" s="4">
        <f>IF(ISBLANK('Raw touched'!I63),((I$5*SLOPE('Raw touched'!$E63:$U63,$E$5:$U$5))+INTERCEPT('Raw touched'!$E63:$U63,$E$5:$U$5)),'Raw touched'!I63)</f>
        <v>49.200000760000002</v>
      </c>
      <c r="J63" s="4">
        <f>IF(ISBLANK('Raw touched'!J63),((J$5*SLOPE('Raw touched'!$E63:$U63,$E$5:$U$5))+INTERCEPT('Raw touched'!$E63:$U63,$E$5:$U$5)),'Raw touched'!J63)</f>
        <v>49.200000760000002</v>
      </c>
      <c r="K63" s="4">
        <f>IF(ISBLANK('Raw touched'!K63),((K$5*SLOPE('Raw touched'!$E63:$U63,$E$5:$U$5))+INTERCEPT('Raw touched'!$E63:$U63,$E$5:$U$5)),'Raw touched'!K63)</f>
        <v>49.200000760000002</v>
      </c>
      <c r="L63" s="4">
        <f>IF(ISBLANK('Raw touched'!L63),((L$5*SLOPE('Raw touched'!$E63:$U63,$E$5:$U$5))+INTERCEPT('Raw touched'!$E63:$U63,$E$5:$U$5)),'Raw touched'!L63)</f>
        <v>49.228572842857147</v>
      </c>
      <c r="M63" s="4">
        <f>IF(ISBLANK('Raw touched'!M63),((M$5*SLOPE('Raw touched'!$E63:$U63,$E$5:$U$5))+INTERCEPT('Raw touched'!$E63:$U63,$E$5:$U$5)),'Raw touched'!M63)</f>
        <v>49.239287373928576</v>
      </c>
      <c r="N63" s="4">
        <f>IF(ISBLANK('Raw touched'!N63),((N$5*SLOPE('Raw touched'!$E63:$U63,$E$5:$U$5))+INTERCEPT('Raw touched'!$E63:$U63,$E$5:$U$5)),'Raw touched'!N63)</f>
        <v>49.250001905000005</v>
      </c>
      <c r="O63" s="4">
        <f>IF(ISBLANK('Raw touched'!O63),((O$5*SLOPE('Raw touched'!$E63:$U63,$E$5:$U$5))+INTERCEPT('Raw touched'!$E63:$U63,$E$5:$U$5)),'Raw touched'!O63)</f>
        <v>49.260716436071434</v>
      </c>
      <c r="P63" s="4">
        <f>IF(ISBLANK('Raw touched'!P63),((P$5*SLOPE('Raw touched'!$E63:$U63,$E$5:$U$5))+INTERCEPT('Raw touched'!$E63:$U63,$E$5:$U$5)),'Raw touched'!P63)</f>
        <v>49.271430967142862</v>
      </c>
      <c r="Q63" s="4">
        <f>IF(ISBLANK('Raw touched'!Q63),((Q$5*SLOPE('Raw touched'!$E63:$U63,$E$5:$U$5))+INTERCEPT('Raw touched'!$E63:$U63,$E$5:$U$5)),'Raw touched'!Q63)</f>
        <v>49.282145498214291</v>
      </c>
      <c r="R63" s="4">
        <f>IF(ISBLANK('Raw touched'!R63),((R$5*SLOPE('Raw touched'!$E63:$U63,$E$5:$U$5))+INTERCEPT('Raw touched'!$E63:$U63,$E$5:$U$5)),'Raw touched'!R63)</f>
        <v>49.29286002928572</v>
      </c>
      <c r="S63" s="4">
        <f>IF(ISBLANK('Raw touched'!S63),((S$5*SLOPE('Raw touched'!$E63:$U63,$E$5:$U$5))+INTERCEPT('Raw touched'!$E63:$U63,$E$5:$U$5)),'Raw touched'!S63)</f>
        <v>49.303574560357148</v>
      </c>
      <c r="T63" s="4">
        <f>IF(ISBLANK('Raw touched'!T63),((T$5*SLOPE('Raw touched'!$E63:$U63,$E$5:$U$5))+INTERCEPT('Raw touched'!$E63:$U63,$E$5:$U$5)),'Raw touched'!T63)</f>
        <v>49.314289091428577</v>
      </c>
      <c r="U63" s="4">
        <f>IF(ISBLANK('Raw touched'!U63),((U$5*SLOPE('Raw touched'!$E63:$U63,$E$5:$U$5))+INTERCEPT('Raw touched'!$E63:$U63,$E$5:$U$5)),'Raw touched'!U63)</f>
        <v>49.325003622500006</v>
      </c>
    </row>
    <row r="64" spans="3:21" ht="13">
      <c r="C64" s="1" t="s">
        <v>81</v>
      </c>
      <c r="D64" s="1" t="s">
        <v>388</v>
      </c>
      <c r="E64" s="4">
        <f>IF(ISBLANK('Raw touched'!E64),((E$5*SLOPE('Raw touched'!$E64:$U64,$E$5:$U$5))+INTERCEPT('Raw touched'!$E64:$U64,$E$5:$U$5)),'Raw touched'!E64)</f>
        <v>63</v>
      </c>
      <c r="F64" s="4">
        <f>IF(ISBLANK('Raw touched'!F64),((F$5*SLOPE('Raw touched'!$E64:$U64,$E$5:$U$5))+INTERCEPT('Raw touched'!$E64:$U64,$E$5:$U$5)),'Raw touched'!F64)</f>
        <v>64</v>
      </c>
      <c r="G64" s="4">
        <f>IF(ISBLANK('Raw touched'!G64),((G$5*SLOPE('Raw touched'!$E64:$U64,$E$5:$U$5))+INTERCEPT('Raw touched'!$E64:$U64,$E$5:$U$5)),'Raw touched'!G64)</f>
        <v>64</v>
      </c>
      <c r="H64" s="4">
        <f>IF(ISBLANK('Raw touched'!H64),((H$5*SLOPE('Raw touched'!$E64:$U64,$E$5:$U$5))+INTERCEPT('Raw touched'!$E64:$U64,$E$5:$U$5)),'Raw touched'!H64)</f>
        <v>64</v>
      </c>
      <c r="I64" s="4">
        <f>IF(ISBLANK('Raw touched'!I64),((I$5*SLOPE('Raw touched'!$E64:$U64,$E$5:$U$5))+INTERCEPT('Raw touched'!$E64:$U64,$E$5:$U$5)),'Raw touched'!I64)</f>
        <v>64.5</v>
      </c>
      <c r="J64" s="4">
        <f>IF(ISBLANK('Raw touched'!J64),((J$5*SLOPE('Raw touched'!$E64:$U64,$E$5:$U$5))+INTERCEPT('Raw touched'!$E64:$U64,$E$5:$U$5)),'Raw touched'!J64)</f>
        <v>62</v>
      </c>
      <c r="K64" s="4">
        <f>IF(ISBLANK('Raw touched'!K64),((K$5*SLOPE('Raw touched'!$E64:$U64,$E$5:$U$5))+INTERCEPT('Raw touched'!$E64:$U64,$E$5:$U$5)),'Raw touched'!K64)</f>
        <v>64</v>
      </c>
      <c r="L64" s="4">
        <f>IF(ISBLANK('Raw touched'!L64),((L$5*SLOPE('Raw touched'!$E64:$U64,$E$5:$U$5))+INTERCEPT('Raw touched'!$E64:$U64,$E$5:$U$5)),'Raw touched'!L64)</f>
        <v>64</v>
      </c>
      <c r="M64" s="4">
        <f>IF(ISBLANK('Raw touched'!M64),((M$5*SLOPE('Raw touched'!$E64:$U64,$E$5:$U$5))+INTERCEPT('Raw touched'!$E64:$U64,$E$5:$U$5)),'Raw touched'!M64)</f>
        <v>64.599998470000003</v>
      </c>
      <c r="N64" s="4">
        <f>IF(ISBLANK('Raw touched'!N64),((N$5*SLOPE('Raw touched'!$E64:$U64,$E$5:$U$5))+INTERCEPT('Raw touched'!$E64:$U64,$E$5:$U$5)),'Raw touched'!N64)</f>
        <v>64.699996949999999</v>
      </c>
      <c r="O64" s="4">
        <f>IF(ISBLANK('Raw touched'!O64),((O$5*SLOPE('Raw touched'!$E64:$U64,$E$5:$U$5))+INTERCEPT('Raw touched'!$E64:$U64,$E$5:$U$5)),'Raw touched'!O64)</f>
        <v>65.040000919999997</v>
      </c>
      <c r="P64" s="4">
        <f>IF(ISBLANK('Raw touched'!P64),((P$5*SLOPE('Raw touched'!$E64:$U64,$E$5:$U$5))+INTERCEPT('Raw touched'!$E64:$U64,$E$5:$U$5)),'Raw touched'!P64)</f>
        <v>65.275332210000002</v>
      </c>
      <c r="Q64" s="4">
        <f>IF(ISBLANK('Raw touched'!Q64),((Q$5*SLOPE('Raw touched'!$E64:$U64,$E$5:$U$5))+INTERCEPT('Raw touched'!$E64:$U64,$E$5:$U$5)),'Raw touched'!Q64)</f>
        <v>65.362724839999998</v>
      </c>
      <c r="R64" s="4">
        <f>IF(ISBLANK('Raw touched'!R64),((R$5*SLOPE('Raw touched'!$E64:$U64,$E$5:$U$5))+INTERCEPT('Raw touched'!$E64:$U64,$E$5:$U$5)),'Raw touched'!R64)</f>
        <v>65.47</v>
      </c>
      <c r="S64" s="4">
        <f>IF(ISBLANK('Raw touched'!S64),((S$5*SLOPE('Raw touched'!$E64:$U64,$E$5:$U$5))+INTERCEPT('Raw touched'!$E64:$U64,$E$5:$U$5)),'Raw touched'!S64)</f>
        <v>65.512629358571417</v>
      </c>
      <c r="T64" s="4">
        <f>IF(ISBLANK('Raw touched'!T64),((T$5*SLOPE('Raw touched'!$E64:$U64,$E$5:$U$5))+INTERCEPT('Raw touched'!$E64:$U64,$E$5:$U$5)),'Raw touched'!T64)</f>
        <v>65.676712764571391</v>
      </c>
      <c r="U64" s="4">
        <f>IF(ISBLANK('Raw touched'!U64),((U$5*SLOPE('Raw touched'!$E64:$U64,$E$5:$U$5))+INTERCEPT('Raw touched'!$E64:$U64,$E$5:$U$5)),'Raw touched'!U64)</f>
        <v>65.840796170571423</v>
      </c>
    </row>
    <row r="65" spans="3:21" ht="13">
      <c r="C65" s="1" t="s">
        <v>378</v>
      </c>
      <c r="D65" s="1" t="s">
        <v>179</v>
      </c>
      <c r="E65" s="4">
        <f>IF(ISBLANK('Raw touched'!E65),((E$5*SLOPE('Raw touched'!$E65:$U65,$E$5:$U$5))+INTERCEPT('Raw touched'!$E65:$U65,$E$5:$U$5)),'Raw touched'!E65)</f>
        <v>100</v>
      </c>
      <c r="F65" s="4">
        <f>IF(ISBLANK('Raw touched'!F65),((F$5*SLOPE('Raw touched'!$E65:$U65,$E$5:$U$5))+INTERCEPT('Raw touched'!$E65:$U65,$E$5:$U$5)),'Raw touched'!F65)</f>
        <v>100</v>
      </c>
      <c r="G65" s="4">
        <f>IF(ISBLANK('Raw touched'!G65),((G$5*SLOPE('Raw touched'!$E65:$U65,$E$5:$U$5))+INTERCEPT('Raw touched'!$E65:$U65,$E$5:$U$5)),'Raw touched'!G65)</f>
        <v>100</v>
      </c>
      <c r="H65" s="4">
        <f>IF(ISBLANK('Raw touched'!H65),((H$5*SLOPE('Raw touched'!$E65:$U65,$E$5:$U$5))+INTERCEPT('Raw touched'!$E65:$U65,$E$5:$U$5)),'Raw touched'!H65)</f>
        <v>100</v>
      </c>
      <c r="I65" s="4">
        <f>IF(ISBLANK('Raw touched'!I65),((I$5*SLOPE('Raw touched'!$E65:$U65,$E$5:$U$5))+INTERCEPT('Raw touched'!$E65:$U65,$E$5:$U$5)),'Raw touched'!I65)</f>
        <v>100</v>
      </c>
      <c r="J65" s="4">
        <f>IF(ISBLANK('Raw touched'!J65),((J$5*SLOPE('Raw touched'!$E65:$U65,$E$5:$U$5))+INTERCEPT('Raw touched'!$E65:$U65,$E$5:$U$5)),'Raw touched'!J65)</f>
        <v>100</v>
      </c>
      <c r="K65" s="4">
        <f>IF(ISBLANK('Raw touched'!K65),((K$5*SLOPE('Raw touched'!$E65:$U65,$E$5:$U$5))+INTERCEPT('Raw touched'!$E65:$U65,$E$5:$U$5)),'Raw touched'!K65)</f>
        <v>100</v>
      </c>
      <c r="L65" s="4">
        <f>IF(ISBLANK('Raw touched'!L65),((L$5*SLOPE('Raw touched'!$E65:$U65,$E$5:$U$5))+INTERCEPT('Raw touched'!$E65:$U65,$E$5:$U$5)),'Raw touched'!L65)</f>
        <v>100</v>
      </c>
      <c r="M65" s="4">
        <f>IF(ISBLANK('Raw touched'!M65),((M$5*SLOPE('Raw touched'!$E65:$U65,$E$5:$U$5))+INTERCEPT('Raw touched'!$E65:$U65,$E$5:$U$5)),'Raw touched'!M65)</f>
        <v>100</v>
      </c>
      <c r="N65" s="4">
        <f>IF(ISBLANK('Raw touched'!N65),((N$5*SLOPE('Raw touched'!$E65:$U65,$E$5:$U$5))+INTERCEPT('Raw touched'!$E65:$U65,$E$5:$U$5)),'Raw touched'!N65)</f>
        <v>100</v>
      </c>
      <c r="O65" s="4">
        <f>IF(ISBLANK('Raw touched'!O65),((O$5*SLOPE('Raw touched'!$E65:$U65,$E$5:$U$5))+INTERCEPT('Raw touched'!$E65:$U65,$E$5:$U$5)),'Raw touched'!O65)</f>
        <v>100</v>
      </c>
      <c r="P65" s="4">
        <f>IF(ISBLANK('Raw touched'!P65),((P$5*SLOPE('Raw touched'!$E65:$U65,$E$5:$U$5))+INTERCEPT('Raw touched'!$E65:$U65,$E$5:$U$5)),'Raw touched'!P65)</f>
        <v>100</v>
      </c>
      <c r="Q65" s="4">
        <f>IF(ISBLANK('Raw touched'!Q65),((Q$5*SLOPE('Raw touched'!$E65:$U65,$E$5:$U$5))+INTERCEPT('Raw touched'!$E65:$U65,$E$5:$U$5)),'Raw touched'!Q65)</f>
        <v>100</v>
      </c>
      <c r="R65" s="4">
        <f>IF(ISBLANK('Raw touched'!R65),((R$5*SLOPE('Raw touched'!$E65:$U65,$E$5:$U$5))+INTERCEPT('Raw touched'!$E65:$U65,$E$5:$U$5)),'Raw touched'!R65)</f>
        <v>100</v>
      </c>
      <c r="S65" s="4">
        <f>IF(ISBLANK('Raw touched'!S65),((S$5*SLOPE('Raw touched'!$E65:$U65,$E$5:$U$5))+INTERCEPT('Raw touched'!$E65:$U65,$E$5:$U$5)),'Raw touched'!S65)</f>
        <v>100</v>
      </c>
      <c r="T65" s="4">
        <f>IF(ISBLANK('Raw touched'!T65),((T$5*SLOPE('Raw touched'!$E65:$U65,$E$5:$U$5))+INTERCEPT('Raw touched'!$E65:$U65,$E$5:$U$5)),'Raw touched'!T65)</f>
        <v>100</v>
      </c>
      <c r="U65" s="4">
        <f>IF(ISBLANK('Raw touched'!U65),((U$5*SLOPE('Raw touched'!$E65:$U65,$E$5:$U$5))+INTERCEPT('Raw touched'!$E65:$U65,$E$5:$U$5)),'Raw touched'!U65)</f>
        <v>100</v>
      </c>
    </row>
    <row r="66" spans="3:21" ht="13">
      <c r="C66" s="1" t="s">
        <v>148</v>
      </c>
      <c r="D66" s="1" t="s">
        <v>240</v>
      </c>
      <c r="E66" s="4">
        <f>IF(ISBLANK('Raw touched'!E66),((E$5*SLOPE('Raw touched'!$E66:$U66,$E$5:$U$5))+INTERCEPT('Raw touched'!$E66:$U66,$E$5:$U$5)),'Raw touched'!E66)</f>
        <v>8.1999998089999995</v>
      </c>
      <c r="F66" s="4">
        <f>IF(ISBLANK('Raw touched'!F66),((F$5*SLOPE('Raw touched'!$E66:$U66,$E$5:$U$5))+INTERCEPT('Raw touched'!$E66:$U66,$E$5:$U$5)),'Raw touched'!F66)</f>
        <v>9.8999996190000008</v>
      </c>
      <c r="G66" s="4">
        <f>IF(ISBLANK('Raw touched'!G66),((G$5*SLOPE('Raw touched'!$E66:$U66,$E$5:$U$5))+INTERCEPT('Raw touched'!$E66:$U66,$E$5:$U$5)),'Raw touched'!G66)</f>
        <v>9.8999996190000008</v>
      </c>
      <c r="H66" s="4">
        <f>IF(ISBLANK('Raw touched'!H66),((H$5*SLOPE('Raw touched'!$E66:$U66,$E$5:$U$5))+INTERCEPT('Raw touched'!$E66:$U66,$E$5:$U$5)),'Raw touched'!H66)</f>
        <v>9.8999996190000008</v>
      </c>
      <c r="I66" s="4">
        <f>IF(ISBLANK('Raw touched'!I66),((I$5*SLOPE('Raw touched'!$E66:$U66,$E$5:$U$5))+INTERCEPT('Raw touched'!$E66:$U66,$E$5:$U$5)),'Raw touched'!I66)</f>
        <v>9.8999996190000008</v>
      </c>
      <c r="J66" s="4">
        <f>IF(ISBLANK('Raw touched'!J66),((J$5*SLOPE('Raw touched'!$E66:$U66,$E$5:$U$5))+INTERCEPT('Raw touched'!$E66:$U66,$E$5:$U$5)),'Raw touched'!J66)</f>
        <v>9.8999996190000008</v>
      </c>
      <c r="K66" s="4">
        <f>IF(ISBLANK('Raw touched'!K66),((K$5*SLOPE('Raw touched'!$E66:$U66,$E$5:$U$5))+INTERCEPT('Raw touched'!$E66:$U66,$E$5:$U$5)),'Raw touched'!K66)</f>
        <v>10.063138085260675</v>
      </c>
      <c r="L66" s="4">
        <f>IF(ISBLANK('Raw touched'!L66),((L$5*SLOPE('Raw touched'!$E66:$U66,$E$5:$U$5))+INTERCEPT('Raw touched'!$E66:$U66,$E$5:$U$5)),'Raw touched'!L66)</f>
        <v>10.203803010417573</v>
      </c>
      <c r="M66" s="4">
        <f>IF(ISBLANK('Raw touched'!M66),((M$5*SLOPE('Raw touched'!$E66:$U66,$E$5:$U$5))+INTERCEPT('Raw touched'!$E66:$U66,$E$5:$U$5)),'Raw touched'!M66)</f>
        <v>10.344467935574471</v>
      </c>
      <c r="N66" s="4">
        <f>IF(ISBLANK('Raw touched'!N66),((N$5*SLOPE('Raw touched'!$E66:$U66,$E$5:$U$5))+INTERCEPT('Raw touched'!$E66:$U66,$E$5:$U$5)),'Raw touched'!N66)</f>
        <v>10.210000040000001</v>
      </c>
      <c r="O66" s="4">
        <f>IF(ISBLANK('Raw touched'!O66),((O$5*SLOPE('Raw touched'!$E66:$U66,$E$5:$U$5))+INTERCEPT('Raw touched'!$E66:$U66,$E$5:$U$5)),'Raw touched'!O66)</f>
        <v>10.625797785888324</v>
      </c>
      <c r="P66" s="4">
        <f>IF(ISBLANK('Raw touched'!P66),((P$5*SLOPE('Raw touched'!$E66:$U66,$E$5:$U$5))+INTERCEPT('Raw touched'!$E66:$U66,$E$5:$U$5)),'Raw touched'!P66)</f>
        <v>10.766462711045222</v>
      </c>
      <c r="Q66" s="4">
        <f>IF(ISBLANK('Raw touched'!Q66),((Q$5*SLOPE('Raw touched'!$E66:$U66,$E$5:$U$5))+INTERCEPT('Raw touched'!$E66:$U66,$E$5:$U$5)),'Raw touched'!Q66)</f>
        <v>10.907127636202176</v>
      </c>
      <c r="R66" s="4">
        <f>IF(ISBLANK('Raw touched'!R66),((R$5*SLOPE('Raw touched'!$E66:$U66,$E$5:$U$5))+INTERCEPT('Raw touched'!$E66:$U66,$E$5:$U$5)),'Raw touched'!R66)</f>
        <v>11.047792561359074</v>
      </c>
      <c r="S66" s="4">
        <f>IF(ISBLANK('Raw touched'!S66),((S$5*SLOPE('Raw touched'!$E66:$U66,$E$5:$U$5))+INTERCEPT('Raw touched'!$E66:$U66,$E$5:$U$5)),'Raw touched'!S66)</f>
        <v>11.188457486515972</v>
      </c>
      <c r="T66" s="4">
        <f>IF(ISBLANK('Raw touched'!T66),((T$5*SLOPE('Raw touched'!$E66:$U66,$E$5:$U$5))+INTERCEPT('Raw touched'!$E66:$U66,$E$5:$U$5)),'Raw touched'!T66)</f>
        <v>11.329122411672927</v>
      </c>
      <c r="U66" s="4">
        <f>IF(ISBLANK('Raw touched'!U66),((U$5*SLOPE('Raw touched'!$E66:$U66,$E$5:$U$5))+INTERCEPT('Raw touched'!$E66:$U66,$E$5:$U$5)),'Raw touched'!U66)</f>
        <v>11.469787336829825</v>
      </c>
    </row>
    <row r="67" spans="3:21" ht="13">
      <c r="C67" s="1" t="s">
        <v>328</v>
      </c>
      <c r="D67" s="1" t="s">
        <v>57</v>
      </c>
      <c r="E67" s="4">
        <f>IF(ISBLANK('Raw touched'!E67),((E$5*SLOPE('Raw touched'!$E67:$U67,$E$5:$U$5))+INTERCEPT('Raw touched'!$E67:$U67,$E$5:$U$5)),'Raw touched'!E67)</f>
        <v>19.31999969</v>
      </c>
      <c r="F67" s="4">
        <f>IF(ISBLANK('Raw touched'!F67),((F$5*SLOPE('Raw touched'!$E67:$U67,$E$5:$U$5))+INTERCEPT('Raw touched'!$E67:$U67,$E$5:$U$5)),'Raw touched'!F67)</f>
        <v>19.31999969</v>
      </c>
      <c r="G67" s="4">
        <f>IF(ISBLANK('Raw touched'!G67),((G$5*SLOPE('Raw touched'!$E67:$U67,$E$5:$U$5))+INTERCEPT('Raw touched'!$E67:$U67,$E$5:$U$5)),'Raw touched'!G67)</f>
        <v>19.31999969</v>
      </c>
      <c r="H67" s="4">
        <f>IF(ISBLANK('Raw touched'!H67),((H$5*SLOPE('Raw touched'!$E67:$U67,$E$5:$U$5))+INTERCEPT('Raw touched'!$E67:$U67,$E$5:$U$5)),'Raw touched'!H67)</f>
        <v>19.31999969</v>
      </c>
      <c r="I67" s="4">
        <f>IF(ISBLANK('Raw touched'!I67),((I$5*SLOPE('Raw touched'!$E67:$U67,$E$5:$U$5))+INTERCEPT('Raw touched'!$E67:$U67,$E$5:$U$5)),'Raw touched'!I67)</f>
        <v>19.31999969</v>
      </c>
      <c r="J67" s="4">
        <f>IF(ISBLANK('Raw touched'!J67),((J$5*SLOPE('Raw touched'!$E67:$U67,$E$5:$U$5))+INTERCEPT('Raw touched'!$E67:$U67,$E$5:$U$5)),'Raw touched'!J67)</f>
        <v>19.31999969</v>
      </c>
      <c r="K67" s="4">
        <f>IF(ISBLANK('Raw touched'!K67),((K$5*SLOPE('Raw touched'!$E67:$U67,$E$5:$U$5))+INTERCEPT('Raw touched'!$E67:$U67,$E$5:$U$5)),'Raw touched'!K67)</f>
        <v>19.31999969</v>
      </c>
      <c r="L67" s="4">
        <f>IF(ISBLANK('Raw touched'!L67),((L$5*SLOPE('Raw touched'!$E67:$U67,$E$5:$U$5))+INTERCEPT('Raw touched'!$E67:$U67,$E$5:$U$5)),'Raw touched'!L67)</f>
        <v>19.31999969</v>
      </c>
      <c r="M67" s="4">
        <f>IF(ISBLANK('Raw touched'!M67),((M$5*SLOPE('Raw touched'!$E67:$U67,$E$5:$U$5))+INTERCEPT('Raw touched'!$E67:$U67,$E$5:$U$5)),'Raw touched'!M67)</f>
        <v>19.31999969</v>
      </c>
      <c r="N67" s="4">
        <f>IF(ISBLANK('Raw touched'!N67),((N$5*SLOPE('Raw touched'!$E67:$U67,$E$5:$U$5))+INTERCEPT('Raw touched'!$E67:$U67,$E$5:$U$5)),'Raw touched'!N67)</f>
        <v>19.31999969</v>
      </c>
      <c r="O67" s="4">
        <f>IF(ISBLANK('Raw touched'!O67),((O$5*SLOPE('Raw touched'!$E67:$U67,$E$5:$U$5))+INTERCEPT('Raw touched'!$E67:$U67,$E$5:$U$5)),'Raw touched'!O67)</f>
        <v>19.31999969</v>
      </c>
      <c r="P67" s="4">
        <f>IF(ISBLANK('Raw touched'!P67),((P$5*SLOPE('Raw touched'!$E67:$U67,$E$5:$U$5))+INTERCEPT('Raw touched'!$E67:$U67,$E$5:$U$5)),'Raw touched'!P67)</f>
        <v>19.31999969</v>
      </c>
      <c r="Q67" s="4">
        <f>IF(ISBLANK('Raw touched'!Q67),((Q$5*SLOPE('Raw touched'!$E67:$U67,$E$5:$U$5))+INTERCEPT('Raw touched'!$E67:$U67,$E$5:$U$5)),'Raw touched'!Q67)</f>
        <v>19.31999969</v>
      </c>
      <c r="R67" s="4">
        <f>IF(ISBLANK('Raw touched'!R67),((R$5*SLOPE('Raw touched'!$E67:$U67,$E$5:$U$5))+INTERCEPT('Raw touched'!$E67:$U67,$E$5:$U$5)),'Raw touched'!R67)</f>
        <v>19.31999969</v>
      </c>
      <c r="S67" s="4">
        <f>IF(ISBLANK('Raw touched'!S67),((S$5*SLOPE('Raw touched'!$E67:$U67,$E$5:$U$5))+INTERCEPT('Raw touched'!$E67:$U67,$E$5:$U$5)),'Raw touched'!S67)</f>
        <v>19.31999969</v>
      </c>
      <c r="T67" s="4">
        <f>IF(ISBLANK('Raw touched'!T67),((T$5*SLOPE('Raw touched'!$E67:$U67,$E$5:$U$5))+INTERCEPT('Raw touched'!$E67:$U67,$E$5:$U$5)),'Raw touched'!T67)</f>
        <v>19.31999969</v>
      </c>
      <c r="U67" s="4">
        <f>IF(ISBLANK('Raw touched'!U67),((U$5*SLOPE('Raw touched'!$E67:$U67,$E$5:$U$5))+INTERCEPT('Raw touched'!$E67:$U67,$E$5:$U$5)),'Raw touched'!U67)</f>
        <v>19.31999969</v>
      </c>
    </row>
    <row r="68" spans="3:21" ht="13">
      <c r="C68" s="1" t="s">
        <v>17</v>
      </c>
      <c r="D68" s="1" t="s">
        <v>120</v>
      </c>
      <c r="E68" s="4">
        <f>IF(ISBLANK('Raw touched'!E68),((E$5*SLOPE('Raw touched'!$E68:$U68,$E$5:$U$5))+INTERCEPT('Raw touched'!$E68:$U68,$E$5:$U$5)),'Raw touched'!E68)</f>
        <v>93.5</v>
      </c>
      <c r="F68" s="4">
        <f>IF(ISBLANK('Raw touched'!F68),((F$5*SLOPE('Raw touched'!$E68:$U68,$E$5:$U$5))+INTERCEPT('Raw touched'!$E68:$U68,$E$5:$U$5)),'Raw touched'!F68)</f>
        <v>93.5</v>
      </c>
      <c r="G68" s="4">
        <f>IF(ISBLANK('Raw touched'!G68),((G$5*SLOPE('Raw touched'!$E68:$U68,$E$5:$U$5))+INTERCEPT('Raw touched'!$E68:$U68,$E$5:$U$5)),'Raw touched'!G68)</f>
        <v>93.699996949999999</v>
      </c>
      <c r="H68" s="4">
        <f>IF(ISBLANK('Raw touched'!H68),((H$5*SLOPE('Raw touched'!$E68:$U68,$E$5:$U$5))+INTERCEPT('Raw touched'!$E68:$U68,$E$5:$U$5)),'Raw touched'!H68)</f>
        <v>93.400001529999997</v>
      </c>
      <c r="I68" s="4">
        <f>IF(ISBLANK('Raw touched'!I68),((I$5*SLOPE('Raw touched'!$E68:$U68,$E$5:$U$5))+INTERCEPT('Raw touched'!$E68:$U68,$E$5:$U$5)),'Raw touched'!I68)</f>
        <v>93.662738131644659</v>
      </c>
      <c r="J68" s="4">
        <f>IF(ISBLANK('Raw touched'!J68),((J$5*SLOPE('Raw touched'!$E68:$U68,$E$5:$U$5))+INTERCEPT('Raw touched'!$E68:$U68,$E$5:$U$5)),'Raw touched'!J68)</f>
        <v>93.714487337671073</v>
      </c>
      <c r="K68" s="4">
        <f>IF(ISBLANK('Raw touched'!K68),((K$5*SLOPE('Raw touched'!$E68:$U68,$E$5:$U$5))+INTERCEPT('Raw touched'!$E68:$U68,$E$5:$U$5)),'Raw touched'!K68)</f>
        <v>93.766236543697474</v>
      </c>
      <c r="L68" s="4">
        <f>IF(ISBLANK('Raw touched'!L68),((L$5*SLOPE('Raw touched'!$E68:$U68,$E$5:$U$5))+INTERCEPT('Raw touched'!$E68:$U68,$E$5:$U$5)),'Raw touched'!L68)</f>
        <v>93.817985749723888</v>
      </c>
      <c r="M68" s="4">
        <f>IF(ISBLANK('Raw touched'!M68),((M$5*SLOPE('Raw touched'!$E68:$U68,$E$5:$U$5))+INTERCEPT('Raw touched'!$E68:$U68,$E$5:$U$5)),'Raw touched'!M68)</f>
        <v>93.869734955750303</v>
      </c>
      <c r="N68" s="4">
        <f>IF(ISBLANK('Raw touched'!N68),((N$5*SLOPE('Raw touched'!$E68:$U68,$E$5:$U$5))+INTERCEPT('Raw touched'!$E68:$U68,$E$5:$U$5)),'Raw touched'!N68)</f>
        <v>93.921484161776704</v>
      </c>
      <c r="O68" s="4">
        <f>IF(ISBLANK('Raw touched'!O68),((O$5*SLOPE('Raw touched'!$E68:$U68,$E$5:$U$5))+INTERCEPT('Raw touched'!$E68:$U68,$E$5:$U$5)),'Raw touched'!O68)</f>
        <v>93.973233367803118</v>
      </c>
      <c r="P68" s="4">
        <f>IF(ISBLANK('Raw touched'!P68),((P$5*SLOPE('Raw touched'!$E68:$U68,$E$5:$U$5))+INTERCEPT('Raw touched'!$E68:$U68,$E$5:$U$5)),'Raw touched'!P68)</f>
        <v>94.067588169999993</v>
      </c>
      <c r="Q68" s="4">
        <f>IF(ISBLANK('Raw touched'!Q68),((Q$5*SLOPE('Raw touched'!$E68:$U68,$E$5:$U$5))+INTERCEPT('Raw touched'!$E68:$U68,$E$5:$U$5)),'Raw touched'!Q68)</f>
        <v>94.067588169999993</v>
      </c>
      <c r="R68" s="4">
        <f>IF(ISBLANK('Raw touched'!R68),((R$5*SLOPE('Raw touched'!$E68:$U68,$E$5:$U$5))+INTERCEPT('Raw touched'!$E68:$U68,$E$5:$U$5)),'Raw touched'!R68)</f>
        <v>94.128480985882348</v>
      </c>
      <c r="S68" s="4">
        <f>IF(ISBLANK('Raw touched'!S68),((S$5*SLOPE('Raw touched'!$E68:$U68,$E$5:$U$5))+INTERCEPT('Raw touched'!$E68:$U68,$E$5:$U$5)),'Raw touched'!S68)</f>
        <v>94.180230191908763</v>
      </c>
      <c r="T68" s="4">
        <f>IF(ISBLANK('Raw touched'!T68),((T$5*SLOPE('Raw touched'!$E68:$U68,$E$5:$U$5))+INTERCEPT('Raw touched'!$E68:$U68,$E$5:$U$5)),'Raw touched'!T68)</f>
        <v>94.231979397935163</v>
      </c>
      <c r="U68" s="4">
        <f>IF(ISBLANK('Raw touched'!U68),((U$5*SLOPE('Raw touched'!$E68:$U68,$E$5:$U$5))+INTERCEPT('Raw touched'!$E68:$U68,$E$5:$U$5)),'Raw touched'!U68)</f>
        <v>94.283728603961578</v>
      </c>
    </row>
    <row r="69" spans="3:21" ht="13">
      <c r="C69" s="1" t="s">
        <v>133</v>
      </c>
      <c r="D69" s="1" t="s">
        <v>122</v>
      </c>
      <c r="E69" s="4">
        <f>IF(ISBLANK('Raw touched'!E69),((E$5*SLOPE('Raw touched'!$E69:$U69,$E$5:$U$5))+INTERCEPT('Raw touched'!$E69:$U69,$E$5:$U$5)),'Raw touched'!E69)</f>
        <v>99</v>
      </c>
      <c r="F69" s="4">
        <f>IF(ISBLANK('Raw touched'!F69),((F$5*SLOPE('Raw touched'!$E69:$U69,$E$5:$U$5))+INTERCEPT('Raw touched'!$E69:$U69,$E$5:$U$5)),'Raw touched'!F69)</f>
        <v>99.099998470000003</v>
      </c>
      <c r="G69" s="4">
        <f>IF(ISBLANK('Raw touched'!G69),((G$5*SLOPE('Raw touched'!$E69:$U69,$E$5:$U$5))+INTERCEPT('Raw touched'!$E69:$U69,$E$5:$U$5)),'Raw touched'!G69)</f>
        <v>99.240350286666654</v>
      </c>
      <c r="H69" s="4">
        <f>IF(ISBLANK('Raw touched'!H69),((H$5*SLOPE('Raw touched'!$E69:$U69,$E$5:$U$5))+INTERCEPT('Raw touched'!$E69:$U69,$E$5:$U$5)),'Raw touched'!H69)</f>
        <v>99.366666156666668</v>
      </c>
      <c r="I69" s="4">
        <f>IF(ISBLANK('Raw touched'!I69),((I$5*SLOPE('Raw touched'!$E69:$U69,$E$5:$U$5))+INTERCEPT('Raw touched'!$E69:$U69,$E$5:$U$5)),'Raw touched'!I69)</f>
        <v>99.492982026666652</v>
      </c>
      <c r="J69" s="4">
        <f>IF(ISBLANK('Raw touched'!J69),((J$5*SLOPE('Raw touched'!$E69:$U69,$E$5:$U$5))+INTERCEPT('Raw touched'!$E69:$U69,$E$5:$U$5)),'Raw touched'!J69)</f>
        <v>99.619297896666666</v>
      </c>
      <c r="K69" s="4">
        <f>IF(ISBLANK('Raw touched'!K69),((K$5*SLOPE('Raw touched'!$E69:$U69,$E$5:$U$5))+INTERCEPT('Raw touched'!$E69:$U69,$E$5:$U$5)),'Raw touched'!K69)</f>
        <v>99.745613766666651</v>
      </c>
      <c r="L69" s="4">
        <f>IF(ISBLANK('Raw touched'!L69),((L$5*SLOPE('Raw touched'!$E69:$U69,$E$5:$U$5))+INTERCEPT('Raw touched'!$E69:$U69,$E$5:$U$5)),'Raw touched'!L69)</f>
        <v>99.871929636666664</v>
      </c>
      <c r="M69" s="4">
        <f>IF(ISBLANK('Raw touched'!M69),((M$5*SLOPE('Raw touched'!$E69:$U69,$E$5:$U$5))+INTERCEPT('Raw touched'!$E69:$U69,$E$5:$U$5)),'Raw touched'!M69)</f>
        <v>100</v>
      </c>
      <c r="N69" s="4">
        <f>IF(ISBLANK('Raw touched'!N69),((N$5*SLOPE('Raw touched'!$E69:$U69,$E$5:$U$5))+INTERCEPT('Raw touched'!$E69:$U69,$E$5:$U$5)),'Raw touched'!N69)</f>
        <v>100.12456137666666</v>
      </c>
      <c r="O69" s="4">
        <f>IF(ISBLANK('Raw touched'!O69),((O$5*SLOPE('Raw touched'!$E69:$U69,$E$5:$U$5))+INTERCEPT('Raw touched'!$E69:$U69,$E$5:$U$5)),'Raw touched'!O69)</f>
        <v>100.25087724666665</v>
      </c>
      <c r="P69" s="4">
        <f>IF(ISBLANK('Raw touched'!P69),((P$5*SLOPE('Raw touched'!$E69:$U69,$E$5:$U$5))+INTERCEPT('Raw touched'!$E69:$U69,$E$5:$U$5)),'Raw touched'!P69)</f>
        <v>100.37719311666666</v>
      </c>
      <c r="Q69" s="4">
        <f>IF(ISBLANK('Raw touched'!Q69),((Q$5*SLOPE('Raw touched'!$E69:$U69,$E$5:$U$5))+INTERCEPT('Raw touched'!$E69:$U69,$E$5:$U$5)),'Raw touched'!Q69)</f>
        <v>100.50350898666665</v>
      </c>
      <c r="R69" s="4">
        <f>IF(ISBLANK('Raw touched'!R69),((R$5*SLOPE('Raw touched'!$E69:$U69,$E$5:$U$5))+INTERCEPT('Raw touched'!$E69:$U69,$E$5:$U$5)),'Raw touched'!R69)</f>
        <v>100.62982485666666</v>
      </c>
      <c r="S69" s="4">
        <f>IF(ISBLANK('Raw touched'!S69),((S$5*SLOPE('Raw touched'!$E69:$U69,$E$5:$U$5))+INTERCEPT('Raw touched'!$E69:$U69,$E$5:$U$5)),'Raw touched'!S69)</f>
        <v>100.75614072666664</v>
      </c>
      <c r="T69" s="4">
        <f>IF(ISBLANK('Raw touched'!T69),((T$5*SLOPE('Raw touched'!$E69:$U69,$E$5:$U$5))+INTERCEPT('Raw touched'!$E69:$U69,$E$5:$U$5)),'Raw touched'!T69)</f>
        <v>100.88245659666666</v>
      </c>
      <c r="U69" s="4">
        <f>IF(ISBLANK('Raw touched'!U69),((U$5*SLOPE('Raw touched'!$E69:$U69,$E$5:$U$5))+INTERCEPT('Raw touched'!$E69:$U69,$E$5:$U$5)),'Raw touched'!U69)</f>
        <v>101.00877246666667</v>
      </c>
    </row>
    <row r="70" spans="3:21" ht="13">
      <c r="C70" s="1" t="s">
        <v>37</v>
      </c>
      <c r="D70" s="1" t="s">
        <v>238</v>
      </c>
      <c r="E70" s="4">
        <f>IF(ISBLANK('Raw touched'!E70),((E$5*SLOPE('Raw touched'!$E70:$U70,$E$5:$U$5))+INTERCEPT('Raw touched'!$E70:$U70,$E$5:$U$5)),'Raw touched'!E70)</f>
        <v>24.899999619999999</v>
      </c>
      <c r="F70" s="4">
        <f>IF(ISBLANK('Raw touched'!F70),((F$5*SLOPE('Raw touched'!$E70:$U70,$E$5:$U$5))+INTERCEPT('Raw touched'!$E70:$U70,$E$5:$U$5)),'Raw touched'!F70)</f>
        <v>24.100000380000001</v>
      </c>
      <c r="G70" s="4">
        <f>IF(ISBLANK('Raw touched'!G70),((G$5*SLOPE('Raw touched'!$E70:$U70,$E$5:$U$5))+INTERCEPT('Raw touched'!$E70:$U70,$E$5:$U$5)),'Raw touched'!G70)</f>
        <v>25.786417131524104</v>
      </c>
      <c r="H70" s="4">
        <f>IF(ISBLANK('Raw touched'!H70),((H$5*SLOPE('Raw touched'!$E70:$U70,$E$5:$U$5))+INTERCEPT('Raw touched'!$E70:$U70,$E$5:$U$5)),'Raw touched'!H70)</f>
        <v>24.733685812490421</v>
      </c>
      <c r="I70" s="4">
        <f>IF(ISBLANK('Raw touched'!I70),((I$5*SLOPE('Raw touched'!$E70:$U70,$E$5:$U$5))+INTERCEPT('Raw touched'!$E70:$U70,$E$5:$U$5)),'Raw touched'!I70)</f>
        <v>29.600000380000001</v>
      </c>
      <c r="J70" s="4">
        <f>IF(ISBLANK('Raw touched'!J70),((J$5*SLOPE('Raw touched'!$E70:$U70,$E$5:$U$5))+INTERCEPT('Raw touched'!$E70:$U70,$E$5:$U$5)),'Raw touched'!J70)</f>
        <v>29.600000380000001</v>
      </c>
      <c r="K70" s="4">
        <f>IF(ISBLANK('Raw touched'!K70),((K$5*SLOPE('Raw touched'!$E70:$U70,$E$5:$U$5))+INTERCEPT('Raw touched'!$E70:$U70,$E$5:$U$5)),'Raw touched'!K70)</f>
        <v>18.399999619999999</v>
      </c>
      <c r="L70" s="4">
        <f>IF(ISBLANK('Raw touched'!L70),((L$5*SLOPE('Raw touched'!$E70:$U70,$E$5:$U$5))+INTERCEPT('Raw touched'!$E70:$U70,$E$5:$U$5)),'Raw touched'!L70)</f>
        <v>20.5227605363566</v>
      </c>
      <c r="M70" s="4">
        <f>IF(ISBLANK('Raw touched'!M70),((M$5*SLOPE('Raw touched'!$E70:$U70,$E$5:$U$5))+INTERCEPT('Raw touched'!$E70:$U70,$E$5:$U$5)),'Raw touched'!M70)</f>
        <v>17.920000080000001</v>
      </c>
      <c r="N70" s="4">
        <f>IF(ISBLANK('Raw touched'!N70),((N$5*SLOPE('Raw touched'!$E70:$U70,$E$5:$U$5))+INTERCEPT('Raw touched'!$E70:$U70,$E$5:$U$5)),'Raw touched'!N70)</f>
        <v>18.417297898289689</v>
      </c>
      <c r="O70" s="4">
        <f>IF(ISBLANK('Raw touched'!O70),((O$5*SLOPE('Raw touched'!$E70:$U70,$E$5:$U$5))+INTERCEPT('Raw touched'!$E70:$U70,$E$5:$U$5)),'Raw touched'!O70)</f>
        <v>14.93029308</v>
      </c>
      <c r="P70" s="4">
        <f>IF(ISBLANK('Raw touched'!P70),((P$5*SLOPE('Raw touched'!$E70:$U70,$E$5:$U$5))+INTERCEPT('Raw touched'!$E70:$U70,$E$5:$U$5)),'Raw touched'!P70)</f>
        <v>16.311835260222779</v>
      </c>
      <c r="Q70" s="4">
        <f>IF(ISBLANK('Raw touched'!Q70),((Q$5*SLOPE('Raw touched'!$E70:$U70,$E$5:$U$5))+INTERCEPT('Raw touched'!$E70:$U70,$E$5:$U$5)),'Raw touched'!Q70)</f>
        <v>15.259103941189551</v>
      </c>
      <c r="R70" s="4">
        <f>IF(ISBLANK('Raw touched'!R70),((R$5*SLOPE('Raw touched'!$E70:$U70,$E$5:$U$5))+INTERCEPT('Raw touched'!$E70:$U70,$E$5:$U$5)),'Raw touched'!R70)</f>
        <v>14.206372622155868</v>
      </c>
      <c r="S70" s="4">
        <f>IF(ISBLANK('Raw touched'!S70),((S$5*SLOPE('Raw touched'!$E70:$U70,$E$5:$U$5))+INTERCEPT('Raw touched'!$E70:$U70,$E$5:$U$5)),'Raw touched'!S70)</f>
        <v>13.15364130312264</v>
      </c>
      <c r="T70" s="4">
        <f>IF(ISBLANK('Raw touched'!T70),((T$5*SLOPE('Raw touched'!$E70:$U70,$E$5:$U$5))+INTERCEPT('Raw touched'!$E70:$U70,$E$5:$U$5)),'Raw touched'!T70)</f>
        <v>12.100909984088958</v>
      </c>
      <c r="U70" s="4">
        <f>IF(ISBLANK('Raw touched'!U70),((U$5*SLOPE('Raw touched'!$E70:$U70,$E$5:$U$5))+INTERCEPT('Raw touched'!$E70:$U70,$E$5:$U$5)),'Raw touched'!U70)</f>
        <v>11.04817866505573</v>
      </c>
    </row>
    <row r="71" spans="3:21" ht="13">
      <c r="C71" s="1" t="s">
        <v>375</v>
      </c>
      <c r="D71" s="1" t="s">
        <v>224</v>
      </c>
      <c r="E71" s="4">
        <f>IF(ISBLANK('Raw touched'!E71),((E$5*SLOPE('Raw touched'!$E71:$U71,$E$5:$U$5))+INTERCEPT('Raw touched'!$E71:$U71,$E$5:$U$5)),'Raw touched'!E71)</f>
        <v>91.699996949999999</v>
      </c>
      <c r="F71" s="4">
        <f>IF(ISBLANK('Raw touched'!F71),((F$5*SLOPE('Raw touched'!$E71:$U71,$E$5:$U$5))+INTERCEPT('Raw touched'!$E71:$U71,$E$5:$U$5)),'Raw touched'!F71)</f>
        <v>91.800003050000001</v>
      </c>
      <c r="G71" s="4">
        <f>IF(ISBLANK('Raw touched'!G71),((G$5*SLOPE('Raw touched'!$E71:$U71,$E$5:$U$5))+INTERCEPT('Raw touched'!$E71:$U71,$E$5:$U$5)),'Raw touched'!G71)</f>
        <v>91.800003050000001</v>
      </c>
      <c r="H71" s="4">
        <f>IF(ISBLANK('Raw touched'!H71),((H$5*SLOPE('Raw touched'!$E71:$U71,$E$5:$U$5))+INTERCEPT('Raw touched'!$E71:$U71,$E$5:$U$5)),'Raw touched'!H71)</f>
        <v>91.800003050000001</v>
      </c>
      <c r="I71" s="4">
        <f>IF(ISBLANK('Raw touched'!I71),((I$5*SLOPE('Raw touched'!$E71:$U71,$E$5:$U$5))+INTERCEPT('Raw touched'!$E71:$U71,$E$5:$U$5)),'Raw touched'!I71)</f>
        <v>91.800003050000001</v>
      </c>
      <c r="J71" s="4">
        <f>IF(ISBLANK('Raw touched'!J71),((J$5*SLOPE('Raw touched'!$E71:$U71,$E$5:$U$5))+INTERCEPT('Raw touched'!$E71:$U71,$E$5:$U$5)),'Raw touched'!J71)</f>
        <v>91.800003050000001</v>
      </c>
      <c r="K71" s="4">
        <f>IF(ISBLANK('Raw touched'!K71),((K$5*SLOPE('Raw touched'!$E71:$U71,$E$5:$U$5))+INTERCEPT('Raw touched'!$E71:$U71,$E$5:$U$5)),'Raw touched'!K71)</f>
        <v>91.833338416666663</v>
      </c>
      <c r="L71" s="4">
        <f>IF(ISBLANK('Raw touched'!L71),((L$5*SLOPE('Raw touched'!$E71:$U71,$E$5:$U$5))+INTERCEPT('Raw touched'!$E71:$U71,$E$5:$U$5)),'Raw touched'!L71)</f>
        <v>91.847625002380951</v>
      </c>
      <c r="M71" s="4">
        <f>IF(ISBLANK('Raw touched'!M71),((M$5*SLOPE('Raw touched'!$E71:$U71,$E$5:$U$5))+INTERCEPT('Raw touched'!$E71:$U71,$E$5:$U$5)),'Raw touched'!M71)</f>
        <v>91.861911588095239</v>
      </c>
      <c r="N71" s="4">
        <f>IF(ISBLANK('Raw touched'!N71),((N$5*SLOPE('Raw touched'!$E71:$U71,$E$5:$U$5))+INTERCEPT('Raw touched'!$E71:$U71,$E$5:$U$5)),'Raw touched'!N71)</f>
        <v>91.876198173809527</v>
      </c>
      <c r="O71" s="4">
        <f>IF(ISBLANK('Raw touched'!O71),((O$5*SLOPE('Raw touched'!$E71:$U71,$E$5:$U$5))+INTERCEPT('Raw touched'!$E71:$U71,$E$5:$U$5)),'Raw touched'!O71)</f>
        <v>91.890484759523815</v>
      </c>
      <c r="P71" s="4">
        <f>IF(ISBLANK('Raw touched'!P71),((P$5*SLOPE('Raw touched'!$E71:$U71,$E$5:$U$5))+INTERCEPT('Raw touched'!$E71:$U71,$E$5:$U$5)),'Raw touched'!P71)</f>
        <v>91.904771345238089</v>
      </c>
      <c r="Q71" s="4">
        <f>IF(ISBLANK('Raw touched'!Q71),((Q$5*SLOPE('Raw touched'!$E71:$U71,$E$5:$U$5))+INTERCEPT('Raw touched'!$E71:$U71,$E$5:$U$5)),'Raw touched'!Q71)</f>
        <v>91.919057930952377</v>
      </c>
      <c r="R71" s="4">
        <f>IF(ISBLANK('Raw touched'!R71),((R$5*SLOPE('Raw touched'!$E71:$U71,$E$5:$U$5))+INTERCEPT('Raw touched'!$E71:$U71,$E$5:$U$5)),'Raw touched'!R71)</f>
        <v>91.933344516666665</v>
      </c>
      <c r="S71" s="4">
        <f>IF(ISBLANK('Raw touched'!S71),((S$5*SLOPE('Raw touched'!$E71:$U71,$E$5:$U$5))+INTERCEPT('Raw touched'!$E71:$U71,$E$5:$U$5)),'Raw touched'!S71)</f>
        <v>91.947631102380953</v>
      </c>
      <c r="T71" s="4">
        <f>IF(ISBLANK('Raw touched'!T71),((T$5*SLOPE('Raw touched'!$E71:$U71,$E$5:$U$5))+INTERCEPT('Raw touched'!$E71:$U71,$E$5:$U$5)),'Raw touched'!T71)</f>
        <v>91.961917688095241</v>
      </c>
      <c r="U71" s="4">
        <f>IF(ISBLANK('Raw touched'!U71),((U$5*SLOPE('Raw touched'!$E71:$U71,$E$5:$U$5))+INTERCEPT('Raw touched'!$E71:$U71,$E$5:$U$5)),'Raw touched'!U71)</f>
        <v>91.976204273809529</v>
      </c>
    </row>
    <row r="72" spans="3:21" ht="13">
      <c r="C72" s="1" t="s">
        <v>377</v>
      </c>
      <c r="D72" s="1" t="s">
        <v>393</v>
      </c>
      <c r="E72" s="4">
        <f>IF(ISBLANK('Raw touched'!E72),((E$5*SLOPE('Raw touched'!$E72:$U72,$E$5:$U$5))+INTERCEPT('Raw touched'!$E72:$U72,$E$5:$U$5)),'Raw touched'!E72)</f>
        <v>61.200000760000002</v>
      </c>
      <c r="F72" s="4">
        <f>IF(ISBLANK('Raw touched'!F72),((F$5*SLOPE('Raw touched'!$E72:$U72,$E$5:$U$5))+INTERCEPT('Raw touched'!$E72:$U72,$E$5:$U$5)),'Raw touched'!F72)</f>
        <v>61.299999239999998</v>
      </c>
      <c r="G72" s="4">
        <f>IF(ISBLANK('Raw touched'!G72),((G$5*SLOPE('Raw touched'!$E72:$U72,$E$5:$U$5))+INTERCEPT('Raw touched'!$E72:$U72,$E$5:$U$5)),'Raw touched'!G72)</f>
        <v>61.299999239999998</v>
      </c>
      <c r="H72" s="4">
        <f>IF(ISBLANK('Raw touched'!H72),((H$5*SLOPE('Raw touched'!$E72:$U72,$E$5:$U$5))+INTERCEPT('Raw touched'!$E72:$U72,$E$5:$U$5)),'Raw touched'!H72)</f>
        <v>61.299999239999998</v>
      </c>
      <c r="I72" s="4">
        <f>IF(ISBLANK('Raw touched'!I72),((I$5*SLOPE('Raw touched'!$E72:$U72,$E$5:$U$5))+INTERCEPT('Raw touched'!$E72:$U72,$E$5:$U$5)),'Raw touched'!I72)</f>
        <v>60.959999080000003</v>
      </c>
      <c r="J72" s="4">
        <f>IF(ISBLANK('Raw touched'!J72),((J$5*SLOPE('Raw touched'!$E72:$U72,$E$5:$U$5))+INTERCEPT('Raw touched'!$E72:$U72,$E$5:$U$5)),'Raw touched'!J72)</f>
        <v>60.959999080000003</v>
      </c>
      <c r="K72" s="4">
        <f>IF(ISBLANK('Raw touched'!K72),((K$5*SLOPE('Raw touched'!$E72:$U72,$E$5:$U$5))+INTERCEPT('Raw touched'!$E72:$U72,$E$5:$U$5)),'Raw touched'!K72)</f>
        <v>60.959999080000003</v>
      </c>
      <c r="L72" s="4">
        <f>IF(ISBLANK('Raw touched'!L72),((L$5*SLOPE('Raw touched'!$E72:$U72,$E$5:$U$5))+INTERCEPT('Raw touched'!$E72:$U72,$E$5:$U$5)),'Raw touched'!L72)</f>
        <v>60.89142717142856</v>
      </c>
      <c r="M72" s="4">
        <f>IF(ISBLANK('Raw touched'!M72),((M$5*SLOPE('Raw touched'!$E72:$U72,$E$5:$U$5))+INTERCEPT('Raw touched'!$E72:$U72,$E$5:$U$5)),'Raw touched'!M72)</f>
        <v>60.829284117142848</v>
      </c>
      <c r="N72" s="4">
        <f>IF(ISBLANK('Raw touched'!N72),((N$5*SLOPE('Raw touched'!$E72:$U72,$E$5:$U$5))+INTERCEPT('Raw touched'!$E72:$U72,$E$5:$U$5)),'Raw touched'!N72)</f>
        <v>60.767141062857135</v>
      </c>
      <c r="O72" s="4">
        <f>IF(ISBLANK('Raw touched'!O72),((O$5*SLOPE('Raw touched'!$E72:$U72,$E$5:$U$5))+INTERCEPT('Raw touched'!$E72:$U72,$E$5:$U$5)),'Raw touched'!O72)</f>
        <v>60.704998008571422</v>
      </c>
      <c r="P72" s="4">
        <f>IF(ISBLANK('Raw touched'!P72),((P$5*SLOPE('Raw touched'!$E72:$U72,$E$5:$U$5))+INTERCEPT('Raw touched'!$E72:$U72,$E$5:$U$5)),'Raw touched'!P72)</f>
        <v>60.64285495428571</v>
      </c>
      <c r="Q72" s="4">
        <f>IF(ISBLANK('Raw touched'!Q72),((Q$5*SLOPE('Raw touched'!$E72:$U72,$E$5:$U$5))+INTERCEPT('Raw touched'!$E72:$U72,$E$5:$U$5)),'Raw touched'!Q72)</f>
        <v>60.580711899999997</v>
      </c>
      <c r="R72" s="4">
        <f>IF(ISBLANK('Raw touched'!R72),((R$5*SLOPE('Raw touched'!$E72:$U72,$E$5:$U$5))+INTERCEPT('Raw touched'!$E72:$U72,$E$5:$U$5)),'Raw touched'!R72)</f>
        <v>60.518568845714285</v>
      </c>
      <c r="S72" s="4">
        <f>IF(ISBLANK('Raw touched'!S72),((S$5*SLOPE('Raw touched'!$E72:$U72,$E$5:$U$5))+INTERCEPT('Raw touched'!$E72:$U72,$E$5:$U$5)),'Raw touched'!S72)</f>
        <v>60.456425791428572</v>
      </c>
      <c r="T72" s="4">
        <f>IF(ISBLANK('Raw touched'!T72),((T$5*SLOPE('Raw touched'!$E72:$U72,$E$5:$U$5))+INTERCEPT('Raw touched'!$E72:$U72,$E$5:$U$5)),'Raw touched'!T72)</f>
        <v>60.394282737142859</v>
      </c>
      <c r="U72" s="4">
        <f>IF(ISBLANK('Raw touched'!U72),((U$5*SLOPE('Raw touched'!$E72:$U72,$E$5:$U$5))+INTERCEPT('Raw touched'!$E72:$U72,$E$5:$U$5)),'Raw touched'!U72)</f>
        <v>60.332139682857147</v>
      </c>
    </row>
    <row r="73" spans="3:21" ht="13">
      <c r="C73" s="1" t="s">
        <v>213</v>
      </c>
      <c r="D73" s="1" t="s">
        <v>211</v>
      </c>
      <c r="E73" s="4">
        <f>IF(ISBLANK('Raw touched'!E73),((E$5*SLOPE('Raw touched'!$E73:$U73,$E$5:$U$5))+INTERCEPT('Raw touched'!$E73:$U73,$E$5:$U$5)),'Raw touched'!E73)</f>
        <v>26</v>
      </c>
      <c r="F73" s="4">
        <f>IF(ISBLANK('Raw touched'!F73),((F$5*SLOPE('Raw touched'!$E73:$U73,$E$5:$U$5))+INTERCEPT('Raw touched'!$E73:$U73,$E$5:$U$5)),'Raw touched'!F73)</f>
        <v>25.799999239999998</v>
      </c>
      <c r="G73" s="4">
        <f>IF(ISBLANK('Raw touched'!G73),((G$5*SLOPE('Raw touched'!$E73:$U73,$E$5:$U$5))+INTERCEPT('Raw touched'!$E73:$U73,$E$5:$U$5)),'Raw touched'!G73)</f>
        <v>26.399999619999999</v>
      </c>
      <c r="H73" s="4">
        <f>IF(ISBLANK('Raw touched'!H73),((H$5*SLOPE('Raw touched'!$E73:$U73,$E$5:$U$5))+INTERCEPT('Raw touched'!$E73:$U73,$E$5:$U$5)),'Raw touched'!H73)</f>
        <v>31</v>
      </c>
      <c r="I73" s="4">
        <f>IF(ISBLANK('Raw touched'!I73),((I$5*SLOPE('Raw touched'!$E73:$U73,$E$5:$U$5))+INTERCEPT('Raw touched'!$E73:$U73,$E$5:$U$5)),'Raw touched'!I73)</f>
        <v>34.5</v>
      </c>
      <c r="J73" s="4">
        <f>IF(ISBLANK('Raw touched'!J73),((J$5*SLOPE('Raw touched'!$E73:$U73,$E$5:$U$5))+INTERCEPT('Raw touched'!$E73:$U73,$E$5:$U$5)),'Raw touched'!J73)</f>
        <v>34.5</v>
      </c>
      <c r="K73" s="4">
        <f>IF(ISBLANK('Raw touched'!K73),((K$5*SLOPE('Raw touched'!$E73:$U73,$E$5:$U$5))+INTERCEPT('Raw touched'!$E73:$U73,$E$5:$U$5)),'Raw touched'!K73)</f>
        <v>34.5</v>
      </c>
      <c r="L73" s="4">
        <f>IF(ISBLANK('Raw touched'!L73),((L$5*SLOPE('Raw touched'!$E73:$U73,$E$5:$U$5))+INTERCEPT('Raw touched'!$E73:$U73,$E$5:$U$5)),'Raw touched'!L73)</f>
        <v>37.67142868000019</v>
      </c>
      <c r="M73" s="4">
        <f>IF(ISBLANK('Raw touched'!M73),((M$5*SLOPE('Raw touched'!$E73:$U73,$E$5:$U$5))+INTERCEPT('Raw touched'!$E73:$U73,$E$5:$U$5)),'Raw touched'!M73)</f>
        <v>39.492857319286031</v>
      </c>
      <c r="N73" s="4">
        <f>IF(ISBLANK('Raw touched'!N73),((N$5*SLOPE('Raw touched'!$E73:$U73,$E$5:$U$5))+INTERCEPT('Raw touched'!$E73:$U73,$E$5:$U$5)),'Raw touched'!N73)</f>
        <v>41.314285958571418</v>
      </c>
      <c r="O73" s="4">
        <f>IF(ISBLANK('Raw touched'!O73),((O$5*SLOPE('Raw touched'!$E73:$U73,$E$5:$U$5))+INTERCEPT('Raw touched'!$E73:$U73,$E$5:$U$5)),'Raw touched'!O73)</f>
        <v>43.135714597857259</v>
      </c>
      <c r="P73" s="4">
        <f>IF(ISBLANK('Raw touched'!P73),((P$5*SLOPE('Raw touched'!$E73:$U73,$E$5:$U$5))+INTERCEPT('Raw touched'!$E73:$U73,$E$5:$U$5)),'Raw touched'!P73)</f>
        <v>44.9571432371431</v>
      </c>
      <c r="Q73" s="4">
        <f>IF(ISBLANK('Raw touched'!Q73),((Q$5*SLOPE('Raw touched'!$E73:$U73,$E$5:$U$5))+INTERCEPT('Raw touched'!$E73:$U73,$E$5:$U$5)),'Raw touched'!Q73)</f>
        <v>46.778571876428487</v>
      </c>
      <c r="R73" s="4">
        <f>IF(ISBLANK('Raw touched'!R73),((R$5*SLOPE('Raw touched'!$E73:$U73,$E$5:$U$5))+INTERCEPT('Raw touched'!$E73:$U73,$E$5:$U$5)),'Raw touched'!R73)</f>
        <v>48.600000515714328</v>
      </c>
      <c r="S73" s="4">
        <f>IF(ISBLANK('Raw touched'!S73),((S$5*SLOPE('Raw touched'!$E73:$U73,$E$5:$U$5))+INTERCEPT('Raw touched'!$E73:$U73,$E$5:$U$5)),'Raw touched'!S73)</f>
        <v>50.421429155000169</v>
      </c>
      <c r="T73" s="4">
        <f>IF(ISBLANK('Raw touched'!T73),((T$5*SLOPE('Raw touched'!$E73:$U73,$E$5:$U$5))+INTERCEPT('Raw touched'!$E73:$U73,$E$5:$U$5)),'Raw touched'!T73)</f>
        <v>52.24285779428601</v>
      </c>
      <c r="U73" s="4">
        <f>IF(ISBLANK('Raw touched'!U73),((U$5*SLOPE('Raw touched'!$E73:$U73,$E$5:$U$5))+INTERCEPT('Raw touched'!$E73:$U73,$E$5:$U$5)),'Raw touched'!U73)</f>
        <v>54.064286433571397</v>
      </c>
    </row>
    <row r="74" spans="3:21" ht="13">
      <c r="C74" s="1" t="s">
        <v>40</v>
      </c>
      <c r="D74" s="1" t="s">
        <v>232</v>
      </c>
      <c r="E74" s="4">
        <f>IF(ISBLANK('Raw touched'!E74),((E$5*SLOPE('Raw touched'!$E74:$U74,$E$5:$U$5))+INTERCEPT('Raw touched'!$E74:$U74,$E$5:$U$5)),'Raw touched'!E74)</f>
        <v>16.399999619999999</v>
      </c>
      <c r="F74" s="4">
        <f>IF(ISBLANK('Raw touched'!F74),((F$5*SLOPE('Raw touched'!$E74:$U74,$E$5:$U$5))+INTERCEPT('Raw touched'!$E74:$U74,$E$5:$U$5)),'Raw touched'!F74)</f>
        <v>16.5</v>
      </c>
      <c r="G74" s="4">
        <f>IF(ISBLANK('Raw touched'!G74),((G$5*SLOPE('Raw touched'!$E74:$U74,$E$5:$U$5))+INTERCEPT('Raw touched'!$E74:$U74,$E$5:$U$5)),'Raw touched'!G74)</f>
        <v>16.5</v>
      </c>
      <c r="H74" s="4">
        <f>IF(ISBLANK('Raw touched'!H74),((H$5*SLOPE('Raw touched'!$E74:$U74,$E$5:$U$5))+INTERCEPT('Raw touched'!$E74:$U74,$E$5:$U$5)),'Raw touched'!H74)</f>
        <v>16.5</v>
      </c>
      <c r="I74" s="4">
        <f>IF(ISBLANK('Raw touched'!I74),((I$5*SLOPE('Raw touched'!$E74:$U74,$E$5:$U$5))+INTERCEPT('Raw touched'!$E74:$U74,$E$5:$U$5)),'Raw touched'!I74)</f>
        <v>16.5</v>
      </c>
      <c r="J74" s="4">
        <f>IF(ISBLANK('Raw touched'!J74),((J$5*SLOPE('Raw touched'!$E74:$U74,$E$5:$U$5))+INTERCEPT('Raw touched'!$E74:$U74,$E$5:$U$5)),'Raw touched'!J74)</f>
        <v>16.5</v>
      </c>
      <c r="K74" s="4">
        <f>IF(ISBLANK('Raw touched'!K74),((K$5*SLOPE('Raw touched'!$E74:$U74,$E$5:$U$5))+INTERCEPT('Raw touched'!$E74:$U74,$E$5:$U$5)),'Raw touched'!K74)</f>
        <v>13.570625007125045</v>
      </c>
      <c r="L74" s="4">
        <f>IF(ISBLANK('Raw touched'!L74),((L$5*SLOPE('Raw touched'!$E74:$U74,$E$5:$U$5))+INTERCEPT('Raw touched'!$E74:$U74,$E$5:$U$5)),'Raw touched'!L74)</f>
        <v>12.849802663329001</v>
      </c>
      <c r="M74" s="4">
        <f>IF(ISBLANK('Raw touched'!M74),((M$5*SLOPE('Raw touched'!$E74:$U74,$E$5:$U$5))+INTERCEPT('Raw touched'!$E74:$U74,$E$5:$U$5)),'Raw touched'!M74)</f>
        <v>9.7899999619999996</v>
      </c>
      <c r="N74" s="4">
        <f>IF(ISBLANK('Raw touched'!N74),((N$5*SLOPE('Raw touched'!$E74:$U74,$E$5:$U$5))+INTERCEPT('Raw touched'!$E74:$U74,$E$5:$U$5)),'Raw touched'!N74)</f>
        <v>11.408157975736913</v>
      </c>
      <c r="O74" s="4">
        <f>IF(ISBLANK('Raw touched'!O74),((O$5*SLOPE('Raw touched'!$E74:$U74,$E$5:$U$5))+INTERCEPT('Raw touched'!$E74:$U74,$E$5:$U$5)),'Raw touched'!O74)</f>
        <v>10.687335631940869</v>
      </c>
      <c r="P74" s="4">
        <f>IF(ISBLANK('Raw touched'!P74),((P$5*SLOPE('Raw touched'!$E74:$U74,$E$5:$U$5))+INTERCEPT('Raw touched'!$E74:$U74,$E$5:$U$5)),'Raw touched'!P74)</f>
        <v>9.9665132881448244</v>
      </c>
      <c r="Q74" s="4">
        <f>IF(ISBLANK('Raw touched'!Q74),((Q$5*SLOPE('Raw touched'!$E74:$U74,$E$5:$U$5))+INTERCEPT('Raw touched'!$E74:$U74,$E$5:$U$5)),'Raw touched'!Q74)</f>
        <v>9.2456909443487802</v>
      </c>
      <c r="R74" s="4">
        <f>IF(ISBLANK('Raw touched'!R74),((R$5*SLOPE('Raw touched'!$E74:$U74,$E$5:$U$5))+INTERCEPT('Raw touched'!$E74:$U74,$E$5:$U$5)),'Raw touched'!R74)</f>
        <v>8.5248686005525087</v>
      </c>
      <c r="S74" s="4">
        <f>IF(ISBLANK('Raw touched'!S74),((S$5*SLOPE('Raw touched'!$E74:$U74,$E$5:$U$5))+INTERCEPT('Raw touched'!$E74:$U74,$E$5:$U$5)),'Raw touched'!S74)</f>
        <v>7.8040462567564646</v>
      </c>
      <c r="T74" s="4">
        <f>IF(ISBLANK('Raw touched'!T74),((T$5*SLOPE('Raw touched'!$E74:$U74,$E$5:$U$5))+INTERCEPT('Raw touched'!$E74:$U74,$E$5:$U$5)),'Raw touched'!T74)</f>
        <v>7.0832239129604204</v>
      </c>
      <c r="U74" s="4">
        <f>IF(ISBLANK('Raw touched'!U74),((U$5*SLOPE('Raw touched'!$E74:$U74,$E$5:$U$5))+INTERCEPT('Raw touched'!$E74:$U74,$E$5:$U$5)),'Raw touched'!U74)</f>
        <v>6.3624015691643763</v>
      </c>
    </row>
    <row r="75" spans="3:21" ht="13">
      <c r="C75" s="1" t="s">
        <v>310</v>
      </c>
      <c r="D75" s="1" t="s">
        <v>397</v>
      </c>
      <c r="E75" s="4">
        <f>IF(ISBLANK('Raw touched'!E75),((E$5*SLOPE('Raw touched'!$E75:$U75,$E$5:$U$5))+INTERCEPT('Raw touched'!$E75:$U75,$E$5:$U$5)),'Raw touched'!E75)</f>
        <v>10.19999981</v>
      </c>
      <c r="F75" s="4">
        <f>IF(ISBLANK('Raw touched'!F75),((F$5*SLOPE('Raw touched'!$E75:$U75,$E$5:$U$5))+INTERCEPT('Raw touched'!$E75:$U75,$E$5:$U$5)),'Raw touched'!F75)</f>
        <v>10.30000019</v>
      </c>
      <c r="G75" s="4">
        <f>IF(ISBLANK('Raw touched'!G75),((G$5*SLOPE('Raw touched'!$E75:$U75,$E$5:$U$5))+INTERCEPT('Raw touched'!$E75:$U75,$E$5:$U$5)),'Raw touched'!G75)</f>
        <v>10.30000019</v>
      </c>
      <c r="H75" s="4">
        <f>IF(ISBLANK('Raw touched'!H75),((H$5*SLOPE('Raw touched'!$E75:$U75,$E$5:$U$5))+INTERCEPT('Raw touched'!$E75:$U75,$E$5:$U$5)),'Raw touched'!H75)</f>
        <v>10.30000019</v>
      </c>
      <c r="I75" s="4">
        <f>IF(ISBLANK('Raw touched'!I75),((I$5*SLOPE('Raw touched'!$E75:$U75,$E$5:$U$5))+INTERCEPT('Raw touched'!$E75:$U75,$E$5:$U$5)),'Raw touched'!I75)</f>
        <v>17.541781123013607</v>
      </c>
      <c r="J75" s="4">
        <f>IF(ISBLANK('Raw touched'!J75),((J$5*SLOPE('Raw touched'!$E75:$U75,$E$5:$U$5))+INTERCEPT('Raw touched'!$E75:$U75,$E$5:$U$5)),'Raw touched'!J75)</f>
        <v>20.208767509451718</v>
      </c>
      <c r="K75" s="4">
        <f>IF(ISBLANK('Raw touched'!K75),((K$5*SLOPE('Raw touched'!$E75:$U75,$E$5:$U$5))+INTERCEPT('Raw touched'!$E75:$U75,$E$5:$U$5)),'Raw touched'!K75)</f>
        <v>22.875753895889829</v>
      </c>
      <c r="L75" s="4">
        <f>IF(ISBLANK('Raw touched'!L75),((L$5*SLOPE('Raw touched'!$E75:$U75,$E$5:$U$5))+INTERCEPT('Raw touched'!$E75:$U75,$E$5:$U$5)),'Raw touched'!L75)</f>
        <v>27.940000529999999</v>
      </c>
      <c r="M75" s="4">
        <f>IF(ISBLANK('Raw touched'!M75),((M$5*SLOPE('Raw touched'!$E75:$U75,$E$5:$U$5))+INTERCEPT('Raw touched'!$E75:$U75,$E$5:$U$5)),'Raw touched'!M75)</f>
        <v>28.209726668766962</v>
      </c>
      <c r="N75" s="4">
        <f>IF(ISBLANK('Raw touched'!N75),((N$5*SLOPE('Raw touched'!$E75:$U75,$E$5:$U$5))+INTERCEPT('Raw touched'!$E75:$U75,$E$5:$U$5)),'Raw touched'!N75)</f>
        <v>30.876713055205073</v>
      </c>
      <c r="O75" s="4">
        <f>IF(ISBLANK('Raw touched'!O75),((O$5*SLOPE('Raw touched'!$E75:$U75,$E$5:$U$5))+INTERCEPT('Raw touched'!$E75:$U75,$E$5:$U$5)),'Raw touched'!O75)</f>
        <v>33.543699441643184</v>
      </c>
      <c r="P75" s="4">
        <f>IF(ISBLANK('Raw touched'!P75),((P$5*SLOPE('Raw touched'!$E75:$U75,$E$5:$U$5))+INTERCEPT('Raw touched'!$E75:$U75,$E$5:$U$5)),'Raw touched'!P75)</f>
        <v>36.210685828082205</v>
      </c>
      <c r="Q75" s="4">
        <f>IF(ISBLANK('Raw touched'!Q75),((Q$5*SLOPE('Raw touched'!$E75:$U75,$E$5:$U$5))+INTERCEPT('Raw touched'!$E75:$U75,$E$5:$U$5)),'Raw touched'!Q75)</f>
        <v>38.877672214520317</v>
      </c>
      <c r="R75" s="4">
        <f>IF(ISBLANK('Raw touched'!R75),((R$5*SLOPE('Raw touched'!$E75:$U75,$E$5:$U$5))+INTERCEPT('Raw touched'!$E75:$U75,$E$5:$U$5)),'Raw touched'!R75)</f>
        <v>41.544658600958428</v>
      </c>
      <c r="S75" s="4">
        <f>IF(ISBLANK('Raw touched'!S75),((S$5*SLOPE('Raw touched'!$E75:$U75,$E$5:$U$5))+INTERCEPT('Raw touched'!$E75:$U75,$E$5:$U$5)),'Raw touched'!S75)</f>
        <v>44.211644987397449</v>
      </c>
      <c r="T75" s="4">
        <f>IF(ISBLANK('Raw touched'!T75),((T$5*SLOPE('Raw touched'!$E75:$U75,$E$5:$U$5))+INTERCEPT('Raw touched'!$E75:$U75,$E$5:$U$5)),'Raw touched'!T75)</f>
        <v>46.87863137383556</v>
      </c>
      <c r="U75" s="4">
        <f>IF(ISBLANK('Raw touched'!U75),((U$5*SLOPE('Raw touched'!$E75:$U75,$E$5:$U$5))+INTERCEPT('Raw touched'!$E75:$U75,$E$5:$U$5)),'Raw touched'!U75)</f>
        <v>49.545617760273672</v>
      </c>
    </row>
    <row r="76" spans="3:21" ht="13">
      <c r="C76" s="1" t="s">
        <v>198</v>
      </c>
      <c r="D76" s="1" t="s">
        <v>15</v>
      </c>
      <c r="E76" s="4">
        <f>IF(ISBLANK('Raw touched'!E76),((E$5*SLOPE('Raw touched'!$E76:$U76,$E$5:$U$5))+INTERCEPT('Raw touched'!$E76:$U76,$E$5:$U$5)),'Raw touched'!E76)</f>
        <v>7.3000001909999996</v>
      </c>
      <c r="F76" s="4">
        <f>IF(ISBLANK('Raw touched'!F76),((F$5*SLOPE('Raw touched'!$E76:$U76,$E$5:$U$5))+INTERCEPT('Raw touched'!$E76:$U76,$E$5:$U$5)),'Raw touched'!F76)</f>
        <v>7.4000000950000002</v>
      </c>
      <c r="G76" s="4">
        <f>IF(ISBLANK('Raw touched'!G76),((G$5*SLOPE('Raw touched'!$E76:$U76,$E$5:$U$5))+INTERCEPT('Raw touched'!$E76:$U76,$E$5:$U$5)),'Raw touched'!G76)</f>
        <v>7.4000000950000002</v>
      </c>
      <c r="H76" s="4">
        <f>IF(ISBLANK('Raw touched'!H76),((H$5*SLOPE('Raw touched'!$E76:$U76,$E$5:$U$5))+INTERCEPT('Raw touched'!$E76:$U76,$E$5:$U$5)),'Raw touched'!H76)</f>
        <v>7.4000000950000002</v>
      </c>
      <c r="I76" s="4">
        <f>IF(ISBLANK('Raw touched'!I76),((I$5*SLOPE('Raw touched'!$E76:$U76,$E$5:$U$5))+INTERCEPT('Raw touched'!$E76:$U76,$E$5:$U$5)),'Raw touched'!I76)</f>
        <v>7.4000000950000002</v>
      </c>
      <c r="J76" s="4">
        <f>IF(ISBLANK('Raw touched'!J76),((J$5*SLOPE('Raw touched'!$E76:$U76,$E$5:$U$5))+INTERCEPT('Raw touched'!$E76:$U76,$E$5:$U$5)),'Raw touched'!J76)</f>
        <v>7.4000000950000002</v>
      </c>
      <c r="K76" s="4">
        <f>IF(ISBLANK('Raw touched'!K76),((K$5*SLOPE('Raw touched'!$E76:$U76,$E$5:$U$5))+INTERCEPT('Raw touched'!$E76:$U76,$E$5:$U$5)),'Raw touched'!K76)</f>
        <v>7.4000000950000002</v>
      </c>
      <c r="L76" s="4">
        <f>IF(ISBLANK('Raw touched'!L76),((L$5*SLOPE('Raw touched'!$E76:$U76,$E$5:$U$5))+INTERCEPT('Raw touched'!$E76:$U76,$E$5:$U$5)),'Raw touched'!L76)</f>
        <v>7.4285714961428582</v>
      </c>
      <c r="M76" s="4">
        <f>IF(ISBLANK('Raw touched'!M76),((M$5*SLOPE('Raw touched'!$E76:$U76,$E$5:$U$5))+INTERCEPT('Raw touched'!$E76:$U76,$E$5:$U$5)),'Raw touched'!M76)</f>
        <v>7.4392857715714307</v>
      </c>
      <c r="N76" s="4">
        <f>IF(ISBLANK('Raw touched'!N76),((N$5*SLOPE('Raw touched'!$E76:$U76,$E$5:$U$5))+INTERCEPT('Raw touched'!$E76:$U76,$E$5:$U$5)),'Raw touched'!N76)</f>
        <v>7.4500000470000032</v>
      </c>
      <c r="O76" s="4">
        <f>IF(ISBLANK('Raw touched'!O76),((O$5*SLOPE('Raw touched'!$E76:$U76,$E$5:$U$5))+INTERCEPT('Raw touched'!$E76:$U76,$E$5:$U$5)),'Raw touched'!O76)</f>
        <v>7.4607143224285721</v>
      </c>
      <c r="P76" s="4">
        <f>IF(ISBLANK('Raw touched'!P76),((P$5*SLOPE('Raw touched'!$E76:$U76,$E$5:$U$5))+INTERCEPT('Raw touched'!$E76:$U76,$E$5:$U$5)),'Raw touched'!P76)</f>
        <v>7.4714285978571446</v>
      </c>
      <c r="Q76" s="4">
        <f>IF(ISBLANK('Raw touched'!Q76),((Q$5*SLOPE('Raw touched'!$E76:$U76,$E$5:$U$5))+INTERCEPT('Raw touched'!$E76:$U76,$E$5:$U$5)),'Raw touched'!Q76)</f>
        <v>7.4821428732857171</v>
      </c>
      <c r="R76" s="4">
        <f>IF(ISBLANK('Raw touched'!R76),((R$5*SLOPE('Raw touched'!$E76:$U76,$E$5:$U$5))+INTERCEPT('Raw touched'!$E76:$U76,$E$5:$U$5)),'Raw touched'!R76)</f>
        <v>7.4928571487142861</v>
      </c>
      <c r="S76" s="4">
        <f>IF(ISBLANK('Raw touched'!S76),((S$5*SLOPE('Raw touched'!$E76:$U76,$E$5:$U$5))+INTERCEPT('Raw touched'!$E76:$U76,$E$5:$U$5)),'Raw touched'!S76)</f>
        <v>7.5035714241428586</v>
      </c>
      <c r="T76" s="4">
        <f>IF(ISBLANK('Raw touched'!T76),((T$5*SLOPE('Raw touched'!$E76:$U76,$E$5:$U$5))+INTERCEPT('Raw touched'!$E76:$U76,$E$5:$U$5)),'Raw touched'!T76)</f>
        <v>7.5142856995714311</v>
      </c>
      <c r="U76" s="4">
        <f>IF(ISBLANK('Raw touched'!U76),((U$5*SLOPE('Raw touched'!$E76:$U76,$E$5:$U$5))+INTERCEPT('Raw touched'!$E76:$U76,$E$5:$U$5)),'Raw touched'!U76)</f>
        <v>7.5249999750000036</v>
      </c>
    </row>
    <row r="77" spans="3:21" ht="13">
      <c r="C77" s="1" t="s">
        <v>287</v>
      </c>
      <c r="D77" s="1" t="s">
        <v>178</v>
      </c>
      <c r="E77" s="4">
        <f>IF(ISBLANK('Raw touched'!E77),((E$5*SLOPE('Raw touched'!$E77:$U77,$E$5:$U$5))+INTERCEPT('Raw touched'!$E77:$U77,$E$5:$U$5)),'Raw touched'!E77)</f>
        <v>24.200000760000002</v>
      </c>
      <c r="F77" s="4">
        <f>IF(ISBLANK('Raw touched'!F77),((F$5*SLOPE('Raw touched'!$E77:$U77,$E$5:$U$5))+INTERCEPT('Raw touched'!$E77:$U77,$E$5:$U$5)),'Raw touched'!F77)</f>
        <v>24.299999239999998</v>
      </c>
      <c r="G77" s="4">
        <f>IF(ISBLANK('Raw touched'!G77),((G$5*SLOPE('Raw touched'!$E77:$U77,$E$5:$U$5))+INTERCEPT('Raw touched'!$E77:$U77,$E$5:$U$5)),'Raw touched'!G77)</f>
        <v>24.299999239999998</v>
      </c>
      <c r="H77" s="4">
        <f>IF(ISBLANK('Raw touched'!H77),((H$5*SLOPE('Raw touched'!$E77:$U77,$E$5:$U$5))+INTERCEPT('Raw touched'!$E77:$U77,$E$5:$U$5)),'Raw touched'!H77)</f>
        <v>24.299999239999998</v>
      </c>
      <c r="I77" s="4">
        <f>IF(ISBLANK('Raw touched'!I77),((I$5*SLOPE('Raw touched'!$E77:$U77,$E$5:$U$5))+INTERCEPT('Raw touched'!$E77:$U77,$E$5:$U$5)),'Raw touched'!I77)</f>
        <v>24.299999239999998</v>
      </c>
      <c r="J77" s="4">
        <f>IF(ISBLANK('Raw touched'!J77),((J$5*SLOPE('Raw touched'!$E77:$U77,$E$5:$U$5))+INTERCEPT('Raw touched'!$E77:$U77,$E$5:$U$5)),'Raw touched'!J77)</f>
        <v>24.299999239999998</v>
      </c>
      <c r="K77" s="4">
        <f>IF(ISBLANK('Raw touched'!K77),((K$5*SLOPE('Raw touched'!$E77:$U77,$E$5:$U$5))+INTERCEPT('Raw touched'!$E77:$U77,$E$5:$U$5)),'Raw touched'!K77)</f>
        <v>24.299999239999998</v>
      </c>
      <c r="L77" s="4">
        <f>IF(ISBLANK('Raw touched'!L77),((L$5*SLOPE('Raw touched'!$E77:$U77,$E$5:$U$5))+INTERCEPT('Raw touched'!$E77:$U77,$E$5:$U$5)),'Raw touched'!L77)</f>
        <v>24.328570234285717</v>
      </c>
      <c r="M77" s="4">
        <f>IF(ISBLANK('Raw touched'!M77),((M$5*SLOPE('Raw touched'!$E77:$U77,$E$5:$U$5))+INTERCEPT('Raw touched'!$E77:$U77,$E$5:$U$5)),'Raw touched'!M77)</f>
        <v>24.339284357142859</v>
      </c>
      <c r="N77" s="4">
        <f>IF(ISBLANK('Raw touched'!N77),((N$5*SLOPE('Raw touched'!$E77:$U77,$E$5:$U$5))+INTERCEPT('Raw touched'!$E77:$U77,$E$5:$U$5)),'Raw touched'!N77)</f>
        <v>24.34999848</v>
      </c>
      <c r="O77" s="4">
        <f>IF(ISBLANK('Raw touched'!O77),((O$5*SLOPE('Raw touched'!$E77:$U77,$E$5:$U$5))+INTERCEPT('Raw touched'!$E77:$U77,$E$5:$U$5)),'Raw touched'!O77)</f>
        <v>24.360712602857145</v>
      </c>
      <c r="P77" s="4">
        <f>IF(ISBLANK('Raw touched'!P77),((P$5*SLOPE('Raw touched'!$E77:$U77,$E$5:$U$5))+INTERCEPT('Raw touched'!$E77:$U77,$E$5:$U$5)),'Raw touched'!P77)</f>
        <v>24.371426725714286</v>
      </c>
      <c r="Q77" s="4">
        <f>IF(ISBLANK('Raw touched'!Q77),((Q$5*SLOPE('Raw touched'!$E77:$U77,$E$5:$U$5))+INTERCEPT('Raw touched'!$E77:$U77,$E$5:$U$5)),'Raw touched'!Q77)</f>
        <v>24.382140848571428</v>
      </c>
      <c r="R77" s="4">
        <f>IF(ISBLANK('Raw touched'!R77),((R$5*SLOPE('Raw touched'!$E77:$U77,$E$5:$U$5))+INTERCEPT('Raw touched'!$E77:$U77,$E$5:$U$5)),'Raw touched'!R77)</f>
        <v>24.392854971428573</v>
      </c>
      <c r="S77" s="4">
        <f>IF(ISBLANK('Raw touched'!S77),((S$5*SLOPE('Raw touched'!$E77:$U77,$E$5:$U$5))+INTERCEPT('Raw touched'!$E77:$U77,$E$5:$U$5)),'Raw touched'!S77)</f>
        <v>24.403569094285714</v>
      </c>
      <c r="T77" s="4">
        <f>IF(ISBLANK('Raw touched'!T77),((T$5*SLOPE('Raw touched'!$E77:$U77,$E$5:$U$5))+INTERCEPT('Raw touched'!$E77:$U77,$E$5:$U$5)),'Raw touched'!T77)</f>
        <v>24.414283217142856</v>
      </c>
      <c r="U77" s="4">
        <f>IF(ISBLANK('Raw touched'!U77),((U$5*SLOPE('Raw touched'!$E77:$U77,$E$5:$U$5))+INTERCEPT('Raw touched'!$E77:$U77,$E$5:$U$5)),'Raw touched'!U77)</f>
        <v>24.424997339999997</v>
      </c>
    </row>
    <row r="78" spans="3:21" ht="13">
      <c r="C78" s="1" t="s">
        <v>47</v>
      </c>
      <c r="D78" s="1" t="s">
        <v>158</v>
      </c>
      <c r="E78" s="4">
        <f>IF(ISBLANK('Raw touched'!E78),((E$5*SLOPE('Raw touched'!$E78:$U78,$E$5:$U$5))+INTERCEPT('Raw touched'!$E78:$U78,$E$5:$U$5)),'Raw touched'!E78)</f>
        <v>20.399999619999999</v>
      </c>
      <c r="F78" s="4">
        <f>IF(ISBLANK('Raw touched'!F78),((F$5*SLOPE('Raw touched'!$E78:$U78,$E$5:$U$5))+INTERCEPT('Raw touched'!$E78:$U78,$E$5:$U$5)),'Raw touched'!F78)</f>
        <v>20.399999619999999</v>
      </c>
      <c r="G78" s="4">
        <f>IF(ISBLANK('Raw touched'!G78),((G$5*SLOPE('Raw touched'!$E78:$U78,$E$5:$U$5))+INTERCEPT('Raw touched'!$E78:$U78,$E$5:$U$5)),'Raw touched'!G78)</f>
        <v>20.399999619999999</v>
      </c>
      <c r="H78" s="4">
        <f>IF(ISBLANK('Raw touched'!H78),((H$5*SLOPE('Raw touched'!$E78:$U78,$E$5:$U$5))+INTERCEPT('Raw touched'!$E78:$U78,$E$5:$U$5)),'Raw touched'!H78)</f>
        <v>20.399999619999999</v>
      </c>
      <c r="I78" s="4">
        <f>IF(ISBLANK('Raw touched'!I78),((I$5*SLOPE('Raw touched'!$E78:$U78,$E$5:$U$5))+INTERCEPT('Raw touched'!$E78:$U78,$E$5:$U$5)),'Raw touched'!I78)</f>
        <v>20.399999619999999</v>
      </c>
      <c r="J78" s="4">
        <f>IF(ISBLANK('Raw touched'!J78),((J$5*SLOPE('Raw touched'!$E78:$U78,$E$5:$U$5))+INTERCEPT('Raw touched'!$E78:$U78,$E$5:$U$5)),'Raw touched'!J78)</f>
        <v>20.399999619999999</v>
      </c>
      <c r="K78" s="4">
        <f>IF(ISBLANK('Raw touched'!K78),((K$5*SLOPE('Raw touched'!$E78:$U78,$E$5:$U$5))+INTERCEPT('Raw touched'!$E78:$U78,$E$5:$U$5)),'Raw touched'!K78)</f>
        <v>20.399999619999999</v>
      </c>
      <c r="L78" s="4">
        <f>IF(ISBLANK('Raw touched'!L78),((L$5*SLOPE('Raw touched'!$E78:$U78,$E$5:$U$5))+INTERCEPT('Raw touched'!$E78:$U78,$E$5:$U$5)),'Raw touched'!L78)</f>
        <v>20.399999619999999</v>
      </c>
      <c r="M78" s="4">
        <f>IF(ISBLANK('Raw touched'!M78),((M$5*SLOPE('Raw touched'!$E78:$U78,$E$5:$U$5))+INTERCEPT('Raw touched'!$E78:$U78,$E$5:$U$5)),'Raw touched'!M78)</f>
        <v>20.399999619999999</v>
      </c>
      <c r="N78" s="4">
        <f>IF(ISBLANK('Raw touched'!N78),((N$5*SLOPE('Raw touched'!$E78:$U78,$E$5:$U$5))+INTERCEPT('Raw touched'!$E78:$U78,$E$5:$U$5)),'Raw touched'!N78)</f>
        <v>20.399999619999999</v>
      </c>
      <c r="O78" s="4">
        <f>IF(ISBLANK('Raw touched'!O78),((O$5*SLOPE('Raw touched'!$E78:$U78,$E$5:$U$5))+INTERCEPT('Raw touched'!$E78:$U78,$E$5:$U$5)),'Raw touched'!O78)</f>
        <v>20.399999619999999</v>
      </c>
      <c r="P78" s="4">
        <f>IF(ISBLANK('Raw touched'!P78),((P$5*SLOPE('Raw touched'!$E78:$U78,$E$5:$U$5))+INTERCEPT('Raw touched'!$E78:$U78,$E$5:$U$5)),'Raw touched'!P78)</f>
        <v>20.399999619999999</v>
      </c>
      <c r="Q78" s="4">
        <f>IF(ISBLANK('Raw touched'!Q78),((Q$5*SLOPE('Raw touched'!$E78:$U78,$E$5:$U$5))+INTERCEPT('Raw touched'!$E78:$U78,$E$5:$U$5)),'Raw touched'!Q78)</f>
        <v>20.399999619999999</v>
      </c>
      <c r="R78" s="4">
        <f>IF(ISBLANK('Raw touched'!R78),((R$5*SLOPE('Raw touched'!$E78:$U78,$E$5:$U$5))+INTERCEPT('Raw touched'!$E78:$U78,$E$5:$U$5)),'Raw touched'!R78)</f>
        <v>20.399999619999999</v>
      </c>
      <c r="S78" s="4">
        <f>IF(ISBLANK('Raw touched'!S78),((S$5*SLOPE('Raw touched'!$E78:$U78,$E$5:$U$5))+INTERCEPT('Raw touched'!$E78:$U78,$E$5:$U$5)),'Raw touched'!S78)</f>
        <v>20.399999619999999</v>
      </c>
      <c r="T78" s="4">
        <f>IF(ISBLANK('Raw touched'!T78),((T$5*SLOPE('Raw touched'!$E78:$U78,$E$5:$U$5))+INTERCEPT('Raw touched'!$E78:$U78,$E$5:$U$5)),'Raw touched'!T78)</f>
        <v>20.399999619999999</v>
      </c>
      <c r="U78" s="4">
        <f>IF(ISBLANK('Raw touched'!U78),((U$5*SLOPE('Raw touched'!$E78:$U78,$E$5:$U$5))+INTERCEPT('Raw touched'!$E78:$U78,$E$5:$U$5)),'Raw touched'!U78)</f>
        <v>20.399999619999999</v>
      </c>
    </row>
    <row r="79" spans="3:21" ht="13">
      <c r="C79" s="1" t="s">
        <v>316</v>
      </c>
      <c r="D79" s="1" t="s">
        <v>331</v>
      </c>
      <c r="E79" s="4">
        <f>IF(ISBLANK('Raw touched'!E79),((E$5*SLOPE('Raw touched'!$E79:$U79,$E$5:$U$5))+INTERCEPT('Raw touched'!$E79:$U79,$E$5:$U$5)),'Raw touched'!E79)</f>
        <v>44.099998470000003</v>
      </c>
      <c r="F79" s="4">
        <f>IF(ISBLANK('Raw touched'!F79),((F$5*SLOPE('Raw touched'!$E79:$U79,$E$5:$U$5))+INTERCEPT('Raw touched'!$E79:$U79,$E$5:$U$5)),'Raw touched'!F79)</f>
        <v>43.099998470000003</v>
      </c>
      <c r="G79" s="4">
        <f>IF(ISBLANK('Raw touched'!G79),((G$5*SLOPE('Raw touched'!$E79:$U79,$E$5:$U$5))+INTERCEPT('Raw touched'!$E79:$U79,$E$5:$U$5)),'Raw touched'!G79)</f>
        <v>43.400001529999997</v>
      </c>
      <c r="H79" s="4">
        <f>IF(ISBLANK('Raw touched'!H79),((H$5*SLOPE('Raw touched'!$E79:$U79,$E$5:$U$5))+INTERCEPT('Raw touched'!$E79:$U79,$E$5:$U$5)),'Raw touched'!H79)</f>
        <v>43.400001529999997</v>
      </c>
      <c r="I79" s="4">
        <f>IF(ISBLANK('Raw touched'!I79),((I$5*SLOPE('Raw touched'!$E79:$U79,$E$5:$U$5))+INTERCEPT('Raw touched'!$E79:$U79,$E$5:$U$5)),'Raw touched'!I79)</f>
        <v>43.015083425862031</v>
      </c>
      <c r="J79" s="4">
        <f>IF(ISBLANK('Raw touched'!J79),((J$5*SLOPE('Raw touched'!$E79:$U79,$E$5:$U$5))+INTERCEPT('Raw touched'!$E79:$U79,$E$5:$U$5)),'Raw touched'!J79)</f>
        <v>42.526227234617636</v>
      </c>
      <c r="K79" s="4">
        <f>IF(ISBLANK('Raw touched'!K79),((K$5*SLOPE('Raw touched'!$E79:$U79,$E$5:$U$5))+INTERCEPT('Raw touched'!$E79:$U79,$E$5:$U$5)),'Raw touched'!K79)</f>
        <v>43.700000760000002</v>
      </c>
      <c r="L79" s="4">
        <f>IF(ISBLANK('Raw touched'!L79),((L$5*SLOPE('Raw touched'!$E79:$U79,$E$5:$U$5))+INTERCEPT('Raw touched'!$E79:$U79,$E$5:$U$5)),'Raw touched'!L79)</f>
        <v>43.900001529999997</v>
      </c>
      <c r="M79" s="4">
        <f>IF(ISBLANK('Raw touched'!M79),((M$5*SLOPE('Raw touched'!$E79:$U79,$E$5:$U$5))+INTERCEPT('Raw touched'!$E79:$U79,$E$5:$U$5)),'Raw touched'!M79)</f>
        <v>43.900001529999997</v>
      </c>
      <c r="N79" s="4">
        <f>IF(ISBLANK('Raw touched'!N79),((N$5*SLOPE('Raw touched'!$E79:$U79,$E$5:$U$5))+INTERCEPT('Raw touched'!$E79:$U79,$E$5:$U$5)),'Raw touched'!N79)</f>
        <v>40.570802469640171</v>
      </c>
      <c r="O79" s="4">
        <f>IF(ISBLANK('Raw touched'!O79),((O$5*SLOPE('Raw touched'!$E79:$U79,$E$5:$U$5))+INTERCEPT('Raw touched'!$E79:$U79,$E$5:$U$5)),'Raw touched'!O79)</f>
        <v>40.081946278395776</v>
      </c>
      <c r="P79" s="4">
        <f>IF(ISBLANK('Raw touched'!P79),((P$5*SLOPE('Raw touched'!$E79:$U79,$E$5:$U$5))+INTERCEPT('Raw touched'!$E79:$U79,$E$5:$U$5)),'Raw touched'!P79)</f>
        <v>38.040820259999997</v>
      </c>
      <c r="Q79" s="4">
        <f>IF(ISBLANK('Raw touched'!Q79),((Q$5*SLOPE('Raw touched'!$E79:$U79,$E$5:$U$5))+INTERCEPT('Raw touched'!$E79:$U79,$E$5:$U$5)),'Raw touched'!Q79)</f>
        <v>37.716317779999997</v>
      </c>
      <c r="R79" s="4">
        <f>IF(ISBLANK('Raw touched'!R79),((R$5*SLOPE('Raw touched'!$E79:$U79,$E$5:$U$5))+INTERCEPT('Raw touched'!$E79:$U79,$E$5:$U$5)),'Raw touched'!R79)</f>
        <v>37.65</v>
      </c>
      <c r="S79" s="4">
        <f>IF(ISBLANK('Raw touched'!S79),((S$5*SLOPE('Raw touched'!$E79:$U79,$E$5:$U$5))+INTERCEPT('Raw touched'!$E79:$U79,$E$5:$U$5)),'Raw touched'!S79)</f>
        <v>38.126521513418197</v>
      </c>
      <c r="T79" s="4">
        <f>IF(ISBLANK('Raw touched'!T79),((T$5*SLOPE('Raw touched'!$E79:$U79,$E$5:$U$5))+INTERCEPT('Raw touched'!$E79:$U79,$E$5:$U$5)),'Raw touched'!T79)</f>
        <v>37.637665322173802</v>
      </c>
      <c r="U79" s="4">
        <f>IF(ISBLANK('Raw touched'!U79),((U$5*SLOPE('Raw touched'!$E79:$U79,$E$5:$U$5))+INTERCEPT('Raw touched'!$E79:$U79,$E$5:$U$5)),'Raw touched'!U79)</f>
        <v>37.148809130929521</v>
      </c>
    </row>
    <row r="80" spans="3:21" ht="13">
      <c r="C80" s="1" t="s">
        <v>343</v>
      </c>
      <c r="D80" s="1" t="s">
        <v>195</v>
      </c>
      <c r="E80" s="4">
        <f>IF(ISBLANK('Raw touched'!E80),((E$5*SLOPE('Raw touched'!$E80:$U80,$E$5:$U$5))+INTERCEPT('Raw touched'!$E80:$U80,$E$5:$U$5)),'Raw touched'!E80)</f>
        <v>24.799999239999998</v>
      </c>
      <c r="F80" s="4">
        <f>IF(ISBLANK('Raw touched'!F80),((F$5*SLOPE('Raw touched'!$E80:$U80,$E$5:$U$5))+INTERCEPT('Raw touched'!$E80:$U80,$E$5:$U$5)),'Raw touched'!F80)</f>
        <v>25.899999619999999</v>
      </c>
      <c r="G80" s="4">
        <f>IF(ISBLANK('Raw touched'!G80),((G$5*SLOPE('Raw touched'!$E80:$U80,$E$5:$U$5))+INTERCEPT('Raw touched'!$E80:$U80,$E$5:$U$5)),'Raw touched'!G80)</f>
        <v>25.700000760000002</v>
      </c>
      <c r="H80" s="4">
        <f>IF(ISBLANK('Raw touched'!H80),((H$5*SLOPE('Raw touched'!$E80:$U80,$E$5:$U$5))+INTERCEPT('Raw touched'!$E80:$U80,$E$5:$U$5)),'Raw touched'!H80)</f>
        <v>27.100000380000001</v>
      </c>
      <c r="I80" s="4">
        <f>IF(ISBLANK('Raw touched'!I80),((I$5*SLOPE('Raw touched'!$E80:$U80,$E$5:$U$5))+INTERCEPT('Raw touched'!$E80:$U80,$E$5:$U$5)),'Raw touched'!I80)</f>
        <v>28.100000380000001</v>
      </c>
      <c r="J80" s="4">
        <f>IF(ISBLANK('Raw touched'!J80),((J$5*SLOPE('Raw touched'!$E80:$U80,$E$5:$U$5))+INTERCEPT('Raw touched'!$E80:$U80,$E$5:$U$5)),'Raw touched'!J80)</f>
        <v>29.5</v>
      </c>
      <c r="K80" s="4">
        <f>IF(ISBLANK('Raw touched'!K80),((K$5*SLOPE('Raw touched'!$E80:$U80,$E$5:$U$5))+INTERCEPT('Raw touched'!$E80:$U80,$E$5:$U$5)),'Raw touched'!K80)</f>
        <v>30.600000380000001</v>
      </c>
      <c r="L80" s="4">
        <f>IF(ISBLANK('Raw touched'!L80),((L$5*SLOPE('Raw touched'!$E80:$U80,$E$5:$U$5))+INTERCEPT('Raw touched'!$E80:$U80,$E$5:$U$5)),'Raw touched'!L80)</f>
        <v>31.5</v>
      </c>
      <c r="M80" s="4">
        <f>IF(ISBLANK('Raw touched'!M80),((M$5*SLOPE('Raw touched'!$E80:$U80,$E$5:$U$5))+INTERCEPT('Raw touched'!$E80:$U80,$E$5:$U$5)),'Raw touched'!M80)</f>
        <v>32.577834478588557</v>
      </c>
      <c r="N80" s="4">
        <f>IF(ISBLANK('Raw touched'!N80),((N$5*SLOPE('Raw touched'!$E80:$U80,$E$5:$U$5))+INTERCEPT('Raw touched'!$E80:$U80,$E$5:$U$5)),'Raw touched'!N80)</f>
        <v>34.400001529999997</v>
      </c>
      <c r="O80" s="4">
        <f>IF(ISBLANK('Raw touched'!O80),((O$5*SLOPE('Raw touched'!$E80:$U80,$E$5:$U$5))+INTERCEPT('Raw touched'!$E80:$U80,$E$5:$U$5)),'Raw touched'!O80)</f>
        <v>35.38999939</v>
      </c>
      <c r="P80" s="4">
        <f>IF(ISBLANK('Raw touched'!P80),((P$5*SLOPE('Raw touched'!$E80:$U80,$E$5:$U$5))+INTERCEPT('Raw touched'!$E80:$U80,$E$5:$U$5)),'Raw touched'!P80)</f>
        <v>35.86000061</v>
      </c>
      <c r="Q80" s="4">
        <f>IF(ISBLANK('Raw touched'!Q80),((Q$5*SLOPE('Raw touched'!$E80:$U80,$E$5:$U$5))+INTERCEPT('Raw touched'!$E80:$U80,$E$5:$U$5)),'Raw touched'!Q80)</f>
        <v>36.641630900000003</v>
      </c>
      <c r="R80" s="4">
        <f>IF(ISBLANK('Raw touched'!R80),((R$5*SLOPE('Raw touched'!$E80:$U80,$E$5:$U$5))+INTERCEPT('Raw touched'!$E80:$U80,$E$5:$U$5)),'Raw touched'!R80)</f>
        <v>36.641630900000003</v>
      </c>
      <c r="S80" s="4">
        <f>IF(ISBLANK('Raw touched'!S80),((S$5*SLOPE('Raw touched'!$E80:$U80,$E$5:$U$5))+INTERCEPT('Raw touched'!$E80:$U80,$E$5:$U$5)),'Raw touched'!S80)</f>
        <v>38.686001373346016</v>
      </c>
      <c r="T80" s="4">
        <f>IF(ISBLANK('Raw touched'!T80),((T$5*SLOPE('Raw touched'!$E80:$U80,$E$5:$U$5))+INTERCEPT('Raw touched'!$E80:$U80,$E$5:$U$5)),'Raw touched'!T80)</f>
        <v>39.704029189138737</v>
      </c>
      <c r="U80" s="4">
        <f>IF(ISBLANK('Raw touched'!U80),((U$5*SLOPE('Raw touched'!$E80:$U80,$E$5:$U$5))+INTERCEPT('Raw touched'!$E80:$U80,$E$5:$U$5)),'Raw touched'!U80)</f>
        <v>40.722057004931685</v>
      </c>
    </row>
    <row r="81" spans="3:21" ht="13">
      <c r="C81" s="1" t="s">
        <v>8</v>
      </c>
      <c r="D81" s="1" t="s">
        <v>132</v>
      </c>
      <c r="E81" s="4">
        <f>IF(ISBLANK('Raw touched'!E81),((E$5*SLOPE('Raw touched'!$E81:$U81,$E$5:$U$5))+INTERCEPT('Raw touched'!$E81:$U81,$E$5:$U$5)),'Raw touched'!E81)</f>
        <v>55.400001529999997</v>
      </c>
      <c r="F81" s="4">
        <f>IF(ISBLANK('Raw touched'!F81),((F$5*SLOPE('Raw touched'!$E81:$U81,$E$5:$U$5))+INTERCEPT('Raw touched'!$E81:$U81,$E$5:$U$5)),'Raw touched'!F81)</f>
        <v>54.700000760000002</v>
      </c>
      <c r="G81" s="4">
        <f>IF(ISBLANK('Raw touched'!G81),((G$5*SLOPE('Raw touched'!$E81:$U81,$E$5:$U$5))+INTERCEPT('Raw touched'!$E81:$U81,$E$5:$U$5)),'Raw touched'!G81)</f>
        <v>56.5</v>
      </c>
      <c r="H81" s="4">
        <f>IF(ISBLANK('Raw touched'!H81),((H$5*SLOPE('Raw touched'!$E81:$U81,$E$5:$U$5))+INTERCEPT('Raw touched'!$E81:$U81,$E$5:$U$5)),'Raw touched'!H81)</f>
        <v>57</v>
      </c>
      <c r="I81" s="4">
        <f>IF(ISBLANK('Raw touched'!I81),((I$5*SLOPE('Raw touched'!$E81:$U81,$E$5:$U$5))+INTERCEPT('Raw touched'!$E81:$U81,$E$5:$U$5)),'Raw touched'!I81)</f>
        <v>46.66999817</v>
      </c>
      <c r="J81" s="4">
        <f>IF(ISBLANK('Raw touched'!J81),((J$5*SLOPE('Raw touched'!$E81:$U81,$E$5:$U$5))+INTERCEPT('Raw touched'!$E81:$U81,$E$5:$U$5)),'Raw touched'!J81)</f>
        <v>47.459999080000003</v>
      </c>
      <c r="K81" s="4">
        <f>IF(ISBLANK('Raw touched'!K81),((K$5*SLOPE('Raw touched'!$E81:$U81,$E$5:$U$5))+INTERCEPT('Raw touched'!$E81:$U81,$E$5:$U$5)),'Raw touched'!K81)</f>
        <v>47.740001679999999</v>
      </c>
      <c r="L81" s="4">
        <f>IF(ISBLANK('Raw touched'!L81),((L$5*SLOPE('Raw touched'!$E81:$U81,$E$5:$U$5))+INTERCEPT('Raw touched'!$E81:$U81,$E$5:$U$5)),'Raw touched'!L81)</f>
        <v>47.400001529999997</v>
      </c>
      <c r="M81" s="4">
        <f>IF(ISBLANK('Raw touched'!M81),((M$5*SLOPE('Raw touched'!$E81:$U81,$E$5:$U$5))+INTERCEPT('Raw touched'!$E81:$U81,$E$5:$U$5)),'Raw touched'!M81)</f>
        <v>49.282378824784701</v>
      </c>
      <c r="N81" s="4">
        <f>IF(ISBLANK('Raw touched'!N81),((N$5*SLOPE('Raw touched'!$E81:$U81,$E$5:$U$5))+INTERCEPT('Raw touched'!$E81:$U81,$E$5:$U$5)),'Raw touched'!N81)</f>
        <v>48.62</v>
      </c>
      <c r="O81" s="4">
        <f>IF(ISBLANK('Raw touched'!O81),((O$5*SLOPE('Raw touched'!$E81:$U81,$E$5:$U$5))+INTERCEPT('Raw touched'!$E81:$U81,$E$5:$U$5)),'Raw touched'!O81)</f>
        <v>46.99</v>
      </c>
      <c r="P81" s="4">
        <f>IF(ISBLANK('Raw touched'!P81),((P$5*SLOPE('Raw touched'!$E81:$U81,$E$5:$U$5))+INTERCEPT('Raw touched'!$E81:$U81,$E$5:$U$5)),'Raw touched'!P81)</f>
        <v>47.72</v>
      </c>
      <c r="Q81" s="4">
        <f>IF(ISBLANK('Raw touched'!Q81),((Q$5*SLOPE('Raw touched'!$E81:$U81,$E$5:$U$5))+INTERCEPT('Raw touched'!$E81:$U81,$E$5:$U$5)),'Raw touched'!Q81)</f>
        <v>48.24</v>
      </c>
      <c r="R81" s="4">
        <f>IF(ISBLANK('Raw touched'!R81),((R$5*SLOPE('Raw touched'!$E81:$U81,$E$5:$U$5))+INTERCEPT('Raw touched'!$E81:$U81,$E$5:$U$5)),'Raw touched'!R81)</f>
        <v>49.340659309999999</v>
      </c>
      <c r="S81" s="4">
        <f>IF(ISBLANK('Raw touched'!S81),((S$5*SLOPE('Raw touched'!$E81:$U81,$E$5:$U$5))+INTERCEPT('Raw touched'!$E81:$U81,$E$5:$U$5)),'Raw touched'!S81)</f>
        <v>45.53673958541367</v>
      </c>
      <c r="T81" s="4">
        <f>IF(ISBLANK('Raw touched'!T81),((T$5*SLOPE('Raw touched'!$E81:$U81,$E$5:$U$5))+INTERCEPT('Raw touched'!$E81:$U81,$E$5:$U$5)),'Raw touched'!T81)</f>
        <v>44.912466378851605</v>
      </c>
      <c r="U81" s="4">
        <f>IF(ISBLANK('Raw touched'!U81),((U$5*SLOPE('Raw touched'!$E81:$U81,$E$5:$U$5))+INTERCEPT('Raw touched'!$E81:$U81,$E$5:$U$5)),'Raw touched'!U81)</f>
        <v>44.288193172289766</v>
      </c>
    </row>
    <row r="82" spans="3:21" ht="13">
      <c r="C82" s="1" t="s">
        <v>84</v>
      </c>
      <c r="D82" s="1" t="s">
        <v>279</v>
      </c>
      <c r="E82" s="4">
        <f>IF(ISBLANK('Raw touched'!E82),((E$5*SLOPE('Raw touched'!$E82:$U82,$E$5:$U$5))+INTERCEPT('Raw touched'!$E82:$U82,$E$5:$U$5)),'Raw touched'!E82)</f>
        <v>52.400001529999997</v>
      </c>
      <c r="F82" s="4">
        <f>IF(ISBLANK('Raw touched'!F82),((F$5*SLOPE('Raw touched'!$E82:$U82,$E$5:$U$5))+INTERCEPT('Raw touched'!$E82:$U82,$E$5:$U$5)),'Raw touched'!F82)</f>
        <v>46.299999239999998</v>
      </c>
      <c r="G82" s="4">
        <f>IF(ISBLANK('Raw touched'!G82),((G$5*SLOPE('Raw touched'!$E82:$U82,$E$5:$U$5))+INTERCEPT('Raw touched'!$E82:$U82,$E$5:$U$5)),'Raw touched'!G82)</f>
        <v>56.400001529999997</v>
      </c>
      <c r="H82" s="4">
        <f>IF(ISBLANK('Raw touched'!H82),((H$5*SLOPE('Raw touched'!$E82:$U82,$E$5:$U$5))+INTERCEPT('Raw touched'!$E82:$U82,$E$5:$U$5)),'Raw touched'!H82)</f>
        <v>47.299999239999998</v>
      </c>
      <c r="I82" s="4">
        <f>IF(ISBLANK('Raw touched'!I82),((I$5*SLOPE('Raw touched'!$E82:$U82,$E$5:$U$5))+INTERCEPT('Raw touched'!$E82:$U82,$E$5:$U$5)),'Raw touched'!I82)</f>
        <v>46.299999239999998</v>
      </c>
      <c r="J82" s="4">
        <f>IF(ISBLANK('Raw touched'!J82),((J$5*SLOPE('Raw touched'!$E82:$U82,$E$5:$U$5))+INTERCEPT('Raw touched'!$E82:$U82,$E$5:$U$5)),'Raw touched'!J82)</f>
        <v>57.099998470000003</v>
      </c>
      <c r="K82" s="4">
        <f>IF(ISBLANK('Raw touched'!K82),((K$5*SLOPE('Raw touched'!$E82:$U82,$E$5:$U$5))+INTERCEPT('Raw touched'!$E82:$U82,$E$5:$U$5)),'Raw touched'!K82)</f>
        <v>58.900001529999997</v>
      </c>
      <c r="L82" s="4">
        <f>IF(ISBLANK('Raw touched'!L82),((L$5*SLOPE('Raw touched'!$E82:$U82,$E$5:$U$5))+INTERCEPT('Raw touched'!$E82:$U82,$E$5:$U$5)),'Raw touched'!L82)</f>
        <v>58</v>
      </c>
      <c r="M82" s="4">
        <f>IF(ISBLANK('Raw touched'!M82),((M$5*SLOPE('Raw touched'!$E82:$U82,$E$5:$U$5))+INTERCEPT('Raw touched'!$E82:$U82,$E$5:$U$5)),'Raw touched'!M82)</f>
        <v>58.32649602</v>
      </c>
      <c r="N82" s="4">
        <f>IF(ISBLANK('Raw touched'!N82),((N$5*SLOPE('Raw touched'!$E82:$U82,$E$5:$U$5))+INTERCEPT('Raw touched'!$E82:$U82,$E$5:$U$5)),'Raw touched'!N82)</f>
        <v>55.321512820000002</v>
      </c>
      <c r="O82" s="4">
        <f>IF(ISBLANK('Raw touched'!O82),((O$5*SLOPE('Raw touched'!$E82:$U82,$E$5:$U$5))+INTERCEPT('Raw touched'!$E82:$U82,$E$5:$U$5)),'Raw touched'!O82)</f>
        <v>55.424299699999999</v>
      </c>
      <c r="P82" s="4">
        <f>IF(ISBLANK('Raw touched'!P82),((P$5*SLOPE('Raw touched'!$E82:$U82,$E$5:$U$5))+INTERCEPT('Raw touched'!$E82:$U82,$E$5:$U$5)),'Raw touched'!P82)</f>
        <v>53.005378450000002</v>
      </c>
      <c r="Q82" s="4">
        <f>IF(ISBLANK('Raw touched'!Q82),((Q$5*SLOPE('Raw touched'!$E82:$U82,$E$5:$U$5))+INTERCEPT('Raw touched'!$E82:$U82,$E$5:$U$5)),'Raw touched'!Q82)</f>
        <v>60.860426769999997</v>
      </c>
      <c r="R82" s="4">
        <f>IF(ISBLANK('Raw touched'!R82),((R$5*SLOPE('Raw touched'!$E82:$U82,$E$5:$U$5))+INTERCEPT('Raw touched'!$E82:$U82,$E$5:$U$5)),'Raw touched'!R82)</f>
        <v>59.106494669999996</v>
      </c>
      <c r="S82" s="4">
        <f>IF(ISBLANK('Raw touched'!S82),((S$5*SLOPE('Raw touched'!$E82:$U82,$E$5:$U$5))+INTERCEPT('Raw touched'!$E82:$U82,$E$5:$U$5)),'Raw touched'!S82)</f>
        <v>59.924966616703387</v>
      </c>
      <c r="T82" s="4">
        <f>IF(ISBLANK('Raw touched'!T82),((T$5*SLOPE('Raw touched'!$E82:$U82,$E$5:$U$5))+INTERCEPT('Raw touched'!$E82:$U82,$E$5:$U$5)),'Raw touched'!T82)</f>
        <v>60.63168017312114</v>
      </c>
      <c r="U82" s="4">
        <f>IF(ISBLANK('Raw touched'!U82),((U$5*SLOPE('Raw touched'!$E82:$U82,$E$5:$U$5))+INTERCEPT('Raw touched'!$E82:$U82,$E$5:$U$5)),'Raw touched'!U82)</f>
        <v>61.338393729538666</v>
      </c>
    </row>
    <row r="83" spans="3:21" ht="13">
      <c r="C83" s="1" t="s">
        <v>360</v>
      </c>
      <c r="D83" s="1" t="s">
        <v>66</v>
      </c>
      <c r="E83" s="4">
        <f>IF(ISBLANK('Raw touched'!E83),((E$5*SLOPE('Raw touched'!$E83:$U83,$E$5:$U$5))+INTERCEPT('Raw touched'!$E83:$U83,$E$5:$U$5)),'Raw touched'!E83)</f>
        <v>49.900001529999997</v>
      </c>
      <c r="F83" s="4">
        <f>IF(ISBLANK('Raw touched'!F83),((F$5*SLOPE('Raw touched'!$E83:$U83,$E$5:$U$5))+INTERCEPT('Raw touched'!$E83:$U83,$E$5:$U$5)),'Raw touched'!F83)</f>
        <v>52.099998470000003</v>
      </c>
      <c r="G83" s="4">
        <f>IF(ISBLANK('Raw touched'!G83),((G$5*SLOPE('Raw touched'!$E83:$U83,$E$5:$U$5))+INTERCEPT('Raw touched'!$E83:$U83,$E$5:$U$5)),'Raw touched'!G83)</f>
        <v>56.799999239999998</v>
      </c>
      <c r="H83" s="4">
        <f>IF(ISBLANK('Raw touched'!H83),((H$5*SLOPE('Raw touched'!$E83:$U83,$E$5:$U$5))+INTERCEPT('Raw touched'!$E83:$U83,$E$5:$U$5)),'Raw touched'!H83)</f>
        <v>56.299999239999998</v>
      </c>
      <c r="I83" s="4">
        <f>IF(ISBLANK('Raw touched'!I83),((I$5*SLOPE('Raw touched'!$E83:$U83,$E$5:$U$5))+INTERCEPT('Raw touched'!$E83:$U83,$E$5:$U$5)),'Raw touched'!I83)</f>
        <v>59.200131763437639</v>
      </c>
      <c r="J83" s="4">
        <f>IF(ISBLANK('Raw touched'!J83),((J$5*SLOPE('Raw touched'!$E83:$U83,$E$5:$U$5))+INTERCEPT('Raw touched'!$E83:$U83,$E$5:$U$5)),'Raw touched'!J83)</f>
        <v>61.290171531692977</v>
      </c>
      <c r="K83" s="4">
        <f>IF(ISBLANK('Raw touched'!K83),((K$5*SLOPE('Raw touched'!$E83:$U83,$E$5:$U$5))+INTERCEPT('Raw touched'!$E83:$U83,$E$5:$U$5)),'Raw touched'!K83)</f>
        <v>64.800003050000001</v>
      </c>
      <c r="L83" s="4">
        <f>IF(ISBLANK('Raw touched'!L83),((L$5*SLOPE('Raw touched'!$E83:$U83,$E$5:$U$5))+INTERCEPT('Raw touched'!$E83:$U83,$E$5:$U$5)),'Raw touched'!L83)</f>
        <v>66.300003050000001</v>
      </c>
      <c r="M83" s="4">
        <f>IF(ISBLANK('Raw touched'!M83),((M$5*SLOPE('Raw touched'!$E83:$U83,$E$5:$U$5))+INTERCEPT('Raw touched'!$E83:$U83,$E$5:$U$5)),'Raw touched'!M83)</f>
        <v>67.36000061</v>
      </c>
      <c r="N83" s="4">
        <f>IF(ISBLANK('Raw touched'!N83),((N$5*SLOPE('Raw touched'!$E83:$U83,$E$5:$U$5))+INTERCEPT('Raw touched'!$E83:$U83,$E$5:$U$5)),'Raw touched'!N83)</f>
        <v>69.650330604713417</v>
      </c>
      <c r="O83" s="4">
        <f>IF(ISBLANK('Raw touched'!O83),((O$5*SLOPE('Raw touched'!$E83:$U83,$E$5:$U$5))+INTERCEPT('Raw touched'!$E83:$U83,$E$5:$U$5)),'Raw touched'!O83)</f>
        <v>71.024315950000002</v>
      </c>
      <c r="P83" s="4">
        <f>IF(ISBLANK('Raw touched'!P83),((P$5*SLOPE('Raw touched'!$E83:$U83,$E$5:$U$5))+INTERCEPT('Raw touched'!$E83:$U83,$E$5:$U$5)),'Raw touched'!P83)</f>
        <v>73.297341950000003</v>
      </c>
      <c r="Q83" s="4">
        <f>IF(ISBLANK('Raw touched'!Q83),((Q$5*SLOPE('Raw touched'!$E83:$U83,$E$5:$U$5))+INTERCEPT('Raw touched'!$E83:$U83,$E$5:$U$5)),'Raw touched'!Q83)</f>
        <v>75.92044990947943</v>
      </c>
      <c r="R83" s="4">
        <f>IF(ISBLANK('Raw touched'!R83),((R$5*SLOPE('Raw touched'!$E83:$U83,$E$5:$U$5))+INTERCEPT('Raw touched'!$E83:$U83,$E$5:$U$5)),'Raw touched'!R83)</f>
        <v>78.010489677734768</v>
      </c>
      <c r="S83" s="4">
        <f>IF(ISBLANK('Raw touched'!S83),((S$5*SLOPE('Raw touched'!$E83:$U83,$E$5:$U$5))+INTERCEPT('Raw touched'!$E83:$U83,$E$5:$U$5)),'Raw touched'!S83)</f>
        <v>80.100529445990105</v>
      </c>
      <c r="T83" s="4">
        <f>IF(ISBLANK('Raw touched'!T83),((T$5*SLOPE('Raw touched'!$E83:$U83,$E$5:$U$5))+INTERCEPT('Raw touched'!$E83:$U83,$E$5:$U$5)),'Raw touched'!T83)</f>
        <v>82.190569214244533</v>
      </c>
      <c r="U83" s="4">
        <f>IF(ISBLANK('Raw touched'!U83),((U$5*SLOPE('Raw touched'!$E83:$U83,$E$5:$U$5))+INTERCEPT('Raw touched'!$E83:$U83,$E$5:$U$5)),'Raw touched'!U83)</f>
        <v>84.280608982499871</v>
      </c>
    </row>
    <row r="84" spans="3:21" ht="13">
      <c r="C84" s="1" t="s">
        <v>358</v>
      </c>
      <c r="D84" s="1" t="s">
        <v>229</v>
      </c>
      <c r="E84" s="4">
        <f>IF(ISBLANK('Raw touched'!E84),((E$5*SLOPE('Raw touched'!$E84:$U84,$E$5:$U$5))+INTERCEPT('Raw touched'!$E84:$U84,$E$5:$U$5)),'Raw touched'!E84)</f>
        <v>86</v>
      </c>
      <c r="F84" s="4">
        <f>IF(ISBLANK('Raw touched'!F84),((F$5*SLOPE('Raw touched'!$E84:$U84,$E$5:$U$5))+INTERCEPT('Raw touched'!$E84:$U84,$E$5:$U$5)),'Raw touched'!F84)</f>
        <v>86</v>
      </c>
      <c r="G84" s="4">
        <f>IF(ISBLANK('Raw touched'!G84),((G$5*SLOPE('Raw touched'!$E84:$U84,$E$5:$U$5))+INTERCEPT('Raw touched'!$E84:$U84,$E$5:$U$5)),'Raw touched'!G84)</f>
        <v>85.260870891304421</v>
      </c>
      <c r="H84" s="4">
        <f>IF(ISBLANK('Raw touched'!H84),((H$5*SLOPE('Raw touched'!$E84:$U84,$E$5:$U$5))+INTERCEPT('Raw touched'!$E84:$U84,$E$5:$U$5)),'Raw touched'!H84)</f>
        <v>84.300003050000001</v>
      </c>
      <c r="I84" s="4">
        <f>IF(ISBLANK('Raw touched'!I84),((I$5*SLOPE('Raw touched'!$E84:$U84,$E$5:$U$5))+INTERCEPT('Raw touched'!$E84:$U84,$E$5:$U$5)),'Raw touched'!I84)</f>
        <v>84.300003050000001</v>
      </c>
      <c r="J84" s="4">
        <f>IF(ISBLANK('Raw touched'!J84),((J$5*SLOPE('Raw touched'!$E84:$U84,$E$5:$U$5))+INTERCEPT('Raw touched'!$E84:$U84,$E$5:$U$5)),'Raw touched'!J84)</f>
        <v>84.300003050000001</v>
      </c>
      <c r="K84" s="4">
        <f>IF(ISBLANK('Raw touched'!K84),((K$5*SLOPE('Raw touched'!$E84:$U84,$E$5:$U$5))+INTERCEPT('Raw touched'!$E84:$U84,$E$5:$U$5)),'Raw touched'!K84)</f>
        <v>84.300003050000001</v>
      </c>
      <c r="L84" s="4">
        <f>IF(ISBLANK('Raw touched'!L84),((L$5*SLOPE('Raw touched'!$E84:$U84,$E$5:$U$5))+INTERCEPT('Raw touched'!$E84:$U84,$E$5:$U$5)),'Raw touched'!L84)</f>
        <v>83.571432928571539</v>
      </c>
      <c r="M84" s="4">
        <f>IF(ISBLANK('Raw touched'!M84),((M$5*SLOPE('Raw touched'!$E84:$U84,$E$5:$U$5))+INTERCEPT('Raw touched'!$E84:$U84,$E$5:$U$5)),'Raw touched'!M84)</f>
        <v>83.233545336024918</v>
      </c>
      <c r="N84" s="4">
        <f>IF(ISBLANK('Raw touched'!N84),((N$5*SLOPE('Raw touched'!$E84:$U84,$E$5:$U$5))+INTERCEPT('Raw touched'!$E84:$U84,$E$5:$U$5)),'Raw touched'!N84)</f>
        <v>82.895657743478296</v>
      </c>
      <c r="O84" s="4">
        <f>IF(ISBLANK('Raw touched'!O84),((O$5*SLOPE('Raw touched'!$E84:$U84,$E$5:$U$5))+INTERCEPT('Raw touched'!$E84:$U84,$E$5:$U$5)),'Raw touched'!O84)</f>
        <v>82.557770150931788</v>
      </c>
      <c r="P84" s="4">
        <f>IF(ISBLANK('Raw touched'!P84),((P$5*SLOPE('Raw touched'!$E84:$U84,$E$5:$U$5))+INTERCEPT('Raw touched'!$E84:$U84,$E$5:$U$5)),'Raw touched'!P84)</f>
        <v>82.219882558385166</v>
      </c>
      <c r="Q84" s="4">
        <f>IF(ISBLANK('Raw touched'!Q84),((Q$5*SLOPE('Raw touched'!$E84:$U84,$E$5:$U$5))+INTERCEPT('Raw touched'!$E84:$U84,$E$5:$U$5)),'Raw touched'!Q84)</f>
        <v>81.881994965838544</v>
      </c>
      <c r="R84" s="4">
        <f>IF(ISBLANK('Raw touched'!R84),((R$5*SLOPE('Raw touched'!$E84:$U84,$E$5:$U$5))+INTERCEPT('Raw touched'!$E84:$U84,$E$5:$U$5)),'Raw touched'!R84)</f>
        <v>81.544107373292036</v>
      </c>
      <c r="S84" s="4">
        <f>IF(ISBLANK('Raw touched'!S84),((S$5*SLOPE('Raw touched'!$E84:$U84,$E$5:$U$5))+INTERCEPT('Raw touched'!$E84:$U84,$E$5:$U$5)),'Raw touched'!S84)</f>
        <v>81.206219780745414</v>
      </c>
      <c r="T84" s="4">
        <f>IF(ISBLANK('Raw touched'!T84),((T$5*SLOPE('Raw touched'!$E84:$U84,$E$5:$U$5))+INTERCEPT('Raw touched'!$E84:$U84,$E$5:$U$5)),'Raw touched'!T84)</f>
        <v>80.868332188198792</v>
      </c>
      <c r="U84" s="4">
        <f>IF(ISBLANK('Raw touched'!U84),((U$5*SLOPE('Raw touched'!$E84:$U84,$E$5:$U$5))+INTERCEPT('Raw touched'!$E84:$U84,$E$5:$U$5)),'Raw touched'!U84)</f>
        <v>80.530444595652284</v>
      </c>
    </row>
    <row r="85" spans="3:21" ht="13">
      <c r="C85" s="1" t="s">
        <v>362</v>
      </c>
      <c r="D85" s="1" t="s">
        <v>100</v>
      </c>
      <c r="E85" s="4">
        <f>IF(ISBLANK('Raw touched'!E85),((E$5*SLOPE('Raw touched'!$E85:$U85,$E$5:$U$5))+INTERCEPT('Raw touched'!$E85:$U85,$E$5:$U$5)),'Raw touched'!E85)</f>
        <v>94</v>
      </c>
      <c r="F85" s="4">
        <f>IF(ISBLANK('Raw touched'!F85),((F$5*SLOPE('Raw touched'!$E85:$U85,$E$5:$U$5))+INTERCEPT('Raw touched'!$E85:$U85,$E$5:$U$5)),'Raw touched'!F85)</f>
        <v>94.099998470000003</v>
      </c>
      <c r="G85" s="4">
        <f>IF(ISBLANK('Raw touched'!G85),((G$5*SLOPE('Raw touched'!$E85:$U85,$E$5:$U$5))+INTERCEPT('Raw touched'!$E85:$U85,$E$5:$U$5)),'Raw touched'!G85)</f>
        <v>94.099998470000003</v>
      </c>
      <c r="H85" s="4">
        <f>IF(ISBLANK('Raw touched'!H85),((H$5*SLOPE('Raw touched'!$E85:$U85,$E$5:$U$5))+INTERCEPT('Raw touched'!$E85:$U85,$E$5:$U$5)),'Raw touched'!H85)</f>
        <v>100</v>
      </c>
      <c r="I85" s="4">
        <f>IF(ISBLANK('Raw touched'!I85),((I$5*SLOPE('Raw touched'!$E85:$U85,$E$5:$U$5))+INTERCEPT('Raw touched'!$E85:$U85,$E$5:$U$5)),'Raw touched'!I85)</f>
        <v>100</v>
      </c>
      <c r="J85" s="4">
        <f>IF(ISBLANK('Raw touched'!J85),((J$5*SLOPE('Raw touched'!$E85:$U85,$E$5:$U$5))+INTERCEPT('Raw touched'!$E85:$U85,$E$5:$U$5)),'Raw touched'!J85)</f>
        <v>100</v>
      </c>
      <c r="K85" s="4">
        <f>IF(ISBLANK('Raw touched'!K85),((K$5*SLOPE('Raw touched'!$E85:$U85,$E$5:$U$5))+INTERCEPT('Raw touched'!$E85:$U85,$E$5:$U$5)),'Raw touched'!K85)</f>
        <v>100</v>
      </c>
      <c r="L85" s="4">
        <f>IF(ISBLANK('Raw touched'!L85),((L$5*SLOPE('Raw touched'!$E85:$U85,$E$5:$U$5))+INTERCEPT('Raw touched'!$E85:$U85,$E$5:$U$5)),'Raw touched'!L85)</f>
        <v>100</v>
      </c>
      <c r="M85" s="4">
        <f>IF(ISBLANK('Raw touched'!M85),((M$5*SLOPE('Raw touched'!$E85:$U85,$E$5:$U$5))+INTERCEPT('Raw touched'!$E85:$U85,$E$5:$U$5)),'Raw touched'!M85)</f>
        <v>100</v>
      </c>
      <c r="N85" s="4">
        <f>IF(ISBLANK('Raw touched'!N85),((N$5*SLOPE('Raw touched'!$E85:$U85,$E$5:$U$5))+INTERCEPT('Raw touched'!$E85:$U85,$E$5:$U$5)),'Raw touched'!N85)</f>
        <v>99.947609320193237</v>
      </c>
      <c r="O85" s="4">
        <f>IF(ISBLANK('Raw touched'!O85),((O$5*SLOPE('Raw touched'!$E85:$U85,$E$5:$U$5))+INTERCEPT('Raw touched'!$E85:$U85,$E$5:$U$5)),'Raw touched'!O85)</f>
        <v>100.40086473024917</v>
      </c>
      <c r="P85" s="4">
        <f>IF(ISBLANK('Raw touched'!P85),((P$5*SLOPE('Raw touched'!$E85:$U85,$E$5:$U$5))+INTERCEPT('Raw touched'!$E85:$U85,$E$5:$U$5)),'Raw touched'!P85)</f>
        <v>100.85412014030521</v>
      </c>
      <c r="Q85" s="4">
        <f>IF(ISBLANK('Raw touched'!Q85),((Q$5*SLOPE('Raw touched'!$E85:$U85,$E$5:$U$5))+INTERCEPT('Raw touched'!$E85:$U85,$E$5:$U$5)),'Raw touched'!Q85)</f>
        <v>100</v>
      </c>
      <c r="R85" s="4">
        <f>IF(ISBLANK('Raw touched'!R85),((R$5*SLOPE('Raw touched'!$E85:$U85,$E$5:$U$5))+INTERCEPT('Raw touched'!$E85:$U85,$E$5:$U$5)),'Raw touched'!R85)</f>
        <v>100</v>
      </c>
      <c r="S85" s="4">
        <f>IF(ISBLANK('Raw touched'!S85),((S$5*SLOPE('Raw touched'!$E85:$U85,$E$5:$U$5))+INTERCEPT('Raw touched'!$E85:$U85,$E$5:$U$5)),'Raw touched'!S85)</f>
        <v>102.21388637047301</v>
      </c>
      <c r="T85" s="4">
        <f>IF(ISBLANK('Raw touched'!T85),((T$5*SLOPE('Raw touched'!$E85:$U85,$E$5:$U$5))+INTERCEPT('Raw touched'!$E85:$U85,$E$5:$U$5)),'Raw touched'!T85)</f>
        <v>102.66714178052894</v>
      </c>
      <c r="U85" s="4">
        <f>IF(ISBLANK('Raw touched'!U85),((U$5*SLOPE('Raw touched'!$E85:$U85,$E$5:$U$5))+INTERCEPT('Raw touched'!$E85:$U85,$E$5:$U$5)),'Raw touched'!U85)</f>
        <v>103.12039719058498</v>
      </c>
    </row>
    <row r="86" spans="3:21" ht="13">
      <c r="C86" s="1" t="s">
        <v>341</v>
      </c>
      <c r="D86" s="1" t="s">
        <v>376</v>
      </c>
      <c r="E86" s="4">
        <f>IF(ISBLANK('Raw touched'!E86),((E$5*SLOPE('Raw touched'!$E86:$U86,$E$5:$U$5))+INTERCEPT('Raw touched'!$E86:$U86,$E$5:$U$5)),'Raw touched'!E86)</f>
        <v>100</v>
      </c>
      <c r="F86" s="4">
        <f>IF(ISBLANK('Raw touched'!F86),((F$5*SLOPE('Raw touched'!$E86:$U86,$E$5:$U$5))+INTERCEPT('Raw touched'!$E86:$U86,$E$5:$U$5)),'Raw touched'!F86)</f>
        <v>100</v>
      </c>
      <c r="G86" s="4">
        <f>IF(ISBLANK('Raw touched'!G86),((G$5*SLOPE('Raw touched'!$E86:$U86,$E$5:$U$5))+INTERCEPT('Raw touched'!$E86:$U86,$E$5:$U$5)),'Raw touched'!G86)</f>
        <v>100</v>
      </c>
      <c r="H86" s="4">
        <f>IF(ISBLANK('Raw touched'!H86),((H$5*SLOPE('Raw touched'!$E86:$U86,$E$5:$U$5))+INTERCEPT('Raw touched'!$E86:$U86,$E$5:$U$5)),'Raw touched'!H86)</f>
        <v>100</v>
      </c>
      <c r="I86" s="4">
        <f>IF(ISBLANK('Raw touched'!I86),((I$5*SLOPE('Raw touched'!$E86:$U86,$E$5:$U$5))+INTERCEPT('Raw touched'!$E86:$U86,$E$5:$U$5)),'Raw touched'!I86)</f>
        <v>100</v>
      </c>
      <c r="J86" s="4">
        <f>IF(ISBLANK('Raw touched'!J86),((J$5*SLOPE('Raw touched'!$E86:$U86,$E$5:$U$5))+INTERCEPT('Raw touched'!$E86:$U86,$E$5:$U$5)),'Raw touched'!J86)</f>
        <v>100</v>
      </c>
      <c r="K86" s="4">
        <f>IF(ISBLANK('Raw touched'!K86),((K$5*SLOPE('Raw touched'!$E86:$U86,$E$5:$U$5))+INTERCEPT('Raw touched'!$E86:$U86,$E$5:$U$5)),'Raw touched'!K86)</f>
        <v>100</v>
      </c>
      <c r="L86" s="4">
        <f>IF(ISBLANK('Raw touched'!L86),((L$5*SLOPE('Raw touched'!$E86:$U86,$E$5:$U$5))+INTERCEPT('Raw touched'!$E86:$U86,$E$5:$U$5)),'Raw touched'!L86)</f>
        <v>100</v>
      </c>
      <c r="M86" s="4">
        <f>IF(ISBLANK('Raw touched'!M86),((M$5*SLOPE('Raw touched'!$E86:$U86,$E$5:$U$5))+INTERCEPT('Raw touched'!$E86:$U86,$E$5:$U$5)),'Raw touched'!M86)</f>
        <v>100</v>
      </c>
      <c r="N86" s="4">
        <f>IF(ISBLANK('Raw touched'!N86),((N$5*SLOPE('Raw touched'!$E86:$U86,$E$5:$U$5))+INTERCEPT('Raw touched'!$E86:$U86,$E$5:$U$5)),'Raw touched'!N86)</f>
        <v>100</v>
      </c>
      <c r="O86" s="4">
        <f>IF(ISBLANK('Raw touched'!O86),((O$5*SLOPE('Raw touched'!$E86:$U86,$E$5:$U$5))+INTERCEPT('Raw touched'!$E86:$U86,$E$5:$U$5)),'Raw touched'!O86)</f>
        <v>100</v>
      </c>
      <c r="P86" s="4">
        <f>IF(ISBLANK('Raw touched'!P86),((P$5*SLOPE('Raw touched'!$E86:$U86,$E$5:$U$5))+INTERCEPT('Raw touched'!$E86:$U86,$E$5:$U$5)),'Raw touched'!P86)</f>
        <v>100</v>
      </c>
      <c r="Q86" s="4">
        <f>IF(ISBLANK('Raw touched'!Q86),((Q$5*SLOPE('Raw touched'!$E86:$U86,$E$5:$U$5))+INTERCEPT('Raw touched'!$E86:$U86,$E$5:$U$5)),'Raw touched'!Q86)</f>
        <v>100</v>
      </c>
      <c r="R86" s="4">
        <f>IF(ISBLANK('Raw touched'!R86),((R$5*SLOPE('Raw touched'!$E86:$U86,$E$5:$U$5))+INTERCEPT('Raw touched'!$E86:$U86,$E$5:$U$5)),'Raw touched'!R86)</f>
        <v>100</v>
      </c>
      <c r="S86" s="4">
        <f>IF(ISBLANK('Raw touched'!S86),((S$5*SLOPE('Raw touched'!$E86:$U86,$E$5:$U$5))+INTERCEPT('Raw touched'!$E86:$U86,$E$5:$U$5)),'Raw touched'!S86)</f>
        <v>100</v>
      </c>
      <c r="T86" s="4">
        <f>IF(ISBLANK('Raw touched'!T86),((T$5*SLOPE('Raw touched'!$E86:$U86,$E$5:$U$5))+INTERCEPT('Raw touched'!$E86:$U86,$E$5:$U$5)),'Raw touched'!T86)</f>
        <v>100</v>
      </c>
      <c r="U86" s="4">
        <f>IF(ISBLANK('Raw touched'!U86),((U$5*SLOPE('Raw touched'!$E86:$U86,$E$5:$U$5))+INTERCEPT('Raw touched'!$E86:$U86,$E$5:$U$5)),'Raw touched'!U86)</f>
        <v>100</v>
      </c>
    </row>
    <row r="87" spans="3:21" ht="13">
      <c r="C87" s="1" t="s">
        <v>354</v>
      </c>
      <c r="D87" s="1" t="s">
        <v>36</v>
      </c>
      <c r="E87" s="4">
        <f>IF(ISBLANK('Raw touched'!E87),((E$5*SLOPE('Raw touched'!$E87:$U87,$E$5:$U$5))+INTERCEPT('Raw touched'!$E87:$U87,$E$5:$U$5)),'Raw touched'!E87)</f>
        <v>100</v>
      </c>
      <c r="F87" s="4">
        <f>IF(ISBLANK('Raw touched'!F87),((F$5*SLOPE('Raw touched'!$E87:$U87,$E$5:$U$5))+INTERCEPT('Raw touched'!$E87:$U87,$E$5:$U$5)),'Raw touched'!F87)</f>
        <v>100</v>
      </c>
      <c r="G87" s="4">
        <f>IF(ISBLANK('Raw touched'!G87),((G$5*SLOPE('Raw touched'!$E87:$U87,$E$5:$U$5))+INTERCEPT('Raw touched'!$E87:$U87,$E$5:$U$5)),'Raw touched'!G87)</f>
        <v>100</v>
      </c>
      <c r="H87" s="4">
        <f>IF(ISBLANK('Raw touched'!H87),((H$5*SLOPE('Raw touched'!$E87:$U87,$E$5:$U$5))+INTERCEPT('Raw touched'!$E87:$U87,$E$5:$U$5)),'Raw touched'!H87)</f>
        <v>100</v>
      </c>
      <c r="I87" s="4">
        <f>IF(ISBLANK('Raw touched'!I87),((I$5*SLOPE('Raw touched'!$E87:$U87,$E$5:$U$5))+INTERCEPT('Raw touched'!$E87:$U87,$E$5:$U$5)),'Raw touched'!I87)</f>
        <v>100</v>
      </c>
      <c r="J87" s="4">
        <f>IF(ISBLANK('Raw touched'!J87),((J$5*SLOPE('Raw touched'!$E87:$U87,$E$5:$U$5))+INTERCEPT('Raw touched'!$E87:$U87,$E$5:$U$5)),'Raw touched'!J87)</f>
        <v>100</v>
      </c>
      <c r="K87" s="4">
        <f>IF(ISBLANK('Raw touched'!K87),((K$5*SLOPE('Raw touched'!$E87:$U87,$E$5:$U$5))+INTERCEPT('Raw touched'!$E87:$U87,$E$5:$U$5)),'Raw touched'!K87)</f>
        <v>100</v>
      </c>
      <c r="L87" s="4">
        <f>IF(ISBLANK('Raw touched'!L87),((L$5*SLOPE('Raw touched'!$E87:$U87,$E$5:$U$5))+INTERCEPT('Raw touched'!$E87:$U87,$E$5:$U$5)),'Raw touched'!L87)</f>
        <v>100</v>
      </c>
      <c r="M87" s="4">
        <f>IF(ISBLANK('Raw touched'!M87),((M$5*SLOPE('Raw touched'!$E87:$U87,$E$5:$U$5))+INTERCEPT('Raw touched'!$E87:$U87,$E$5:$U$5)),'Raw touched'!M87)</f>
        <v>100</v>
      </c>
      <c r="N87" s="4">
        <f>IF(ISBLANK('Raw touched'!N87),((N$5*SLOPE('Raw touched'!$E87:$U87,$E$5:$U$5))+INTERCEPT('Raw touched'!$E87:$U87,$E$5:$U$5)),'Raw touched'!N87)</f>
        <v>100</v>
      </c>
      <c r="O87" s="4">
        <f>IF(ISBLANK('Raw touched'!O87),((O$5*SLOPE('Raw touched'!$E87:$U87,$E$5:$U$5))+INTERCEPT('Raw touched'!$E87:$U87,$E$5:$U$5)),'Raw touched'!O87)</f>
        <v>100</v>
      </c>
      <c r="P87" s="4">
        <f>IF(ISBLANK('Raw touched'!P87),((P$5*SLOPE('Raw touched'!$E87:$U87,$E$5:$U$5))+INTERCEPT('Raw touched'!$E87:$U87,$E$5:$U$5)),'Raw touched'!P87)</f>
        <v>100</v>
      </c>
      <c r="Q87" s="4">
        <f>IF(ISBLANK('Raw touched'!Q87),((Q$5*SLOPE('Raw touched'!$E87:$U87,$E$5:$U$5))+INTERCEPT('Raw touched'!$E87:$U87,$E$5:$U$5)),'Raw touched'!Q87)</f>
        <v>100</v>
      </c>
      <c r="R87" s="4">
        <f>IF(ISBLANK('Raw touched'!R87),((R$5*SLOPE('Raw touched'!$E87:$U87,$E$5:$U$5))+INTERCEPT('Raw touched'!$E87:$U87,$E$5:$U$5)),'Raw touched'!R87)</f>
        <v>100</v>
      </c>
      <c r="S87" s="4">
        <f>IF(ISBLANK('Raw touched'!S87),((S$5*SLOPE('Raw touched'!$E87:$U87,$E$5:$U$5))+INTERCEPT('Raw touched'!$E87:$U87,$E$5:$U$5)),'Raw touched'!S87)</f>
        <v>100</v>
      </c>
      <c r="T87" s="4">
        <f>IF(ISBLANK('Raw touched'!T87),((T$5*SLOPE('Raw touched'!$E87:$U87,$E$5:$U$5))+INTERCEPT('Raw touched'!$E87:$U87,$E$5:$U$5)),'Raw touched'!T87)</f>
        <v>100</v>
      </c>
      <c r="U87" s="4">
        <f>IF(ISBLANK('Raw touched'!U87),((U$5*SLOPE('Raw touched'!$E87:$U87,$E$5:$U$5))+INTERCEPT('Raw touched'!$E87:$U87,$E$5:$U$5)),'Raw touched'!U87)</f>
        <v>100</v>
      </c>
    </row>
    <row r="88" spans="3:21" ht="13">
      <c r="C88" s="1" t="s">
        <v>172</v>
      </c>
      <c r="D88" s="1" t="s">
        <v>164</v>
      </c>
      <c r="E88" s="4">
        <f>IF(ISBLANK('Raw touched'!E88),((E$5*SLOPE('Raw touched'!$E88:$U88,$E$5:$U$5))+INTERCEPT('Raw touched'!$E88:$U88,$E$5:$U$5)),'Raw touched'!E88)</f>
        <v>70.599998470000003</v>
      </c>
      <c r="F88" s="4">
        <f>IF(ISBLANK('Raw touched'!F88),((F$5*SLOPE('Raw touched'!$E88:$U88,$E$5:$U$5))+INTERCEPT('Raw touched'!$E88:$U88,$E$5:$U$5)),'Raw touched'!F88)</f>
        <v>70.699996949999999</v>
      </c>
      <c r="G88" s="4">
        <f>IF(ISBLANK('Raw touched'!G88),((G$5*SLOPE('Raw touched'!$E88:$U88,$E$5:$U$5))+INTERCEPT('Raw touched'!$E88:$U88,$E$5:$U$5)),'Raw touched'!G88)</f>
        <v>70.389685628124994</v>
      </c>
      <c r="H88" s="4">
        <f>IF(ISBLANK('Raw touched'!H88),((H$5*SLOPE('Raw touched'!$E88:$U88,$E$5:$U$5))+INTERCEPT('Raw touched'!$E88:$U88,$E$5:$U$5)),'Raw touched'!H88)</f>
        <v>70.099998470000003</v>
      </c>
      <c r="I88" s="4">
        <f>IF(ISBLANK('Raw touched'!I88),((I$5*SLOPE('Raw touched'!$E88:$U88,$E$5:$U$5))+INTERCEPT('Raw touched'!$E88:$U88,$E$5:$U$5)),'Raw touched'!I88)</f>
        <v>70.099998470000003</v>
      </c>
      <c r="J88" s="4">
        <f>IF(ISBLANK('Raw touched'!J88),((J$5*SLOPE('Raw touched'!$E88:$U88,$E$5:$U$5))+INTERCEPT('Raw touched'!$E88:$U88,$E$5:$U$5)),'Raw touched'!J88)</f>
        <v>70.099998470000003</v>
      </c>
      <c r="K88" s="4">
        <f>IF(ISBLANK('Raw touched'!K88),((K$5*SLOPE('Raw touched'!$E88:$U88,$E$5:$U$5))+INTERCEPT('Raw touched'!$E88:$U88,$E$5:$U$5)),'Raw touched'!K88)</f>
        <v>71.77176952229172</v>
      </c>
      <c r="L88" s="4">
        <f>IF(ISBLANK('Raw touched'!L88),((L$5*SLOPE('Raw touched'!$E88:$U88,$E$5:$U$5))+INTERCEPT('Raw touched'!$E88:$U88,$E$5:$U$5)),'Raw touched'!L88)</f>
        <v>72.117290495833345</v>
      </c>
      <c r="M88" s="4">
        <f>IF(ISBLANK('Raw touched'!M88),((M$5*SLOPE('Raw touched'!$E88:$U88,$E$5:$U$5))+INTERCEPT('Raw touched'!$E88:$U88,$E$5:$U$5)),'Raw touched'!M88)</f>
        <v>73.25</v>
      </c>
      <c r="N88" s="4">
        <f>IF(ISBLANK('Raw touched'!N88),((N$5*SLOPE('Raw touched'!$E88:$U88,$E$5:$U$5))+INTERCEPT('Raw touched'!$E88:$U88,$E$5:$U$5)),'Raw touched'!N88)</f>
        <v>73.27999878</v>
      </c>
      <c r="O88" s="4">
        <f>IF(ISBLANK('Raw touched'!O88),((O$5*SLOPE('Raw touched'!$E88:$U88,$E$5:$U$5))+INTERCEPT('Raw touched'!$E88:$U88,$E$5:$U$5)),'Raw touched'!O88)</f>
        <v>73.27999878</v>
      </c>
      <c r="P88" s="4">
        <f>IF(ISBLANK('Raw touched'!P88),((P$5*SLOPE('Raw touched'!$E88:$U88,$E$5:$U$5))+INTERCEPT('Raw touched'!$E88:$U88,$E$5:$U$5)),'Raw touched'!P88)</f>
        <v>73.499374390000071</v>
      </c>
      <c r="Q88" s="4">
        <f>IF(ISBLANK('Raw touched'!Q88),((Q$5*SLOPE('Raw touched'!$E88:$U88,$E$5:$U$5))+INTERCEPT('Raw touched'!$E88:$U88,$E$5:$U$5)),'Raw touched'!Q88)</f>
        <v>73.844895363541696</v>
      </c>
      <c r="R88" s="4">
        <f>IF(ISBLANK('Raw touched'!R88),((R$5*SLOPE('Raw touched'!$E88:$U88,$E$5:$U$5))+INTERCEPT('Raw touched'!$E88:$U88,$E$5:$U$5)),'Raw touched'!R88)</f>
        <v>74.19041633708332</v>
      </c>
      <c r="S88" s="4">
        <f>IF(ISBLANK('Raw touched'!S88),((S$5*SLOPE('Raw touched'!$E88:$U88,$E$5:$U$5))+INTERCEPT('Raw touched'!$E88:$U88,$E$5:$U$5)),'Raw touched'!S88)</f>
        <v>74.535937310625059</v>
      </c>
      <c r="T88" s="4">
        <f>IF(ISBLANK('Raw touched'!T88),((T$5*SLOPE('Raw touched'!$E88:$U88,$E$5:$U$5))+INTERCEPT('Raw touched'!$E88:$U88,$E$5:$U$5)),'Raw touched'!T88)</f>
        <v>74.881458284166683</v>
      </c>
      <c r="U88" s="4">
        <f>IF(ISBLANK('Raw touched'!U88),((U$5*SLOPE('Raw touched'!$E88:$U88,$E$5:$U$5))+INTERCEPT('Raw touched'!$E88:$U88,$E$5:$U$5)),'Raw touched'!U88)</f>
        <v>75.226979257708308</v>
      </c>
    </row>
    <row r="89" spans="3:21" ht="13">
      <c r="C89" s="1" t="s">
        <v>5</v>
      </c>
      <c r="D89" s="1" t="s">
        <v>335</v>
      </c>
      <c r="E89" s="4">
        <f>IF(ISBLANK('Raw touched'!E89),((E$5*SLOPE('Raw touched'!$E89:$U89,$E$5:$U$5))+INTERCEPT('Raw touched'!$E89:$U89,$E$5:$U$5)),'Raw touched'!E89)</f>
        <v>73.599998470000003</v>
      </c>
      <c r="F89" s="4">
        <f>IF(ISBLANK('Raw touched'!F89),((F$5*SLOPE('Raw touched'!$E89:$U89,$E$5:$U$5))+INTERCEPT('Raw touched'!$E89:$U89,$E$5:$U$5)),'Raw touched'!F89)</f>
        <v>74.300003050000001</v>
      </c>
      <c r="G89" s="4">
        <f>IF(ISBLANK('Raw touched'!G89),((G$5*SLOPE('Raw touched'!$E89:$U89,$E$5:$U$5))+INTERCEPT('Raw touched'!$E89:$U89,$E$5:$U$5)),'Raw touched'!G89)</f>
        <v>74.900001529999997</v>
      </c>
      <c r="H89" s="4">
        <f>IF(ISBLANK('Raw touched'!H89),((H$5*SLOPE('Raw touched'!$E89:$U89,$E$5:$U$5))+INTERCEPT('Raw touched'!$E89:$U89,$E$5:$U$5)),'Raw touched'!H89)</f>
        <v>76</v>
      </c>
      <c r="I89" s="4">
        <f>IF(ISBLANK('Raw touched'!I89),((I$5*SLOPE('Raw touched'!$E89:$U89,$E$5:$U$5))+INTERCEPT('Raw touched'!$E89:$U89,$E$5:$U$5)),'Raw touched'!I89)</f>
        <v>76.099998470000003</v>
      </c>
      <c r="J89" s="4">
        <f>IF(ISBLANK('Raw touched'!J89),((J$5*SLOPE('Raw touched'!$E89:$U89,$E$5:$U$5))+INTERCEPT('Raw touched'!$E89:$U89,$E$5:$U$5)),'Raw touched'!J89)</f>
        <v>76.599998470000003</v>
      </c>
      <c r="K89" s="4">
        <f>IF(ISBLANK('Raw touched'!K89),((K$5*SLOPE('Raw touched'!$E89:$U89,$E$5:$U$5))+INTERCEPT('Raw touched'!$E89:$U89,$E$5:$U$5)),'Raw touched'!K89)</f>
        <v>77.099998470000003</v>
      </c>
      <c r="L89" s="4">
        <f>IF(ISBLANK('Raw touched'!L89),((L$5*SLOPE('Raw touched'!$E89:$U89,$E$5:$U$5))+INTERCEPT('Raw touched'!$E89:$U89,$E$5:$U$5)),'Raw touched'!L89)</f>
        <v>77.699996949999999</v>
      </c>
      <c r="M89" s="4">
        <f>IF(ISBLANK('Raw touched'!M89),((M$5*SLOPE('Raw touched'!$E89:$U89,$E$5:$U$5))+INTERCEPT('Raw touched'!$E89:$U89,$E$5:$U$5)),'Raw touched'!M89)</f>
        <v>78.219800000000006</v>
      </c>
      <c r="N89" s="4">
        <f>IF(ISBLANK('Raw touched'!N89),((N$5*SLOPE('Raw touched'!$E89:$U89,$E$5:$U$5))+INTERCEPT('Raw touched'!$E89:$U89,$E$5:$U$5)),'Raw touched'!N89)</f>
        <v>78.476216050628864</v>
      </c>
      <c r="O89" s="4">
        <f>IF(ISBLANK('Raw touched'!O89),((O$5*SLOPE('Raw touched'!$E89:$U89,$E$5:$U$5))+INTERCEPT('Raw touched'!$E89:$U89,$E$5:$U$5)),'Raw touched'!O89)</f>
        <v>79</v>
      </c>
      <c r="P89" s="4">
        <f>IF(ISBLANK('Raw touched'!P89),((P$5*SLOPE('Raw touched'!$E89:$U89,$E$5:$U$5))+INTERCEPT('Raw touched'!$E89:$U89,$E$5:$U$5)),'Raw touched'!P89)</f>
        <v>79.286613459999998</v>
      </c>
      <c r="Q89" s="4">
        <f>IF(ISBLANK('Raw touched'!Q89),((Q$5*SLOPE('Raw touched'!$E89:$U89,$E$5:$U$5))+INTERCEPT('Raw touched'!$E89:$U89,$E$5:$U$5)),'Raw touched'!Q89)</f>
        <v>79.600333059999997</v>
      </c>
      <c r="R89" s="4">
        <f>IF(ISBLANK('Raw touched'!R89),((R$5*SLOPE('Raw touched'!$E89:$U89,$E$5:$U$5))+INTERCEPT('Raw touched'!$E89:$U89,$E$5:$U$5)),'Raw touched'!R89)</f>
        <v>80.456508427813219</v>
      </c>
      <c r="S89" s="4">
        <f>IF(ISBLANK('Raw touched'!S89),((S$5*SLOPE('Raw touched'!$E89:$U89,$E$5:$U$5))+INTERCEPT('Raw touched'!$E89:$U89,$E$5:$U$5)),'Raw touched'!S89)</f>
        <v>80.951581522109223</v>
      </c>
      <c r="T89" s="4">
        <f>IF(ISBLANK('Raw touched'!T89),((T$5*SLOPE('Raw touched'!$E89:$U89,$E$5:$U$5))+INTERCEPT('Raw touched'!$E89:$U89,$E$5:$U$5)),'Raw touched'!T89)</f>
        <v>81.44665461640534</v>
      </c>
      <c r="U89" s="4">
        <f>IF(ISBLANK('Raw touched'!U89),((U$5*SLOPE('Raw touched'!$E89:$U89,$E$5:$U$5))+INTERCEPT('Raw touched'!$E89:$U89,$E$5:$U$5)),'Raw touched'!U89)</f>
        <v>81.941727710701457</v>
      </c>
    </row>
    <row r="90" spans="3:21" ht="13">
      <c r="C90" s="1" t="s">
        <v>27</v>
      </c>
      <c r="D90" s="1" t="s">
        <v>352</v>
      </c>
      <c r="E90" s="4">
        <f>IF(ISBLANK('Raw touched'!E90),((E$5*SLOPE('Raw touched'!$E90:$U90,$E$5:$U$5))+INTERCEPT('Raw touched'!$E90:$U90,$E$5:$U$5)),'Raw touched'!E90)</f>
        <v>100</v>
      </c>
      <c r="F90" s="4">
        <f>IF(ISBLANK('Raw touched'!F90),((F$5*SLOPE('Raw touched'!$E90:$U90,$E$5:$U$5))+INTERCEPT('Raw touched'!$E90:$U90,$E$5:$U$5)),'Raw touched'!F90)</f>
        <v>100</v>
      </c>
      <c r="G90" s="4">
        <f>IF(ISBLANK('Raw touched'!G90),((G$5*SLOPE('Raw touched'!$E90:$U90,$E$5:$U$5))+INTERCEPT('Raw touched'!$E90:$U90,$E$5:$U$5)),'Raw touched'!G90)</f>
        <v>100</v>
      </c>
      <c r="H90" s="4">
        <f>IF(ISBLANK('Raw touched'!H90),((H$5*SLOPE('Raw touched'!$E90:$U90,$E$5:$U$5))+INTERCEPT('Raw touched'!$E90:$U90,$E$5:$U$5)),'Raw touched'!H90)</f>
        <v>100</v>
      </c>
      <c r="I90" s="4">
        <f>IF(ISBLANK('Raw touched'!I90),((I$5*SLOPE('Raw touched'!$E90:$U90,$E$5:$U$5))+INTERCEPT('Raw touched'!$E90:$U90,$E$5:$U$5)),'Raw touched'!I90)</f>
        <v>100</v>
      </c>
      <c r="J90" s="4">
        <f>IF(ISBLANK('Raw touched'!J90),((J$5*SLOPE('Raw touched'!$E90:$U90,$E$5:$U$5))+INTERCEPT('Raw touched'!$E90:$U90,$E$5:$U$5)),'Raw touched'!J90)</f>
        <v>100</v>
      </c>
      <c r="K90" s="4">
        <f>IF(ISBLANK('Raw touched'!K90),((K$5*SLOPE('Raw touched'!$E90:$U90,$E$5:$U$5))+INTERCEPT('Raw touched'!$E90:$U90,$E$5:$U$5)),'Raw touched'!K90)</f>
        <v>100</v>
      </c>
      <c r="L90" s="4">
        <f>IF(ISBLANK('Raw touched'!L90),((L$5*SLOPE('Raw touched'!$E90:$U90,$E$5:$U$5))+INTERCEPT('Raw touched'!$E90:$U90,$E$5:$U$5)),'Raw touched'!L90)</f>
        <v>100</v>
      </c>
      <c r="M90" s="4">
        <f>IF(ISBLANK('Raw touched'!M90),((M$5*SLOPE('Raw touched'!$E90:$U90,$E$5:$U$5))+INTERCEPT('Raw touched'!$E90:$U90,$E$5:$U$5)),'Raw touched'!M90)</f>
        <v>100</v>
      </c>
      <c r="N90" s="4">
        <f>IF(ISBLANK('Raw touched'!N90),((N$5*SLOPE('Raw touched'!$E90:$U90,$E$5:$U$5))+INTERCEPT('Raw touched'!$E90:$U90,$E$5:$U$5)),'Raw touched'!N90)</f>
        <v>100</v>
      </c>
      <c r="O90" s="4">
        <f>IF(ISBLANK('Raw touched'!O90),((O$5*SLOPE('Raw touched'!$E90:$U90,$E$5:$U$5))+INTERCEPT('Raw touched'!$E90:$U90,$E$5:$U$5)),'Raw touched'!O90)</f>
        <v>100</v>
      </c>
      <c r="P90" s="4">
        <f>IF(ISBLANK('Raw touched'!P90),((P$5*SLOPE('Raw touched'!$E90:$U90,$E$5:$U$5))+INTERCEPT('Raw touched'!$E90:$U90,$E$5:$U$5)),'Raw touched'!P90)</f>
        <v>100</v>
      </c>
      <c r="Q90" s="4">
        <f>IF(ISBLANK('Raw touched'!Q90),((Q$5*SLOPE('Raw touched'!$E90:$U90,$E$5:$U$5))+INTERCEPT('Raw touched'!$E90:$U90,$E$5:$U$5)),'Raw touched'!Q90)</f>
        <v>100</v>
      </c>
      <c r="R90" s="4">
        <f>IF(ISBLANK('Raw touched'!R90),((R$5*SLOPE('Raw touched'!$E90:$U90,$E$5:$U$5))+INTERCEPT('Raw touched'!$E90:$U90,$E$5:$U$5)),'Raw touched'!R90)</f>
        <v>100</v>
      </c>
      <c r="S90" s="4">
        <f>IF(ISBLANK('Raw touched'!S90),((S$5*SLOPE('Raw touched'!$E90:$U90,$E$5:$U$5))+INTERCEPT('Raw touched'!$E90:$U90,$E$5:$U$5)),'Raw touched'!S90)</f>
        <v>100</v>
      </c>
      <c r="T90" s="4">
        <f>IF(ISBLANK('Raw touched'!T90),((T$5*SLOPE('Raw touched'!$E90:$U90,$E$5:$U$5))+INTERCEPT('Raw touched'!$E90:$U90,$E$5:$U$5)),'Raw touched'!T90)</f>
        <v>100</v>
      </c>
      <c r="U90" s="4">
        <f>IF(ISBLANK('Raw touched'!U90),((U$5*SLOPE('Raw touched'!$E90:$U90,$E$5:$U$5))+INTERCEPT('Raw touched'!$E90:$U90,$E$5:$U$5)),'Raw touched'!U90)</f>
        <v>100</v>
      </c>
    </row>
    <row r="91" spans="3:21" ht="13">
      <c r="C91" s="1" t="s">
        <v>129</v>
      </c>
      <c r="D91" s="1" t="s">
        <v>168</v>
      </c>
      <c r="E91" s="4">
        <f>IF(ISBLANK('Raw touched'!E91),((E$5*SLOPE('Raw touched'!$E91:$U91,$E$5:$U$5))+INTERCEPT('Raw touched'!$E91:$U91,$E$5:$U$5)),'Raw touched'!E91)</f>
        <v>76.300003050000001</v>
      </c>
      <c r="F91" s="4">
        <f>IF(ISBLANK('Raw touched'!F91),((F$5*SLOPE('Raw touched'!$E91:$U91,$E$5:$U$5))+INTERCEPT('Raw touched'!$E91:$U91,$E$5:$U$5)),'Raw touched'!F91)</f>
        <v>80.5</v>
      </c>
      <c r="G91" s="4">
        <f>IF(ISBLANK('Raw touched'!G91),((G$5*SLOPE('Raw touched'!$E91:$U91,$E$5:$U$5))+INTERCEPT('Raw touched'!$E91:$U91,$E$5:$U$5)),'Raw touched'!G91)</f>
        <v>82.800003050000001</v>
      </c>
      <c r="H91" s="4">
        <f>IF(ISBLANK('Raw touched'!H91),((H$5*SLOPE('Raw touched'!$E91:$U91,$E$5:$U$5))+INTERCEPT('Raw touched'!$E91:$U91,$E$5:$U$5)),'Raw touched'!H91)</f>
        <v>86.5</v>
      </c>
      <c r="I91" s="4">
        <f>IF(ISBLANK('Raw touched'!I91),((I$5*SLOPE('Raw touched'!$E91:$U91,$E$5:$U$5))+INTERCEPT('Raw touched'!$E91:$U91,$E$5:$U$5)),'Raw touched'!I91)</f>
        <v>84.666538008109683</v>
      </c>
      <c r="J91" s="4">
        <f>IF(ISBLANK('Raw touched'!J91),((J$5*SLOPE('Raw touched'!$E91:$U91,$E$5:$U$5))+INTERCEPT('Raw touched'!$E91:$U91,$E$5:$U$5)),'Raw touched'!J91)</f>
        <v>85.686089387726952</v>
      </c>
      <c r="K91" s="4">
        <f>IF(ISBLANK('Raw touched'!K91),((K$5*SLOPE('Raw touched'!$E91:$U91,$E$5:$U$5))+INTERCEPT('Raw touched'!$E91:$U91,$E$5:$U$5)),'Raw touched'!K91)</f>
        <v>86.705640767344221</v>
      </c>
      <c r="L91" s="4">
        <f>IF(ISBLANK('Raw touched'!L91),((L$5*SLOPE('Raw touched'!$E91:$U91,$E$5:$U$5))+INTERCEPT('Raw touched'!$E91:$U91,$E$5:$U$5)),'Raw touched'!L91)</f>
        <v>87.725192146961717</v>
      </c>
      <c r="M91" s="4">
        <f>IF(ISBLANK('Raw touched'!M91),((M$5*SLOPE('Raw touched'!$E91:$U91,$E$5:$U$5))+INTERCEPT('Raw touched'!$E91:$U91,$E$5:$U$5)),'Raw touched'!M91)</f>
        <v>93.97000122</v>
      </c>
      <c r="N91" s="4">
        <f>IF(ISBLANK('Raw touched'!N91),((N$5*SLOPE('Raw touched'!$E91:$U91,$E$5:$U$5))+INTERCEPT('Raw touched'!$E91:$U91,$E$5:$U$5)),'Raw touched'!N91)</f>
        <v>93.430000309999997</v>
      </c>
      <c r="O91" s="4">
        <f>IF(ISBLANK('Raw touched'!O91),((O$5*SLOPE('Raw touched'!$E91:$U91,$E$5:$U$5))+INTERCEPT('Raw touched'!$E91:$U91,$E$5:$U$5)),'Raw touched'!O91)</f>
        <v>91.160003660000001</v>
      </c>
      <c r="P91" s="4">
        <f>IF(ISBLANK('Raw touched'!P91),((P$5*SLOPE('Raw touched'!$E91:$U91,$E$5:$U$5))+INTERCEPT('Raw touched'!$E91:$U91,$E$5:$U$5)),'Raw touched'!P91)</f>
        <v>91.434312989999995</v>
      </c>
      <c r="Q91" s="4">
        <f>IF(ISBLANK('Raw touched'!Q91),((Q$5*SLOPE('Raw touched'!$E91:$U91,$E$5:$U$5))+INTERCEPT('Raw touched'!$E91:$U91,$E$5:$U$5)),'Raw touched'!Q91)</f>
        <v>90.258045809999999</v>
      </c>
      <c r="R91" s="4">
        <f>IF(ISBLANK('Raw touched'!R91),((R$5*SLOPE('Raw touched'!$E91:$U91,$E$5:$U$5))+INTERCEPT('Raw touched'!$E91:$U91,$E$5:$U$5)),'Raw touched'!R91)</f>
        <v>89.88</v>
      </c>
      <c r="S91" s="4">
        <f>IF(ISBLANK('Raw touched'!S91),((S$5*SLOPE('Raw touched'!$E91:$U91,$E$5:$U$5))+INTERCEPT('Raw touched'!$E91:$U91,$E$5:$U$5)),'Raw touched'!S91)</f>
        <v>94.862051804283055</v>
      </c>
      <c r="T91" s="4">
        <f>IF(ISBLANK('Raw touched'!T91),((T$5*SLOPE('Raw touched'!$E91:$U91,$E$5:$U$5))+INTERCEPT('Raw touched'!$E91:$U91,$E$5:$U$5)),'Raw touched'!T91)</f>
        <v>95.881603183900552</v>
      </c>
      <c r="U91" s="4">
        <f>IF(ISBLANK('Raw touched'!U91),((U$5*SLOPE('Raw touched'!$E91:$U91,$E$5:$U$5))+INTERCEPT('Raw touched'!$E91:$U91,$E$5:$U$5)),'Raw touched'!U91)</f>
        <v>96.901154563517593</v>
      </c>
    </row>
    <row r="92" spans="3:21" ht="13">
      <c r="C92" s="1" t="s">
        <v>196</v>
      </c>
      <c r="D92" s="1" t="s">
        <v>259</v>
      </c>
      <c r="E92" s="4">
        <f>IF(ISBLANK('Raw touched'!E92),((E$5*SLOPE('Raw touched'!$E92:$U92,$E$5:$U$5))+INTERCEPT('Raw touched'!$E92:$U92,$E$5:$U$5)),'Raw touched'!E92)</f>
        <v>13.80000019</v>
      </c>
      <c r="F92" s="4">
        <f>IF(ISBLANK('Raw touched'!F92),((F$5*SLOPE('Raw touched'!$E92:$U92,$E$5:$U$5))+INTERCEPT('Raw touched'!$E92:$U92,$E$5:$U$5)),'Raw touched'!F92)</f>
        <v>12.100000380000001</v>
      </c>
      <c r="G92" s="4">
        <f>IF(ISBLANK('Raw touched'!G92),((G$5*SLOPE('Raw touched'!$E92:$U92,$E$5:$U$5))+INTERCEPT('Raw touched'!$E92:$U92,$E$5:$U$5)),'Raw touched'!G92)</f>
        <v>12.100000380000001</v>
      </c>
      <c r="H92" s="4">
        <f>IF(ISBLANK('Raw touched'!H92),((H$5*SLOPE('Raw touched'!$E92:$U92,$E$5:$U$5))+INTERCEPT('Raw touched'!$E92:$U92,$E$5:$U$5)),'Raw touched'!H92)</f>
        <v>12.100000380000001</v>
      </c>
      <c r="I92" s="4">
        <f>IF(ISBLANK('Raw touched'!I92),((I$5*SLOPE('Raw touched'!$E92:$U92,$E$5:$U$5))+INTERCEPT('Raw touched'!$E92:$U92,$E$5:$U$5)),'Raw touched'!I92)</f>
        <v>12.100000380000001</v>
      </c>
      <c r="J92" s="4">
        <f>IF(ISBLANK('Raw touched'!J92),((J$5*SLOPE('Raw touched'!$E92:$U92,$E$5:$U$5))+INTERCEPT('Raw touched'!$E92:$U92,$E$5:$U$5)),'Raw touched'!J92)</f>
        <v>12.100000380000001</v>
      </c>
      <c r="K92" s="4">
        <f>IF(ISBLANK('Raw touched'!K92),((K$5*SLOPE('Raw touched'!$E92:$U92,$E$5:$U$5))+INTERCEPT('Raw touched'!$E92:$U92,$E$5:$U$5)),'Raw touched'!K92)</f>
        <v>12.891170396117019</v>
      </c>
      <c r="L92" s="4">
        <f>IF(ISBLANK('Raw touched'!L92),((L$5*SLOPE('Raw touched'!$E92:$U92,$E$5:$U$5))+INTERCEPT('Raw touched'!$E92:$U92,$E$5:$U$5)),'Raw touched'!L92)</f>
        <v>12.992180995718087</v>
      </c>
      <c r="M92" s="4">
        <f>IF(ISBLANK('Raw touched'!M92),((M$5*SLOPE('Raw touched'!$E92:$U92,$E$5:$U$5))+INTERCEPT('Raw touched'!$E92:$U92,$E$5:$U$5)),'Raw touched'!M92)</f>
        <v>13.093191595319126</v>
      </c>
      <c r="N92" s="4">
        <f>IF(ISBLANK('Raw touched'!N92),((N$5*SLOPE('Raw touched'!$E92:$U92,$E$5:$U$5))+INTERCEPT('Raw touched'!$E92:$U92,$E$5:$U$5)),'Raw touched'!N92)</f>
        <v>14.119999890000001</v>
      </c>
      <c r="O92" s="4">
        <f>IF(ISBLANK('Raw touched'!O92),((O$5*SLOPE('Raw touched'!$E92:$U92,$E$5:$U$5))+INTERCEPT('Raw touched'!$E92:$U92,$E$5:$U$5)),'Raw touched'!O92)</f>
        <v>13.295212794521262</v>
      </c>
      <c r="P92" s="4">
        <f>IF(ISBLANK('Raw touched'!P92),((P$5*SLOPE('Raw touched'!$E92:$U92,$E$5:$U$5))+INTERCEPT('Raw touched'!$E92:$U92,$E$5:$U$5)),'Raw touched'!P92)</f>
        <v>13.39622339412233</v>
      </c>
      <c r="Q92" s="4">
        <f>IF(ISBLANK('Raw touched'!Q92),((Q$5*SLOPE('Raw touched'!$E92:$U92,$E$5:$U$5))+INTERCEPT('Raw touched'!$E92:$U92,$E$5:$U$5)),'Raw touched'!Q92)</f>
        <v>13.497233993723398</v>
      </c>
      <c r="R92" s="4">
        <f>IF(ISBLANK('Raw touched'!R92),((R$5*SLOPE('Raw touched'!$E92:$U92,$E$5:$U$5))+INTERCEPT('Raw touched'!$E92:$U92,$E$5:$U$5)),'Raw touched'!R92)</f>
        <v>13.598244593324466</v>
      </c>
      <c r="S92" s="4">
        <f>IF(ISBLANK('Raw touched'!S92),((S$5*SLOPE('Raw touched'!$E92:$U92,$E$5:$U$5))+INTERCEPT('Raw touched'!$E92:$U92,$E$5:$U$5)),'Raw touched'!S92)</f>
        <v>13.699255192925534</v>
      </c>
      <c r="T92" s="4">
        <f>IF(ISBLANK('Raw touched'!T92),((T$5*SLOPE('Raw touched'!$E92:$U92,$E$5:$U$5))+INTERCEPT('Raw touched'!$E92:$U92,$E$5:$U$5)),'Raw touched'!T92)</f>
        <v>13.800265792526574</v>
      </c>
      <c r="U92" s="4">
        <f>IF(ISBLANK('Raw touched'!U92),((U$5*SLOPE('Raw touched'!$E92:$U92,$E$5:$U$5))+INTERCEPT('Raw touched'!$E92:$U92,$E$5:$U$5)),'Raw touched'!U92)</f>
        <v>13.901276392127642</v>
      </c>
    </row>
    <row r="93" spans="3:21" ht="13">
      <c r="C93" s="1" t="s">
        <v>249</v>
      </c>
      <c r="D93" s="1" t="s">
        <v>16</v>
      </c>
      <c r="E93" s="4" t="e">
        <f>IF(ISBLANK('Raw touched'!E93),((E$5*SLOPE('Raw touched'!$E93:$U93,$E$5:$U$5))+INTERCEPT('Raw touched'!$E93:$U93,$E$5:$U$5)),'Raw touched'!E93)</f>
        <v>#DIV/0!</v>
      </c>
      <c r="F93" s="4" t="e">
        <f>IF(ISBLANK('Raw touched'!F93),((F$5*SLOPE('Raw touched'!$E93:$U93,$E$5:$U$5))+INTERCEPT('Raw touched'!$E93:$U93,$E$5:$U$5)),'Raw touched'!F93)</f>
        <v>#DIV/0!</v>
      </c>
      <c r="G93" s="4" t="e">
        <f>IF(ISBLANK('Raw touched'!G93),((G$5*SLOPE('Raw touched'!$E93:$U93,$E$5:$U$5))+INTERCEPT('Raw touched'!$E93:$U93,$E$5:$U$5)),'Raw touched'!G93)</f>
        <v>#DIV/0!</v>
      </c>
      <c r="H93" s="4" t="e">
        <f>IF(ISBLANK('Raw touched'!H93),((H$5*SLOPE('Raw touched'!$E93:$U93,$E$5:$U$5))+INTERCEPT('Raw touched'!$E93:$U93,$E$5:$U$5)),'Raw touched'!H93)</f>
        <v>#DIV/0!</v>
      </c>
      <c r="I93" s="4" t="e">
        <f>IF(ISBLANK('Raw touched'!I93),((I$5*SLOPE('Raw touched'!$E93:$U93,$E$5:$U$5))+INTERCEPT('Raw touched'!$E93:$U93,$E$5:$U$5)),'Raw touched'!I93)</f>
        <v>#DIV/0!</v>
      </c>
      <c r="J93" s="4" t="e">
        <f>IF(ISBLANK('Raw touched'!J93),((J$5*SLOPE('Raw touched'!$E93:$U93,$E$5:$U$5))+INTERCEPT('Raw touched'!$E93:$U93,$E$5:$U$5)),'Raw touched'!J93)</f>
        <v>#DIV/0!</v>
      </c>
      <c r="K93" s="4" t="e">
        <f>IF(ISBLANK('Raw touched'!K93),((K$5*SLOPE('Raw touched'!$E93:$U93,$E$5:$U$5))+INTERCEPT('Raw touched'!$E93:$U93,$E$5:$U$5)),'Raw touched'!K93)</f>
        <v>#DIV/0!</v>
      </c>
      <c r="L93" s="4" t="e">
        <f>IF(ISBLANK('Raw touched'!L93),((L$5*SLOPE('Raw touched'!$E93:$U93,$E$5:$U$5))+INTERCEPT('Raw touched'!$E93:$U93,$E$5:$U$5)),'Raw touched'!L93)</f>
        <v>#DIV/0!</v>
      </c>
      <c r="M93" s="4" t="e">
        <f>IF(ISBLANK('Raw touched'!M93),((M$5*SLOPE('Raw touched'!$E93:$U93,$E$5:$U$5))+INTERCEPT('Raw touched'!$E93:$U93,$E$5:$U$5)),'Raw touched'!M93)</f>
        <v>#DIV/0!</v>
      </c>
      <c r="N93" s="4" t="e">
        <f>IF(ISBLANK('Raw touched'!N93),((N$5*SLOPE('Raw touched'!$E93:$U93,$E$5:$U$5))+INTERCEPT('Raw touched'!$E93:$U93,$E$5:$U$5)),'Raw touched'!N93)</f>
        <v>#DIV/0!</v>
      </c>
      <c r="O93" s="4" t="e">
        <f>IF(ISBLANK('Raw touched'!O93),((O$5*SLOPE('Raw touched'!$E93:$U93,$E$5:$U$5))+INTERCEPT('Raw touched'!$E93:$U93,$E$5:$U$5)),'Raw touched'!O93)</f>
        <v>#DIV/0!</v>
      </c>
      <c r="P93" s="4" t="e">
        <f>IF(ISBLANK('Raw touched'!P93),((P$5*SLOPE('Raw touched'!$E93:$U93,$E$5:$U$5))+INTERCEPT('Raw touched'!$E93:$U93,$E$5:$U$5)),'Raw touched'!P93)</f>
        <v>#DIV/0!</v>
      </c>
      <c r="Q93" s="4" t="e">
        <f>IF(ISBLANK('Raw touched'!Q93),((Q$5*SLOPE('Raw touched'!$E93:$U93,$E$5:$U$5))+INTERCEPT('Raw touched'!$E93:$U93,$E$5:$U$5)),'Raw touched'!Q93)</f>
        <v>#DIV/0!</v>
      </c>
      <c r="R93" s="4" t="e">
        <f>IF(ISBLANK('Raw touched'!R93),((R$5*SLOPE('Raw touched'!$E93:$U93,$E$5:$U$5))+INTERCEPT('Raw touched'!$E93:$U93,$E$5:$U$5)),'Raw touched'!R93)</f>
        <v>#DIV/0!</v>
      </c>
      <c r="S93" s="4" t="e">
        <f>IF(ISBLANK('Raw touched'!S93),((S$5*SLOPE('Raw touched'!$E93:$U93,$E$5:$U$5))+INTERCEPT('Raw touched'!$E93:$U93,$E$5:$U$5)),'Raw touched'!S93)</f>
        <v>#DIV/0!</v>
      </c>
      <c r="T93" s="4" t="e">
        <f>IF(ISBLANK('Raw touched'!T93),((T$5*SLOPE('Raw touched'!$E93:$U93,$E$5:$U$5))+INTERCEPT('Raw touched'!$E93:$U93,$E$5:$U$5)),'Raw touched'!T93)</f>
        <v>#DIV/0!</v>
      </c>
      <c r="U93" s="4" t="e">
        <f>IF(ISBLANK('Raw touched'!U93),((U$5*SLOPE('Raw touched'!$E93:$U93,$E$5:$U$5))+INTERCEPT('Raw touched'!$E93:$U93,$E$5:$U$5)),'Raw touched'!U93)</f>
        <v>#DIV/0!</v>
      </c>
    </row>
    <row r="94" spans="3:21" ht="13">
      <c r="C94" s="1" t="s">
        <v>356</v>
      </c>
      <c r="D94" s="1" t="s">
        <v>294</v>
      </c>
      <c r="E94" s="4">
        <f>IF(ISBLANK('Raw touched'!E94),((E$5*SLOPE('Raw touched'!$E94:$U94,$E$5:$U$5))+INTERCEPT('Raw touched'!$E94:$U94,$E$5:$U$5)),'Raw touched'!E94)</f>
        <v>6.3000001909999996</v>
      </c>
      <c r="F94" s="4">
        <f>IF(ISBLANK('Raw touched'!F94),((F$5*SLOPE('Raw touched'!$E94:$U94,$E$5:$U$5))+INTERCEPT('Raw touched'!$E94:$U94,$E$5:$U$5)),'Raw touched'!F94)</f>
        <v>6.4000000950000002</v>
      </c>
      <c r="G94" s="4">
        <f>IF(ISBLANK('Raw touched'!G94),((G$5*SLOPE('Raw touched'!$E94:$U94,$E$5:$U$5))+INTERCEPT('Raw touched'!$E94:$U94,$E$5:$U$5)),'Raw touched'!G94)</f>
        <v>6.4000000950000002</v>
      </c>
      <c r="H94" s="4">
        <f>IF(ISBLANK('Raw touched'!H94),((H$5*SLOPE('Raw touched'!$E94:$U94,$E$5:$U$5))+INTERCEPT('Raw touched'!$E94:$U94,$E$5:$U$5)),'Raw touched'!H94)</f>
        <v>6.4000000950000002</v>
      </c>
      <c r="I94" s="4">
        <f>IF(ISBLANK('Raw touched'!I94),((I$5*SLOPE('Raw touched'!$E94:$U94,$E$5:$U$5))+INTERCEPT('Raw touched'!$E94:$U94,$E$5:$U$5)),'Raw touched'!I94)</f>
        <v>6.4000000950000002</v>
      </c>
      <c r="J94" s="4">
        <f>IF(ISBLANK('Raw touched'!J94),((J$5*SLOPE('Raw touched'!$E94:$U94,$E$5:$U$5))+INTERCEPT('Raw touched'!$E94:$U94,$E$5:$U$5)),'Raw touched'!J94)</f>
        <v>6.4000000950000002</v>
      </c>
      <c r="K94" s="4">
        <f>IF(ISBLANK('Raw touched'!K94),((K$5*SLOPE('Raw touched'!$E94:$U94,$E$5:$U$5))+INTERCEPT('Raw touched'!$E94:$U94,$E$5:$U$5)),'Raw touched'!K94)</f>
        <v>5.1390474149496868</v>
      </c>
      <c r="L94" s="4">
        <f>IF(ISBLANK('Raw touched'!L94),((L$5*SLOPE('Raw touched'!$E94:$U94,$E$5:$U$5))+INTERCEPT('Raw touched'!$E94:$U94,$E$5:$U$5)),'Raw touched'!L94)</f>
        <v>4.8165546203651957</v>
      </c>
      <c r="M94" s="4">
        <f>IF(ISBLANK('Raw touched'!M94),((M$5*SLOPE('Raw touched'!$E94:$U94,$E$5:$U$5))+INTERCEPT('Raw touched'!$E94:$U94,$E$5:$U$5)),'Raw touched'!M94)</f>
        <v>4.4940618257805909</v>
      </c>
      <c r="N94" s="4">
        <f>IF(ISBLANK('Raw touched'!N94),((N$5*SLOPE('Raw touched'!$E94:$U94,$E$5:$U$5))+INTERCEPT('Raw touched'!$E94:$U94,$E$5:$U$5)),'Raw touched'!N94)</f>
        <v>4.1715690311960998</v>
      </c>
      <c r="O94" s="4">
        <f>IF(ISBLANK('Raw touched'!O94),((O$5*SLOPE('Raw touched'!$E94:$U94,$E$5:$U$5))+INTERCEPT('Raw touched'!$E94:$U94,$E$5:$U$5)),'Raw touched'!O94)</f>
        <v>3.8490762366116087</v>
      </c>
      <c r="P94" s="4">
        <f>IF(ISBLANK('Raw touched'!P94),((P$5*SLOPE('Raw touched'!$E94:$U94,$E$5:$U$5))+INTERCEPT('Raw touched'!$E94:$U94,$E$5:$U$5)),'Raw touched'!P94)</f>
        <v>2.8332159520000002</v>
      </c>
      <c r="Q94" s="4">
        <f>IF(ISBLANK('Raw touched'!Q94),((Q$5*SLOPE('Raw touched'!$E94:$U94,$E$5:$U$5))+INTERCEPT('Raw touched'!$E94:$U94,$E$5:$U$5)),'Raw touched'!Q94)</f>
        <v>3.2040906474425128</v>
      </c>
      <c r="R94" s="4">
        <f>IF(ISBLANK('Raw touched'!R94),((R$5*SLOPE('Raw touched'!$E94:$U94,$E$5:$U$5))+INTERCEPT('Raw touched'!$E94:$U94,$E$5:$U$5)),'Raw touched'!R94)</f>
        <v>2.8815978528580217</v>
      </c>
      <c r="S94" s="4">
        <f>IF(ISBLANK('Raw touched'!S94),((S$5*SLOPE('Raw touched'!$E94:$U94,$E$5:$U$5))+INTERCEPT('Raw touched'!$E94:$U94,$E$5:$U$5)),'Raw touched'!S94)</f>
        <v>2.5591050582734169</v>
      </c>
      <c r="T94" s="4">
        <f>IF(ISBLANK('Raw touched'!T94),((T$5*SLOPE('Raw touched'!$E94:$U94,$E$5:$U$5))+INTERCEPT('Raw touched'!$E94:$U94,$E$5:$U$5)),'Raw touched'!T94)</f>
        <v>2.2366122636889259</v>
      </c>
      <c r="U94" s="4">
        <f>IF(ISBLANK('Raw touched'!U94),((U$5*SLOPE('Raw touched'!$E94:$U94,$E$5:$U$5))+INTERCEPT('Raw touched'!$E94:$U94,$E$5:$U$5)),'Raw touched'!U94)</f>
        <v>1.9141194691043211</v>
      </c>
    </row>
    <row r="95" spans="3:21" ht="13">
      <c r="C95" s="1" t="s">
        <v>282</v>
      </c>
      <c r="D95" s="1" t="s">
        <v>140</v>
      </c>
      <c r="E95" s="4">
        <f>IF(ISBLANK('Raw touched'!E95),((E$5*SLOPE('Raw touched'!$E95:$U95,$E$5:$U$5))+INTERCEPT('Raw touched'!$E95:$U95,$E$5:$U$5)),'Raw touched'!E95)</f>
        <v>76</v>
      </c>
      <c r="F95" s="4">
        <f>IF(ISBLANK('Raw touched'!F95),((F$5*SLOPE('Raw touched'!$E95:$U95,$E$5:$U$5))+INTERCEPT('Raw touched'!$E95:$U95,$E$5:$U$5)),'Raw touched'!F95)</f>
        <v>72.699996949999999</v>
      </c>
      <c r="G95" s="4">
        <f>IF(ISBLANK('Raw touched'!G95),((G$5*SLOPE('Raw touched'!$E95:$U95,$E$5:$U$5))+INTERCEPT('Raw touched'!$E95:$U95,$E$5:$U$5)),'Raw touched'!G95)</f>
        <v>74</v>
      </c>
      <c r="H95" s="4">
        <f>IF(ISBLANK('Raw touched'!H95),((H$5*SLOPE('Raw touched'!$E95:$U95,$E$5:$U$5))+INTERCEPT('Raw touched'!$E95:$U95,$E$5:$U$5)),'Raw touched'!H95)</f>
        <v>74.5</v>
      </c>
      <c r="I95" s="4">
        <f>IF(ISBLANK('Raw touched'!I95),((I$5*SLOPE('Raw touched'!$E95:$U95,$E$5:$U$5))+INTERCEPT('Raw touched'!$E95:$U95,$E$5:$U$5)),'Raw touched'!I95)</f>
        <v>74.5</v>
      </c>
      <c r="J95" s="4">
        <f>IF(ISBLANK('Raw touched'!J95),((J$5*SLOPE('Raw touched'!$E95:$U95,$E$5:$U$5))+INTERCEPT('Raw touched'!$E95:$U95,$E$5:$U$5)),'Raw touched'!J95)</f>
        <v>74.5</v>
      </c>
      <c r="K95" s="4">
        <f>IF(ISBLANK('Raw touched'!K95),((K$5*SLOPE('Raw touched'!$E95:$U95,$E$5:$U$5))+INTERCEPT('Raw touched'!$E95:$U95,$E$5:$U$5)),'Raw touched'!K95)</f>
        <v>76.699996949999999</v>
      </c>
      <c r="L95" s="4">
        <f>IF(ISBLANK('Raw touched'!L95),((L$5*SLOPE('Raw touched'!$E95:$U95,$E$5:$U$5))+INTERCEPT('Raw touched'!$E95:$U95,$E$5:$U$5)),'Raw touched'!L95)</f>
        <v>76.699996949999999</v>
      </c>
      <c r="M95" s="4">
        <f>IF(ISBLANK('Raw touched'!M95),((M$5*SLOPE('Raw touched'!$E95:$U95,$E$5:$U$5))+INTERCEPT('Raw touched'!$E95:$U95,$E$5:$U$5)),'Raw touched'!M95)</f>
        <v>76.88999939</v>
      </c>
      <c r="N95" s="4">
        <f>IF(ISBLANK('Raw touched'!N95),((N$5*SLOPE('Raw touched'!$E95:$U95,$E$5:$U$5))+INTERCEPT('Raw touched'!$E95:$U95,$E$5:$U$5)),'Raw touched'!N95)</f>
        <v>86.760002139999997</v>
      </c>
      <c r="O95" s="4">
        <f>IF(ISBLANK('Raw touched'!O95),((O$5*SLOPE('Raw touched'!$E95:$U95,$E$5:$U$5))+INTERCEPT('Raw touched'!$E95:$U95,$E$5:$U$5)),'Raw touched'!O95)</f>
        <v>76.819999690000003</v>
      </c>
      <c r="P95" s="4">
        <f>IF(ISBLANK('Raw touched'!P95),((P$5*SLOPE('Raw touched'!$E95:$U95,$E$5:$U$5))+INTERCEPT('Raw touched'!$E95:$U95,$E$5:$U$5)),'Raw touched'!P95)</f>
        <v>77.5</v>
      </c>
      <c r="Q95" s="4">
        <f>IF(ISBLANK('Raw touched'!Q95),((Q$5*SLOPE('Raw touched'!$E95:$U95,$E$5:$U$5))+INTERCEPT('Raw touched'!$E95:$U95,$E$5:$U$5)),'Raw touched'!Q95)</f>
        <v>78.3</v>
      </c>
      <c r="R95" s="4">
        <f>IF(ISBLANK('Raw touched'!R95),((R$5*SLOPE('Raw touched'!$E95:$U95,$E$5:$U$5))+INTERCEPT('Raw touched'!$E95:$U95,$E$5:$U$5)),'Raw touched'!R95)</f>
        <v>78.5</v>
      </c>
      <c r="S95" s="4">
        <f>IF(ISBLANK('Raw touched'!S95),((S$5*SLOPE('Raw touched'!$E95:$U95,$E$5:$U$5))+INTERCEPT('Raw touched'!$E95:$U95,$E$5:$U$5)),'Raw touched'!S95)</f>
        <v>80.207362734395588</v>
      </c>
      <c r="T95" s="4">
        <f>IF(ISBLANK('Raw touched'!T95),((T$5*SLOPE('Raw touched'!$E95:$U95,$E$5:$U$5))+INTERCEPT('Raw touched'!$E95:$U95,$E$5:$U$5)),'Raw touched'!T95)</f>
        <v>80.669582603076947</v>
      </c>
      <c r="U95" s="4">
        <f>IF(ISBLANK('Raw touched'!U95),((U$5*SLOPE('Raw touched'!$E95:$U95,$E$5:$U$5))+INTERCEPT('Raw touched'!$E95:$U95,$E$5:$U$5)),'Raw touched'!U95)</f>
        <v>81.131802471758192</v>
      </c>
    </row>
    <row r="96" spans="3:21" ht="13">
      <c r="C96" s="1" t="s">
        <v>26</v>
      </c>
      <c r="D96" s="1" t="s">
        <v>235</v>
      </c>
      <c r="E96" s="4">
        <f>IF(ISBLANK('Raw touched'!E96),((E$5*SLOPE('Raw touched'!$E96:$U96,$E$5:$U$5))+INTERCEPT('Raw touched'!$E96:$U96,$E$5:$U$5)),'Raw touched'!E96)</f>
        <v>80.5</v>
      </c>
      <c r="F96" s="4">
        <f>IF(ISBLANK('Raw touched'!F96),((F$5*SLOPE('Raw touched'!$E96:$U96,$E$5:$U$5))+INTERCEPT('Raw touched'!$E96:$U96,$E$5:$U$5)),'Raw touched'!F96)</f>
        <v>80.599998470000003</v>
      </c>
      <c r="G96" s="4">
        <f>IF(ISBLANK('Raw touched'!G96),((G$5*SLOPE('Raw touched'!$E96:$U96,$E$5:$U$5))+INTERCEPT('Raw touched'!$E96:$U96,$E$5:$U$5)),'Raw touched'!G96)</f>
        <v>80.599998470000003</v>
      </c>
      <c r="H96" s="4">
        <f>IF(ISBLANK('Raw touched'!H96),((H$5*SLOPE('Raw touched'!$E96:$U96,$E$5:$U$5))+INTERCEPT('Raw touched'!$E96:$U96,$E$5:$U$5)),'Raw touched'!H96)</f>
        <v>80.599998470000003</v>
      </c>
      <c r="I96" s="4">
        <f>IF(ISBLANK('Raw touched'!I96),((I$5*SLOPE('Raw touched'!$E96:$U96,$E$5:$U$5))+INTERCEPT('Raw touched'!$E96:$U96,$E$5:$U$5)),'Raw touched'!I96)</f>
        <v>80.599998470000003</v>
      </c>
      <c r="J96" s="4">
        <f>IF(ISBLANK('Raw touched'!J96),((J$5*SLOPE('Raw touched'!$E96:$U96,$E$5:$U$5))+INTERCEPT('Raw touched'!$E96:$U96,$E$5:$U$5)),'Raw touched'!J96)</f>
        <v>80.599998470000003</v>
      </c>
      <c r="K96" s="4">
        <f>IF(ISBLANK('Raw touched'!K96),((K$5*SLOPE('Raw touched'!$E96:$U96,$E$5:$U$5))+INTERCEPT('Raw touched'!$E96:$U96,$E$5:$U$5)),'Raw touched'!K96)</f>
        <v>82.6569440619445</v>
      </c>
      <c r="L96" s="4">
        <f>IF(ISBLANK('Raw touched'!L96),((L$5*SLOPE('Raw touched'!$E96:$U96,$E$5:$U$5))+INTERCEPT('Raw touched'!$E96:$U96,$E$5:$U$5)),'Raw touched'!L96)</f>
        <v>83.179166475416537</v>
      </c>
      <c r="M96" s="4">
        <f>IF(ISBLANK('Raw touched'!M96),((M$5*SLOPE('Raw touched'!$E96:$U96,$E$5:$U$5))+INTERCEPT('Raw touched'!$E96:$U96,$E$5:$U$5)),'Raw touched'!M96)</f>
        <v>84.400001529999997</v>
      </c>
      <c r="N96" s="4">
        <f>IF(ISBLANK('Raw touched'!N96),((N$5*SLOPE('Raw touched'!$E96:$U96,$E$5:$U$5))+INTERCEPT('Raw touched'!$E96:$U96,$E$5:$U$5)),'Raw touched'!N96)</f>
        <v>85</v>
      </c>
      <c r="O96" s="4">
        <f>IF(ISBLANK('Raw touched'!O96),((O$5*SLOPE('Raw touched'!$E96:$U96,$E$5:$U$5))+INTERCEPT('Raw touched'!$E96:$U96,$E$5:$U$5)),'Raw touched'!O96)</f>
        <v>84.745833715833328</v>
      </c>
      <c r="P96" s="4">
        <f>IF(ISBLANK('Raw touched'!P96),((P$5*SLOPE('Raw touched'!$E96:$U96,$E$5:$U$5))+INTERCEPT('Raw touched'!$E96:$U96,$E$5:$U$5)),'Raw touched'!P96)</f>
        <v>85.268056129305592</v>
      </c>
      <c r="Q96" s="4">
        <f>IF(ISBLANK('Raw touched'!Q96),((Q$5*SLOPE('Raw touched'!$E96:$U96,$E$5:$U$5))+INTERCEPT('Raw touched'!$E96:$U96,$E$5:$U$5)),'Raw touched'!Q96)</f>
        <v>85.790278542777855</v>
      </c>
      <c r="R96" s="4">
        <f>IF(ISBLANK('Raw touched'!R96),((R$5*SLOPE('Raw touched'!$E96:$U96,$E$5:$U$5))+INTERCEPT('Raw touched'!$E96:$U96,$E$5:$U$5)),'Raw touched'!R96)</f>
        <v>86.312500956249892</v>
      </c>
      <c r="S96" s="4">
        <f>IF(ISBLANK('Raw touched'!S96),((S$5*SLOPE('Raw touched'!$E96:$U96,$E$5:$U$5))+INTERCEPT('Raw touched'!$E96:$U96,$E$5:$U$5)),'Raw touched'!S96)</f>
        <v>86.834723369722155</v>
      </c>
      <c r="T96" s="4">
        <f>IF(ISBLANK('Raw touched'!T96),((T$5*SLOPE('Raw touched'!$E96:$U96,$E$5:$U$5))+INTERCEPT('Raw touched'!$E96:$U96,$E$5:$U$5)),'Raw touched'!T96)</f>
        <v>87.356945783194419</v>
      </c>
      <c r="U96" s="4">
        <f>IF(ISBLANK('Raw touched'!U96),((U$5*SLOPE('Raw touched'!$E96:$U96,$E$5:$U$5))+INTERCEPT('Raw touched'!$E96:$U96,$E$5:$U$5)),'Raw touched'!U96)</f>
        <v>87.879168196666683</v>
      </c>
    </row>
    <row r="97" spans="3:21" ht="13">
      <c r="C97" s="1" t="s">
        <v>177</v>
      </c>
      <c r="D97" s="1" t="s">
        <v>174</v>
      </c>
      <c r="E97" s="4">
        <f>IF(ISBLANK('Raw touched'!E97),((E$5*SLOPE('Raw touched'!$E97:$U97,$E$5:$U$5))+INTERCEPT('Raw touched'!$E97:$U97,$E$5:$U$5)),'Raw touched'!E97)</f>
        <v>91</v>
      </c>
      <c r="F97" s="4">
        <f>IF(ISBLANK('Raw touched'!F97),((F$5*SLOPE('Raw touched'!$E97:$U97,$E$5:$U$5))+INTERCEPT('Raw touched'!$E97:$U97,$E$5:$U$5)),'Raw touched'!F97)</f>
        <v>91.099998470000003</v>
      </c>
      <c r="G97" s="4">
        <f>IF(ISBLANK('Raw touched'!G97),((G$5*SLOPE('Raw touched'!$E97:$U97,$E$5:$U$5))+INTERCEPT('Raw touched'!$E97:$U97,$E$5:$U$5)),'Raw touched'!G97)</f>
        <v>91.099998470000003</v>
      </c>
      <c r="H97" s="4">
        <f>IF(ISBLANK('Raw touched'!H97),((H$5*SLOPE('Raw touched'!$E97:$U97,$E$5:$U$5))+INTERCEPT('Raw touched'!$E97:$U97,$E$5:$U$5)),'Raw touched'!H97)</f>
        <v>91.099998470000003</v>
      </c>
      <c r="I97" s="4">
        <f>IF(ISBLANK('Raw touched'!I97),((I$5*SLOPE('Raw touched'!$E97:$U97,$E$5:$U$5))+INTERCEPT('Raw touched'!$E97:$U97,$E$5:$U$5)),'Raw touched'!I97)</f>
        <v>91.099998470000003</v>
      </c>
      <c r="J97" s="4">
        <f>IF(ISBLANK('Raw touched'!J97),((J$5*SLOPE('Raw touched'!$E97:$U97,$E$5:$U$5))+INTERCEPT('Raw touched'!$E97:$U97,$E$5:$U$5)),'Raw touched'!J97)</f>
        <v>91.099998470000003</v>
      </c>
      <c r="K97" s="4">
        <f>IF(ISBLANK('Raw touched'!K97),((K$5*SLOPE('Raw touched'!$E97:$U97,$E$5:$U$5))+INTERCEPT('Raw touched'!$E97:$U97,$E$5:$U$5)),'Raw touched'!K97)</f>
        <v>91.099998470000003</v>
      </c>
      <c r="L97" s="4">
        <f>IF(ISBLANK('Raw touched'!L97),((L$5*SLOPE('Raw touched'!$E97:$U97,$E$5:$U$5))+INTERCEPT('Raw touched'!$E97:$U97,$E$5:$U$5)),'Raw touched'!L97)</f>
        <v>91.128569461428555</v>
      </c>
      <c r="M97" s="4">
        <f>IF(ISBLANK('Raw touched'!M97),((M$5*SLOPE('Raw touched'!$E97:$U97,$E$5:$U$5))+INTERCEPT('Raw touched'!$E97:$U97,$E$5:$U$5)),'Raw touched'!M97)</f>
        <v>91.139283583214279</v>
      </c>
      <c r="N97" s="4">
        <f>IF(ISBLANK('Raw touched'!N97),((N$5*SLOPE('Raw touched'!$E97:$U97,$E$5:$U$5))+INTERCEPT('Raw touched'!$E97:$U97,$E$5:$U$5)),'Raw touched'!N97)</f>
        <v>91.14999770499999</v>
      </c>
      <c r="O97" s="4">
        <f>IF(ISBLANK('Raw touched'!O97),((O$5*SLOPE('Raw touched'!$E97:$U97,$E$5:$U$5))+INTERCEPT('Raw touched'!$E97:$U97,$E$5:$U$5)),'Raw touched'!O97)</f>
        <v>91.1607118267857</v>
      </c>
      <c r="P97" s="4">
        <f>IF(ISBLANK('Raw touched'!P97),((P$5*SLOPE('Raw touched'!$E97:$U97,$E$5:$U$5))+INTERCEPT('Raw touched'!$E97:$U97,$E$5:$U$5)),'Raw touched'!P97)</f>
        <v>91.171425948571411</v>
      </c>
      <c r="Q97" s="4">
        <f>IF(ISBLANK('Raw touched'!Q97),((Q$5*SLOPE('Raw touched'!$E97:$U97,$E$5:$U$5))+INTERCEPT('Raw touched'!$E97:$U97,$E$5:$U$5)),'Raw touched'!Q97)</f>
        <v>91.182140070357121</v>
      </c>
      <c r="R97" s="4">
        <f>IF(ISBLANK('Raw touched'!R97),((R$5*SLOPE('Raw touched'!$E97:$U97,$E$5:$U$5))+INTERCEPT('Raw touched'!$E97:$U97,$E$5:$U$5)),'Raw touched'!R97)</f>
        <v>91.192854192142846</v>
      </c>
      <c r="S97" s="4">
        <f>IF(ISBLANK('Raw touched'!S97),((S$5*SLOPE('Raw touched'!$E97:$U97,$E$5:$U$5))+INTERCEPT('Raw touched'!$E97:$U97,$E$5:$U$5)),'Raw touched'!S97)</f>
        <v>91.203568313928557</v>
      </c>
      <c r="T97" s="4">
        <f>IF(ISBLANK('Raw touched'!T97),((T$5*SLOPE('Raw touched'!$E97:$U97,$E$5:$U$5))+INTERCEPT('Raw touched'!$E97:$U97,$E$5:$U$5)),'Raw touched'!T97)</f>
        <v>91.214282435714267</v>
      </c>
      <c r="U97" s="4">
        <f>IF(ISBLANK('Raw touched'!U97),((U$5*SLOPE('Raw touched'!$E97:$U97,$E$5:$U$5))+INTERCEPT('Raw touched'!$E97:$U97,$E$5:$U$5)),'Raw touched'!U97)</f>
        <v>91.224996557499992</v>
      </c>
    </row>
    <row r="98" spans="3:21" ht="13">
      <c r="C98" s="1" t="s">
        <v>118</v>
      </c>
      <c r="D98" s="1" t="s">
        <v>76</v>
      </c>
      <c r="E98" s="4">
        <f>IF(ISBLANK('Raw touched'!E98),((E$5*SLOPE('Raw touched'!$E98:$U98,$E$5:$U$5))+INTERCEPT('Raw touched'!$E98:$U98,$E$5:$U$5)),'Raw touched'!E98)</f>
        <v>13.80000019</v>
      </c>
      <c r="F98" s="4">
        <f>IF(ISBLANK('Raw touched'!F98),((F$5*SLOPE('Raw touched'!$E98:$U98,$E$5:$U$5))+INTERCEPT('Raw touched'!$E98:$U98,$E$5:$U$5)),'Raw touched'!F98)</f>
        <v>14.066014880891089</v>
      </c>
      <c r="G98" s="4">
        <f>IF(ISBLANK('Raw touched'!G98),((G$5*SLOPE('Raw touched'!$E98:$U98,$E$5:$U$5))+INTERCEPT('Raw touched'!$E98:$U98,$E$5:$U$5)),'Raw touched'!G98)</f>
        <v>14.005235169108914</v>
      </c>
      <c r="H98" s="4">
        <f>IF(ISBLANK('Raw touched'!H98),((H$5*SLOPE('Raw touched'!$E98:$U98,$E$5:$U$5))+INTERCEPT('Raw touched'!$E98:$U98,$E$5:$U$5)),'Raw touched'!H98)</f>
        <v>13.94445545732674</v>
      </c>
      <c r="I98" s="4">
        <f>IF(ISBLANK('Raw touched'!I98),((I$5*SLOPE('Raw touched'!$E98:$U98,$E$5:$U$5))+INTERCEPT('Raw touched'!$E98:$U98,$E$5:$U$5)),'Raw touched'!I98)</f>
        <v>13.883675745544551</v>
      </c>
      <c r="J98" s="4">
        <f>IF(ISBLANK('Raw touched'!J98),((J$5*SLOPE('Raw touched'!$E98:$U98,$E$5:$U$5))+INTERCEPT('Raw touched'!$E98:$U98,$E$5:$U$5)),'Raw touched'!J98)</f>
        <v>13.822896033762376</v>
      </c>
      <c r="K98" s="4">
        <f>IF(ISBLANK('Raw touched'!K98),((K$5*SLOPE('Raw touched'!$E98:$U98,$E$5:$U$5))+INTERCEPT('Raw touched'!$E98:$U98,$E$5:$U$5)),'Raw touched'!K98)</f>
        <v>13.762116321980201</v>
      </c>
      <c r="L98" s="4">
        <f>IF(ISBLANK('Raw touched'!L98),((L$5*SLOPE('Raw touched'!$E98:$U98,$E$5:$U$5))+INTERCEPT('Raw touched'!$E98:$U98,$E$5:$U$5)),'Raw touched'!L98)</f>
        <v>14.06999969</v>
      </c>
      <c r="M98" s="4">
        <f>IF(ISBLANK('Raw touched'!M98),((M$5*SLOPE('Raw touched'!$E98:$U98,$E$5:$U$5))+INTERCEPT('Raw touched'!$E98:$U98,$E$5:$U$5)),'Raw touched'!M98)</f>
        <v>14.40999985</v>
      </c>
      <c r="N98" s="4">
        <f>IF(ISBLANK('Raw touched'!N98),((N$5*SLOPE('Raw touched'!$E98:$U98,$E$5:$U$5))+INTERCEPT('Raw touched'!$E98:$U98,$E$5:$U$5)),'Raw touched'!N98)</f>
        <v>13.579777186633663</v>
      </c>
      <c r="O98" s="4">
        <f>IF(ISBLANK('Raw touched'!O98),((O$5*SLOPE('Raw touched'!$E98:$U98,$E$5:$U$5))+INTERCEPT('Raw touched'!$E98:$U98,$E$5:$U$5)),'Raw touched'!O98)</f>
        <v>13.4</v>
      </c>
      <c r="P98" s="4">
        <f>IF(ISBLANK('Raw touched'!P98),((P$5*SLOPE('Raw touched'!$E98:$U98,$E$5:$U$5))+INTERCEPT('Raw touched'!$E98:$U98,$E$5:$U$5)),'Raw touched'!P98)</f>
        <v>12.9</v>
      </c>
      <c r="Q98" s="4">
        <f>IF(ISBLANK('Raw touched'!Q98),((Q$5*SLOPE('Raw touched'!$E98:$U98,$E$5:$U$5))+INTERCEPT('Raw touched'!$E98:$U98,$E$5:$U$5)),'Raw touched'!Q98)</f>
        <v>13.06</v>
      </c>
      <c r="R98" s="4">
        <f>IF(ISBLANK('Raw touched'!R98),((R$5*SLOPE('Raw touched'!$E98:$U98,$E$5:$U$5))+INTERCEPT('Raw touched'!$E98:$U98,$E$5:$U$5)),'Raw touched'!R98)</f>
        <v>13.54</v>
      </c>
      <c r="S98" s="4">
        <f>IF(ISBLANK('Raw touched'!S98),((S$5*SLOPE('Raw touched'!$E98:$U98,$E$5:$U$5))+INTERCEPT('Raw touched'!$E98:$U98,$E$5:$U$5)),'Raw touched'!S98)</f>
        <v>13.275878627722776</v>
      </c>
      <c r="T98" s="4">
        <f>IF(ISBLANK('Raw touched'!T98),((T$5*SLOPE('Raw touched'!$E98:$U98,$E$5:$U$5))+INTERCEPT('Raw touched'!$E98:$U98,$E$5:$U$5)),'Raw touched'!T98)</f>
        <v>13.215098915940601</v>
      </c>
      <c r="U98" s="4">
        <f>IF(ISBLANK('Raw touched'!U98),((U$5*SLOPE('Raw touched'!$E98:$U98,$E$5:$U$5))+INTERCEPT('Raw touched'!$E98:$U98,$E$5:$U$5)),'Raw touched'!U98)</f>
        <v>13.154319204158412</v>
      </c>
    </row>
    <row r="99" spans="3:21" ht="13">
      <c r="C99" s="1" t="s">
        <v>384</v>
      </c>
      <c r="D99" s="1" t="s">
        <v>183</v>
      </c>
      <c r="E99" s="4">
        <f>IF(ISBLANK('Raw touched'!E99),((E$5*SLOPE('Raw touched'!$E99:$U99,$E$5:$U$5))+INTERCEPT('Raw touched'!$E99:$U99,$E$5:$U$5)),'Raw touched'!E99)</f>
        <v>100</v>
      </c>
      <c r="F99" s="4">
        <f>IF(ISBLANK('Raw touched'!F99),((F$5*SLOPE('Raw touched'!$E99:$U99,$E$5:$U$5))+INTERCEPT('Raw touched'!$E99:$U99,$E$5:$U$5)),'Raw touched'!F99)</f>
        <v>100</v>
      </c>
      <c r="G99" s="4">
        <f>IF(ISBLANK('Raw touched'!G99),((G$5*SLOPE('Raw touched'!$E99:$U99,$E$5:$U$5))+INTERCEPT('Raw touched'!$E99:$U99,$E$5:$U$5)),'Raw touched'!G99)</f>
        <v>100</v>
      </c>
      <c r="H99" s="4">
        <f>IF(ISBLANK('Raw touched'!H99),((H$5*SLOPE('Raw touched'!$E99:$U99,$E$5:$U$5))+INTERCEPT('Raw touched'!$E99:$U99,$E$5:$U$5)),'Raw touched'!H99)</f>
        <v>100</v>
      </c>
      <c r="I99" s="4">
        <f>IF(ISBLANK('Raw touched'!I99),((I$5*SLOPE('Raw touched'!$E99:$U99,$E$5:$U$5))+INTERCEPT('Raw touched'!$E99:$U99,$E$5:$U$5)),'Raw touched'!I99)</f>
        <v>100</v>
      </c>
      <c r="J99" s="4">
        <f>IF(ISBLANK('Raw touched'!J99),((J$5*SLOPE('Raw touched'!$E99:$U99,$E$5:$U$5))+INTERCEPT('Raw touched'!$E99:$U99,$E$5:$U$5)),'Raw touched'!J99)</f>
        <v>100</v>
      </c>
      <c r="K99" s="4">
        <f>IF(ISBLANK('Raw touched'!K99),((K$5*SLOPE('Raw touched'!$E99:$U99,$E$5:$U$5))+INTERCEPT('Raw touched'!$E99:$U99,$E$5:$U$5)),'Raw touched'!K99)</f>
        <v>100</v>
      </c>
      <c r="L99" s="4">
        <f>IF(ISBLANK('Raw touched'!L99),((L$5*SLOPE('Raw touched'!$E99:$U99,$E$5:$U$5))+INTERCEPT('Raw touched'!$E99:$U99,$E$5:$U$5)),'Raw touched'!L99)</f>
        <v>100</v>
      </c>
      <c r="M99" s="4">
        <f>IF(ISBLANK('Raw touched'!M99),((M$5*SLOPE('Raw touched'!$E99:$U99,$E$5:$U$5))+INTERCEPT('Raw touched'!$E99:$U99,$E$5:$U$5)),'Raw touched'!M99)</f>
        <v>100</v>
      </c>
      <c r="N99" s="4">
        <f>IF(ISBLANK('Raw touched'!N99),((N$5*SLOPE('Raw touched'!$E99:$U99,$E$5:$U$5))+INTERCEPT('Raw touched'!$E99:$U99,$E$5:$U$5)),'Raw touched'!N99)</f>
        <v>100</v>
      </c>
      <c r="O99" s="4">
        <f>IF(ISBLANK('Raw touched'!O99),((O$5*SLOPE('Raw touched'!$E99:$U99,$E$5:$U$5))+INTERCEPT('Raw touched'!$E99:$U99,$E$5:$U$5)),'Raw touched'!O99)</f>
        <v>100</v>
      </c>
      <c r="P99" s="4">
        <f>IF(ISBLANK('Raw touched'!P99),((P$5*SLOPE('Raw touched'!$E99:$U99,$E$5:$U$5))+INTERCEPT('Raw touched'!$E99:$U99,$E$5:$U$5)),'Raw touched'!P99)</f>
        <v>100</v>
      </c>
      <c r="Q99" s="4">
        <f>IF(ISBLANK('Raw touched'!Q99),((Q$5*SLOPE('Raw touched'!$E99:$U99,$E$5:$U$5))+INTERCEPT('Raw touched'!$E99:$U99,$E$5:$U$5)),'Raw touched'!Q99)</f>
        <v>100</v>
      </c>
      <c r="R99" s="4">
        <f>IF(ISBLANK('Raw touched'!R99),((R$5*SLOPE('Raw touched'!$E99:$U99,$E$5:$U$5))+INTERCEPT('Raw touched'!$E99:$U99,$E$5:$U$5)),'Raw touched'!R99)</f>
        <v>100</v>
      </c>
      <c r="S99" s="4">
        <f>IF(ISBLANK('Raw touched'!S99),((S$5*SLOPE('Raw touched'!$E99:$U99,$E$5:$U$5))+INTERCEPT('Raw touched'!$E99:$U99,$E$5:$U$5)),'Raw touched'!S99)</f>
        <v>100</v>
      </c>
      <c r="T99" s="4">
        <f>IF(ISBLANK('Raw touched'!T99),((T$5*SLOPE('Raw touched'!$E99:$U99,$E$5:$U$5))+INTERCEPT('Raw touched'!$E99:$U99,$E$5:$U$5)),'Raw touched'!T99)</f>
        <v>100</v>
      </c>
      <c r="U99" s="4">
        <f>IF(ISBLANK('Raw touched'!U99),((U$5*SLOPE('Raw touched'!$E99:$U99,$E$5:$U$5))+INTERCEPT('Raw touched'!$E99:$U99,$E$5:$U$5)),'Raw touched'!U99)</f>
        <v>100</v>
      </c>
    </row>
    <row r="100" spans="3:21" ht="13">
      <c r="C100" s="1" t="s">
        <v>135</v>
      </c>
      <c r="D100" s="1" t="s">
        <v>199</v>
      </c>
      <c r="E100" s="4">
        <f>IF(ISBLANK('Raw touched'!E100),((E$5*SLOPE('Raw touched'!$E100:$U100,$E$5:$U$5))+INTERCEPT('Raw touched'!$E100:$U100,$E$5:$U$5)),'Raw touched'!E100)</f>
        <v>95</v>
      </c>
      <c r="F100" s="4">
        <f>IF(ISBLANK('Raw touched'!F100),((F$5*SLOPE('Raw touched'!$E100:$U100,$E$5:$U$5))+INTERCEPT('Raw touched'!$E100:$U100,$E$5:$U$5)),'Raw touched'!F100)</f>
        <v>95</v>
      </c>
      <c r="G100" s="4">
        <f>IF(ISBLANK('Raw touched'!G100),((G$5*SLOPE('Raw touched'!$E100:$U100,$E$5:$U$5))+INTERCEPT('Raw touched'!$E100:$U100,$E$5:$U$5)),'Raw touched'!G100)</f>
        <v>90.726923724230801</v>
      </c>
      <c r="H100" s="4">
        <f>IF(ISBLANK('Raw touched'!H100),((H$5*SLOPE('Raw touched'!$E100:$U100,$E$5:$U$5))+INTERCEPT('Raw touched'!$E100:$U100,$E$5:$U$5)),'Raw touched'!H100)</f>
        <v>88.007693366923377</v>
      </c>
      <c r="I100" s="4">
        <f>IF(ISBLANK('Raw touched'!I100),((I$5*SLOPE('Raw touched'!$E100:$U100,$E$5:$U$5))+INTERCEPT('Raw touched'!$E100:$U100,$E$5:$U$5)),'Raw touched'!I100)</f>
        <v>84.900001529999997</v>
      </c>
      <c r="J100" s="4">
        <f>IF(ISBLANK('Raw touched'!J100),((J$5*SLOPE('Raw touched'!$E100:$U100,$E$5:$U$5))+INTERCEPT('Raw touched'!$E100:$U100,$E$5:$U$5)),'Raw touched'!J100)</f>
        <v>82.569232652307619</v>
      </c>
      <c r="K100" s="4">
        <f>IF(ISBLANK('Raw touched'!K100),((K$5*SLOPE('Raw touched'!$E100:$U100,$E$5:$U$5))+INTERCEPT('Raw touched'!$E100:$U100,$E$5:$U$5)),'Raw touched'!K100)</f>
        <v>79.850002295000195</v>
      </c>
      <c r="L100" s="4">
        <f>IF(ISBLANK('Raw touched'!L100),((L$5*SLOPE('Raw touched'!$E100:$U100,$E$5:$U$5))+INTERCEPT('Raw touched'!$E100:$U100,$E$5:$U$5)),'Raw touched'!L100)</f>
        <v>77.130771937692771</v>
      </c>
      <c r="M100" s="4">
        <f>IF(ISBLANK('Raw touched'!M100),((M$5*SLOPE('Raw touched'!$E100:$U100,$E$5:$U$5))+INTERCEPT('Raw touched'!$E100:$U100,$E$5:$U$5)),'Raw touched'!M100)</f>
        <v>74.411541580384437</v>
      </c>
      <c r="N100" s="4">
        <f>IF(ISBLANK('Raw touched'!N100),((N$5*SLOPE('Raw touched'!$E100:$U100,$E$5:$U$5))+INTERCEPT('Raw touched'!$E100:$U100,$E$5:$U$5)),'Raw touched'!N100)</f>
        <v>71.692311223077013</v>
      </c>
      <c r="O100" s="4">
        <f>IF(ISBLANK('Raw touched'!O100),((O$5*SLOPE('Raw touched'!$E100:$U100,$E$5:$U$5))+INTERCEPT('Raw touched'!$E100:$U100,$E$5:$U$5)),'Raw touched'!O100)</f>
        <v>68.973080865769589</v>
      </c>
      <c r="P100" s="4">
        <f>IF(ISBLANK('Raw touched'!P100),((P$5*SLOPE('Raw touched'!$E100:$U100,$E$5:$U$5))+INTERCEPT('Raw touched'!$E100:$U100,$E$5:$U$5)),'Raw touched'!P100)</f>
        <v>66.253850508461255</v>
      </c>
      <c r="Q100" s="4">
        <f>IF(ISBLANK('Raw touched'!Q100),((Q$5*SLOPE('Raw touched'!$E100:$U100,$E$5:$U$5))+INTERCEPT('Raw touched'!$E100:$U100,$E$5:$U$5)),'Raw touched'!Q100)</f>
        <v>63.534620151153831</v>
      </c>
      <c r="R100" s="4">
        <f>IF(ISBLANK('Raw touched'!R100),((R$5*SLOPE('Raw touched'!$E100:$U100,$E$5:$U$5))+INTERCEPT('Raw touched'!$E100:$U100,$E$5:$U$5)),'Raw touched'!R100)</f>
        <v>60.815389793846407</v>
      </c>
      <c r="S100" s="4">
        <f>IF(ISBLANK('Raw touched'!S100),((S$5*SLOPE('Raw touched'!$E100:$U100,$E$5:$U$5))+INTERCEPT('Raw touched'!$E100:$U100,$E$5:$U$5)),'Raw touched'!S100)</f>
        <v>58.096159436538983</v>
      </c>
      <c r="T100" s="4">
        <f>IF(ISBLANK('Raw touched'!T100),((T$5*SLOPE('Raw touched'!$E100:$U100,$E$5:$U$5))+INTERCEPT('Raw touched'!$E100:$U100,$E$5:$U$5)),'Raw touched'!T100)</f>
        <v>55.376929079230649</v>
      </c>
      <c r="U100" s="4">
        <f>IF(ISBLANK('Raw touched'!U100),((U$5*SLOPE('Raw touched'!$E100:$U100,$E$5:$U$5))+INTERCEPT('Raw touched'!$E100:$U100,$E$5:$U$5)),'Raw touched'!U100)</f>
        <v>52.657698721923225</v>
      </c>
    </row>
    <row r="101" spans="3:21" ht="13">
      <c r="C101" s="1" t="s">
        <v>345</v>
      </c>
      <c r="D101" s="1" t="s">
        <v>200</v>
      </c>
      <c r="E101" s="4">
        <f>IF(ISBLANK('Raw touched'!E101),((E$5*SLOPE('Raw touched'!$E101:$U101,$E$5:$U$5))+INTERCEPT('Raw touched'!$E101:$U101,$E$5:$U$5)),'Raw touched'!E101)</f>
        <v>17.899999619999999</v>
      </c>
      <c r="F101" s="4">
        <f>IF(ISBLANK('Raw touched'!F101),((F$5*SLOPE('Raw touched'!$E101:$U101,$E$5:$U$5))+INTERCEPT('Raw touched'!$E101:$U101,$E$5:$U$5)),'Raw touched'!F101)</f>
        <v>17.899999619999999</v>
      </c>
      <c r="G101" s="4">
        <f>IF(ISBLANK('Raw touched'!G101),((G$5*SLOPE('Raw touched'!$E101:$U101,$E$5:$U$5))+INTERCEPT('Raw touched'!$E101:$U101,$E$5:$U$5)),'Raw touched'!G101)</f>
        <v>16.799999239999998</v>
      </c>
      <c r="H101" s="4">
        <f>IF(ISBLANK('Raw touched'!H101),((H$5*SLOPE('Raw touched'!$E101:$U101,$E$5:$U$5))+INTERCEPT('Raw touched'!$E101:$U101,$E$5:$U$5)),'Raw touched'!H101)</f>
        <v>17.299999239999998</v>
      </c>
      <c r="I101" s="4">
        <f>IF(ISBLANK('Raw touched'!I101),((I$5*SLOPE('Raw touched'!$E101:$U101,$E$5:$U$5))+INTERCEPT('Raw touched'!$E101:$U101,$E$5:$U$5)),'Raw touched'!I101)</f>
        <v>18.299999239999998</v>
      </c>
      <c r="J101" s="4">
        <f>IF(ISBLANK('Raw touched'!J101),((J$5*SLOPE('Raw touched'!$E101:$U101,$E$5:$U$5))+INTERCEPT('Raw touched'!$E101:$U101,$E$5:$U$5)),'Raw touched'!J101)</f>
        <v>18.299999239999998</v>
      </c>
      <c r="K101" s="4">
        <f>IF(ISBLANK('Raw touched'!K101),((K$5*SLOPE('Raw touched'!$E101:$U101,$E$5:$U$5))+INTERCEPT('Raw touched'!$E101:$U101,$E$5:$U$5)),'Raw touched'!K101)</f>
        <v>18.299999239999998</v>
      </c>
      <c r="L101" s="4">
        <f>IF(ISBLANK('Raw touched'!L101),((L$5*SLOPE('Raw touched'!$E101:$U101,$E$5:$U$5))+INTERCEPT('Raw touched'!$E101:$U101,$E$5:$U$5)),'Raw touched'!L101)</f>
        <v>18.32857050571431</v>
      </c>
      <c r="M101" s="4">
        <f>IF(ISBLANK('Raw touched'!M101),((M$5*SLOPE('Raw touched'!$E101:$U101,$E$5:$U$5))+INTERCEPT('Raw touched'!$E101:$U101,$E$5:$U$5)),'Raw touched'!M101)</f>
        <v>18.453570437857167</v>
      </c>
      <c r="N101" s="4">
        <f>IF(ISBLANK('Raw touched'!N101),((N$5*SLOPE('Raw touched'!$E101:$U101,$E$5:$U$5))+INTERCEPT('Raw touched'!$E101:$U101,$E$5:$U$5)),'Raw touched'!N101)</f>
        <v>18.578570370000023</v>
      </c>
      <c r="O101" s="4">
        <f>IF(ISBLANK('Raw touched'!O101),((O$5*SLOPE('Raw touched'!$E101:$U101,$E$5:$U$5))+INTERCEPT('Raw touched'!$E101:$U101,$E$5:$U$5)),'Raw touched'!O101)</f>
        <v>18.703570302142879</v>
      </c>
      <c r="P101" s="4">
        <f>IF(ISBLANK('Raw touched'!P101),((P$5*SLOPE('Raw touched'!$E101:$U101,$E$5:$U$5))+INTERCEPT('Raw touched'!$E101:$U101,$E$5:$U$5)),'Raw touched'!P101)</f>
        <v>18.828570234285735</v>
      </c>
      <c r="Q101" s="4">
        <f>IF(ISBLANK('Raw touched'!Q101),((Q$5*SLOPE('Raw touched'!$E101:$U101,$E$5:$U$5))+INTERCEPT('Raw touched'!$E101:$U101,$E$5:$U$5)),'Raw touched'!Q101)</f>
        <v>18.953570166428591</v>
      </c>
      <c r="R101" s="4">
        <f>IF(ISBLANK('Raw touched'!R101),((R$5*SLOPE('Raw touched'!$E101:$U101,$E$5:$U$5))+INTERCEPT('Raw touched'!$E101:$U101,$E$5:$U$5)),'Raw touched'!R101)</f>
        <v>19.078570098571447</v>
      </c>
      <c r="S101" s="4">
        <f>IF(ISBLANK('Raw touched'!S101),((S$5*SLOPE('Raw touched'!$E101:$U101,$E$5:$U$5))+INTERCEPT('Raw touched'!$E101:$U101,$E$5:$U$5)),'Raw touched'!S101)</f>
        <v>19.203570030714303</v>
      </c>
      <c r="T101" s="4">
        <f>IF(ISBLANK('Raw touched'!T101),((T$5*SLOPE('Raw touched'!$E101:$U101,$E$5:$U$5))+INTERCEPT('Raw touched'!$E101:$U101,$E$5:$U$5)),'Raw touched'!T101)</f>
        <v>19.328569962857159</v>
      </c>
      <c r="U101" s="4">
        <f>IF(ISBLANK('Raw touched'!U101),((U$5*SLOPE('Raw touched'!$E101:$U101,$E$5:$U$5))+INTERCEPT('Raw touched'!$E101:$U101,$E$5:$U$5)),'Raw touched'!U101)</f>
        <v>19.453569895000015</v>
      </c>
    </row>
    <row r="102" spans="3:21" ht="13">
      <c r="C102" s="1" t="s">
        <v>139</v>
      </c>
      <c r="D102" s="1" t="s">
        <v>253</v>
      </c>
      <c r="E102" s="4">
        <f>IF(ISBLANK('Raw touched'!E102),((E$5*SLOPE('Raw touched'!$E102:$U102,$E$5:$U$5))+INTERCEPT('Raw touched'!$E102:$U102,$E$5:$U$5)),'Raw touched'!E102)</f>
        <v>6.0999999049999998</v>
      </c>
      <c r="F102" s="4">
        <f>IF(ISBLANK('Raw touched'!F102),((F$5*SLOPE('Raw touched'!$E102:$U102,$E$5:$U$5))+INTERCEPT('Raw touched'!$E102:$U102,$E$5:$U$5)),'Raw touched'!F102)</f>
        <v>6.1999998090000004</v>
      </c>
      <c r="G102" s="4">
        <f>IF(ISBLANK('Raw touched'!G102),((G$5*SLOPE('Raw touched'!$E102:$U102,$E$5:$U$5))+INTERCEPT('Raw touched'!$E102:$U102,$E$5:$U$5)),'Raw touched'!G102)</f>
        <v>6.1999998090000004</v>
      </c>
      <c r="H102" s="4">
        <f>IF(ISBLANK('Raw touched'!H102),((H$5*SLOPE('Raw touched'!$E102:$U102,$E$5:$U$5))+INTERCEPT('Raw touched'!$E102:$U102,$E$5:$U$5)),'Raw touched'!H102)</f>
        <v>6.1999998090000004</v>
      </c>
      <c r="I102" s="4">
        <f>IF(ISBLANK('Raw touched'!I102),((I$5*SLOPE('Raw touched'!$E102:$U102,$E$5:$U$5))+INTERCEPT('Raw touched'!$E102:$U102,$E$5:$U$5)),'Raw touched'!I102)</f>
        <v>6.1999998090000004</v>
      </c>
      <c r="J102" s="4">
        <f>IF(ISBLANK('Raw touched'!J102),((J$5*SLOPE('Raw touched'!$E102:$U102,$E$5:$U$5))+INTERCEPT('Raw touched'!$E102:$U102,$E$5:$U$5)),'Raw touched'!J102)</f>
        <v>6.1999998090000004</v>
      </c>
      <c r="K102" s="4">
        <f>IF(ISBLANK('Raw touched'!K102),((K$5*SLOPE('Raw touched'!$E102:$U102,$E$5:$U$5))+INTERCEPT('Raw touched'!$E102:$U102,$E$5:$U$5)),'Raw touched'!K102)</f>
        <v>6.1999998090000004</v>
      </c>
      <c r="L102" s="4">
        <f>IF(ISBLANK('Raw touched'!L102),((L$5*SLOPE('Raw touched'!$E102:$U102,$E$5:$U$5))+INTERCEPT('Raw touched'!$E102:$U102,$E$5:$U$5)),'Raw touched'!L102)</f>
        <v>6.2285712101428565</v>
      </c>
      <c r="M102" s="4">
        <f>IF(ISBLANK('Raw touched'!M102),((M$5*SLOPE('Raw touched'!$E102:$U102,$E$5:$U$5))+INTERCEPT('Raw touched'!$E102:$U102,$E$5:$U$5)),'Raw touched'!M102)</f>
        <v>6.239285485571429</v>
      </c>
      <c r="N102" s="4">
        <f>IF(ISBLANK('Raw touched'!N102),((N$5*SLOPE('Raw touched'!$E102:$U102,$E$5:$U$5))+INTERCEPT('Raw touched'!$E102:$U102,$E$5:$U$5)),'Raw touched'!N102)</f>
        <v>6.2499997610000015</v>
      </c>
      <c r="O102" s="4">
        <f>IF(ISBLANK('Raw touched'!O102),((O$5*SLOPE('Raw touched'!$E102:$U102,$E$5:$U$5))+INTERCEPT('Raw touched'!$E102:$U102,$E$5:$U$5)),'Raw touched'!O102)</f>
        <v>6.2607140364285705</v>
      </c>
      <c r="P102" s="4">
        <f>IF(ISBLANK('Raw touched'!P102),((P$5*SLOPE('Raw touched'!$E102:$U102,$E$5:$U$5))+INTERCEPT('Raw touched'!$E102:$U102,$E$5:$U$5)),'Raw touched'!P102)</f>
        <v>6.271428311857143</v>
      </c>
      <c r="Q102" s="4">
        <f>IF(ISBLANK('Raw touched'!Q102),((Q$5*SLOPE('Raw touched'!$E102:$U102,$E$5:$U$5))+INTERCEPT('Raw touched'!$E102:$U102,$E$5:$U$5)),'Raw touched'!Q102)</f>
        <v>6.2821425872857155</v>
      </c>
      <c r="R102" s="4">
        <f>IF(ISBLANK('Raw touched'!R102),((R$5*SLOPE('Raw touched'!$E102:$U102,$E$5:$U$5))+INTERCEPT('Raw touched'!$E102:$U102,$E$5:$U$5)),'Raw touched'!R102)</f>
        <v>6.2928568627142845</v>
      </c>
      <c r="S102" s="4">
        <f>IF(ISBLANK('Raw touched'!S102),((S$5*SLOPE('Raw touched'!$E102:$U102,$E$5:$U$5))+INTERCEPT('Raw touched'!$E102:$U102,$E$5:$U$5)),'Raw touched'!S102)</f>
        <v>6.303571138142857</v>
      </c>
      <c r="T102" s="4">
        <f>IF(ISBLANK('Raw touched'!T102),((T$5*SLOPE('Raw touched'!$E102:$U102,$E$5:$U$5))+INTERCEPT('Raw touched'!$E102:$U102,$E$5:$U$5)),'Raw touched'!T102)</f>
        <v>6.3142854135714295</v>
      </c>
      <c r="U102" s="4">
        <f>IF(ISBLANK('Raw touched'!U102),((U$5*SLOPE('Raw touched'!$E102:$U102,$E$5:$U$5))+INTERCEPT('Raw touched'!$E102:$U102,$E$5:$U$5)),'Raw touched'!U102)</f>
        <v>6.324999689000002</v>
      </c>
    </row>
    <row r="103" spans="3:21" ht="13">
      <c r="C103" s="1" t="s">
        <v>141</v>
      </c>
      <c r="D103" s="1" t="s">
        <v>77</v>
      </c>
      <c r="E103" s="4">
        <f>IF(ISBLANK('Raw touched'!E103),((E$5*SLOPE('Raw touched'!$E103:$U103,$E$5:$U$5))+INTERCEPT('Raw touched'!$E103:$U103,$E$5:$U$5)),'Raw touched'!E103)</f>
        <v>57.099998470000003</v>
      </c>
      <c r="F103" s="4">
        <f>IF(ISBLANK('Raw touched'!F103),((F$5*SLOPE('Raw touched'!$E103:$U103,$E$5:$U$5))+INTERCEPT('Raw touched'!$E103:$U103,$E$5:$U$5)),'Raw touched'!F103)</f>
        <v>57.125300254216867</v>
      </c>
      <c r="G103" s="4">
        <f>IF(ISBLANK('Raw touched'!G103),((G$5*SLOPE('Raw touched'!$E103:$U103,$E$5:$U$5))+INTERCEPT('Raw touched'!$E103:$U103,$E$5:$U$5)),'Raw touched'!G103)</f>
        <v>57.143372957228912</v>
      </c>
      <c r="H103" s="4">
        <f>IF(ISBLANK('Raw touched'!H103),((H$5*SLOPE('Raw touched'!$E103:$U103,$E$5:$U$5))+INTERCEPT('Raw touched'!$E103:$U103,$E$5:$U$5)),'Raw touched'!H103)</f>
        <v>57.161445660240965</v>
      </c>
      <c r="I103" s="4">
        <f>IF(ISBLANK('Raw touched'!I103),((I$5*SLOPE('Raw touched'!$E103:$U103,$E$5:$U$5))+INTERCEPT('Raw touched'!$E103:$U103,$E$5:$U$5)),'Raw touched'!I103)</f>
        <v>57.200000760000002</v>
      </c>
      <c r="J103" s="4">
        <f>IF(ISBLANK('Raw touched'!J103),((J$5*SLOPE('Raw touched'!$E103:$U103,$E$5:$U$5))+INTERCEPT('Raw touched'!$E103:$U103,$E$5:$U$5)),'Raw touched'!J103)</f>
        <v>57.200000760000002</v>
      </c>
      <c r="K103" s="4">
        <f>IF(ISBLANK('Raw touched'!K103),((K$5*SLOPE('Raw touched'!$E103:$U103,$E$5:$U$5))+INTERCEPT('Raw touched'!$E103:$U103,$E$5:$U$5)),'Raw touched'!K103)</f>
        <v>57.200000760000002</v>
      </c>
      <c r="L103" s="4">
        <f>IF(ISBLANK('Raw touched'!L103),((L$5*SLOPE('Raw touched'!$E103:$U103,$E$5:$U$5))+INTERCEPT('Raw touched'!$E103:$U103,$E$5:$U$5)),'Raw touched'!L103)</f>
        <v>57.233736472289152</v>
      </c>
      <c r="M103" s="4">
        <f>IF(ISBLANK('Raw touched'!M103),((M$5*SLOPE('Raw touched'!$E103:$U103,$E$5:$U$5))+INTERCEPT('Raw touched'!$E103:$U103,$E$5:$U$5)),'Raw touched'!M103)</f>
        <v>57.251809175301204</v>
      </c>
      <c r="N103" s="4">
        <f>IF(ISBLANK('Raw touched'!N103),((N$5*SLOPE('Raw touched'!$E103:$U103,$E$5:$U$5))+INTERCEPT('Raw touched'!$E103:$U103,$E$5:$U$5)),'Raw touched'!N103)</f>
        <v>57.26988187831325</v>
      </c>
      <c r="O103" s="4">
        <f>IF(ISBLANK('Raw touched'!O103),((O$5*SLOPE('Raw touched'!$E103:$U103,$E$5:$U$5))+INTERCEPT('Raw touched'!$E103:$U103,$E$5:$U$5)),'Raw touched'!O103)</f>
        <v>57.287954581325295</v>
      </c>
      <c r="P103" s="4">
        <f>IF(ISBLANK('Raw touched'!P103),((P$5*SLOPE('Raw touched'!$E103:$U103,$E$5:$U$5))+INTERCEPT('Raw touched'!$E103:$U103,$E$5:$U$5)),'Raw touched'!P103)</f>
        <v>57.306027284337347</v>
      </c>
      <c r="Q103" s="4">
        <f>IF(ISBLANK('Raw touched'!Q103),((Q$5*SLOPE('Raw touched'!$E103:$U103,$E$5:$U$5))+INTERCEPT('Raw touched'!$E103:$U103,$E$5:$U$5)),'Raw touched'!Q103)</f>
        <v>57.324099987349392</v>
      </c>
      <c r="R103" s="4">
        <f>IF(ISBLANK('Raw touched'!R103),((R$5*SLOPE('Raw touched'!$E103:$U103,$E$5:$U$5))+INTERCEPT('Raw touched'!$E103:$U103,$E$5:$U$5)),'Raw touched'!R103)</f>
        <v>57.342172690361444</v>
      </c>
      <c r="S103" s="4">
        <f>IF(ISBLANK('Raw touched'!S103),((S$5*SLOPE('Raw touched'!$E103:$U103,$E$5:$U$5))+INTERCEPT('Raw touched'!$E103:$U103,$E$5:$U$5)),'Raw touched'!S103)</f>
        <v>57.360245393373489</v>
      </c>
      <c r="T103" s="4">
        <f>IF(ISBLANK('Raw touched'!T103),((T$5*SLOPE('Raw touched'!$E103:$U103,$E$5:$U$5))+INTERCEPT('Raw touched'!$E103:$U103,$E$5:$U$5)),'Raw touched'!T103)</f>
        <v>57.378318096385534</v>
      </c>
      <c r="U103" s="4">
        <f>IF(ISBLANK('Raw touched'!U103),((U$5*SLOPE('Raw touched'!$E103:$U103,$E$5:$U$5))+INTERCEPT('Raw touched'!$E103:$U103,$E$5:$U$5)),'Raw touched'!U103)</f>
        <v>57.396390799397587</v>
      </c>
    </row>
    <row r="104" spans="3:21" ht="13">
      <c r="C104" s="1" t="s">
        <v>201</v>
      </c>
      <c r="D104" s="1" t="s">
        <v>21</v>
      </c>
      <c r="E104" s="4" t="e">
        <f>IF(ISBLANK('Raw touched'!E104),((E$5*SLOPE('Raw touched'!$E104:$U104,$E$5:$U$5))+INTERCEPT('Raw touched'!$E104:$U104,$E$5:$U$5)),'Raw touched'!E104)</f>
        <v>#DIV/0!</v>
      </c>
      <c r="F104" s="4" t="e">
        <f>IF(ISBLANK('Raw touched'!F104),((F$5*SLOPE('Raw touched'!$E104:$U104,$E$5:$U$5))+INTERCEPT('Raw touched'!$E104:$U104,$E$5:$U$5)),'Raw touched'!F104)</f>
        <v>#DIV/0!</v>
      </c>
      <c r="G104" s="4" t="e">
        <f>IF(ISBLANK('Raw touched'!G104),((G$5*SLOPE('Raw touched'!$E104:$U104,$E$5:$U$5))+INTERCEPT('Raw touched'!$E104:$U104,$E$5:$U$5)),'Raw touched'!G104)</f>
        <v>#DIV/0!</v>
      </c>
      <c r="H104" s="4" t="e">
        <f>IF(ISBLANK('Raw touched'!H104),((H$5*SLOPE('Raw touched'!$E104:$U104,$E$5:$U$5))+INTERCEPT('Raw touched'!$E104:$U104,$E$5:$U$5)),'Raw touched'!H104)</f>
        <v>#DIV/0!</v>
      </c>
      <c r="I104" s="4" t="e">
        <f>IF(ISBLANK('Raw touched'!I104),((I$5*SLOPE('Raw touched'!$E104:$U104,$E$5:$U$5))+INTERCEPT('Raw touched'!$E104:$U104,$E$5:$U$5)),'Raw touched'!I104)</f>
        <v>#DIV/0!</v>
      </c>
      <c r="J104" s="4" t="e">
        <f>IF(ISBLANK('Raw touched'!J104),((J$5*SLOPE('Raw touched'!$E104:$U104,$E$5:$U$5))+INTERCEPT('Raw touched'!$E104:$U104,$E$5:$U$5)),'Raw touched'!J104)</f>
        <v>#DIV/0!</v>
      </c>
      <c r="K104" s="4" t="e">
        <f>IF(ISBLANK('Raw touched'!K104),((K$5*SLOPE('Raw touched'!$E104:$U104,$E$5:$U$5))+INTERCEPT('Raw touched'!$E104:$U104,$E$5:$U$5)),'Raw touched'!K104)</f>
        <v>#DIV/0!</v>
      </c>
      <c r="L104" s="4" t="e">
        <f>IF(ISBLANK('Raw touched'!L104),((L$5*SLOPE('Raw touched'!$E104:$U104,$E$5:$U$5))+INTERCEPT('Raw touched'!$E104:$U104,$E$5:$U$5)),'Raw touched'!L104)</f>
        <v>#DIV/0!</v>
      </c>
      <c r="M104" s="4" t="e">
        <f>IF(ISBLANK('Raw touched'!M104),((M$5*SLOPE('Raw touched'!$E104:$U104,$E$5:$U$5))+INTERCEPT('Raw touched'!$E104:$U104,$E$5:$U$5)),'Raw touched'!M104)</f>
        <v>#DIV/0!</v>
      </c>
      <c r="N104" s="4" t="e">
        <f>IF(ISBLANK('Raw touched'!N104),((N$5*SLOPE('Raw touched'!$E104:$U104,$E$5:$U$5))+INTERCEPT('Raw touched'!$E104:$U104,$E$5:$U$5)),'Raw touched'!N104)</f>
        <v>#DIV/0!</v>
      </c>
      <c r="O104" s="4" t="e">
        <f>IF(ISBLANK('Raw touched'!O104),((O$5*SLOPE('Raw touched'!$E104:$U104,$E$5:$U$5))+INTERCEPT('Raw touched'!$E104:$U104,$E$5:$U$5)),'Raw touched'!O104)</f>
        <v>#DIV/0!</v>
      </c>
      <c r="P104" s="4" t="e">
        <f>IF(ISBLANK('Raw touched'!P104),((P$5*SLOPE('Raw touched'!$E104:$U104,$E$5:$U$5))+INTERCEPT('Raw touched'!$E104:$U104,$E$5:$U$5)),'Raw touched'!P104)</f>
        <v>#DIV/0!</v>
      </c>
      <c r="Q104" s="4" t="e">
        <f>IF(ISBLANK('Raw touched'!Q104),((Q$5*SLOPE('Raw touched'!$E104:$U104,$E$5:$U$5))+INTERCEPT('Raw touched'!$E104:$U104,$E$5:$U$5)),'Raw touched'!Q104)</f>
        <v>#DIV/0!</v>
      </c>
      <c r="R104" s="4" t="e">
        <f>IF(ISBLANK('Raw touched'!R104),((R$5*SLOPE('Raw touched'!$E104:$U104,$E$5:$U$5))+INTERCEPT('Raw touched'!$E104:$U104,$E$5:$U$5)),'Raw touched'!R104)</f>
        <v>#DIV/0!</v>
      </c>
      <c r="S104" s="4" t="e">
        <f>IF(ISBLANK('Raw touched'!S104),((S$5*SLOPE('Raw touched'!$E104:$U104,$E$5:$U$5))+INTERCEPT('Raw touched'!$E104:$U104,$E$5:$U$5)),'Raw touched'!S104)</f>
        <v>#DIV/0!</v>
      </c>
      <c r="T104" s="4" t="e">
        <f>IF(ISBLANK('Raw touched'!T104),((T$5*SLOPE('Raw touched'!$E104:$U104,$E$5:$U$5))+INTERCEPT('Raw touched'!$E104:$U104,$E$5:$U$5)),'Raw touched'!T104)</f>
        <v>#DIV/0!</v>
      </c>
      <c r="U104" s="4" t="e">
        <f>IF(ISBLANK('Raw touched'!U104),((U$5*SLOPE('Raw touched'!$E104:$U104,$E$5:$U$5))+INTERCEPT('Raw touched'!$E104:$U104,$E$5:$U$5)),'Raw touched'!U104)</f>
        <v>#DIV/0!</v>
      </c>
    </row>
    <row r="105" spans="3:21" ht="13">
      <c r="C105" s="1" t="s">
        <v>391</v>
      </c>
      <c r="D105" s="1" t="s">
        <v>389</v>
      </c>
      <c r="E105" s="4">
        <f>IF(ISBLANK('Raw touched'!E105),((E$5*SLOPE('Raw touched'!$E105:$U105,$E$5:$U$5))+INTERCEPT('Raw touched'!$E105:$U105,$E$5:$U$5)),'Raw touched'!E105)</f>
        <v>27.190167430000002</v>
      </c>
      <c r="F105" s="4">
        <f>IF(ISBLANK('Raw touched'!F105),((F$5*SLOPE('Raw touched'!$E105:$U105,$E$5:$U$5))+INTERCEPT('Raw touched'!$E105:$U105,$E$5:$U$5)),'Raw touched'!F105)</f>
        <v>27.301783625000013</v>
      </c>
      <c r="G105" s="4">
        <f>IF(ISBLANK('Raw touched'!G105),((G$5*SLOPE('Raw touched'!$E105:$U105,$E$5:$U$5))+INTERCEPT('Raw touched'!$E105:$U105,$E$5:$U$5)),'Raw touched'!G105)</f>
        <v>27.413399819999995</v>
      </c>
      <c r="H105" s="4">
        <f>IF(ISBLANK('Raw touched'!H105),((H$5*SLOPE('Raw touched'!$E105:$U105,$E$5:$U$5))+INTERCEPT('Raw touched'!$E105:$U105,$E$5:$U$5)),'Raw touched'!H105)</f>
        <v>27.525016015000006</v>
      </c>
      <c r="I105" s="4">
        <f>IF(ISBLANK('Raw touched'!I105),((I$5*SLOPE('Raw touched'!$E105:$U105,$E$5:$U$5))+INTERCEPT('Raw touched'!$E105:$U105,$E$5:$U$5)),'Raw touched'!I105)</f>
        <v>27.636632210000016</v>
      </c>
      <c r="J105" s="4">
        <f>IF(ISBLANK('Raw touched'!J105),((J$5*SLOPE('Raw touched'!$E105:$U105,$E$5:$U$5))+INTERCEPT('Raw touched'!$E105:$U105,$E$5:$U$5)),'Raw touched'!J105)</f>
        <v>27.748248404999998</v>
      </c>
      <c r="K105" s="4">
        <f>IF(ISBLANK('Raw touched'!K105),((K$5*SLOPE('Raw touched'!$E105:$U105,$E$5:$U$5))+INTERCEPT('Raw touched'!$E105:$U105,$E$5:$U$5)),'Raw touched'!K105)</f>
        <v>27.859864600000009</v>
      </c>
      <c r="L105" s="4">
        <f>IF(ISBLANK('Raw touched'!L105),((L$5*SLOPE('Raw touched'!$E105:$U105,$E$5:$U$5))+INTERCEPT('Raw touched'!$E105:$U105,$E$5:$U$5)),'Raw touched'!L105)</f>
        <v>27.971480795000019</v>
      </c>
      <c r="M105" s="4">
        <f>IF(ISBLANK('Raw touched'!M105),((M$5*SLOPE('Raw touched'!$E105:$U105,$E$5:$U$5))+INTERCEPT('Raw touched'!$E105:$U105,$E$5:$U$5)),'Raw touched'!M105)</f>
        <v>28.083096990000001</v>
      </c>
      <c r="N105" s="4">
        <f>IF(ISBLANK('Raw touched'!N105),((N$5*SLOPE('Raw touched'!$E105:$U105,$E$5:$U$5))+INTERCEPT('Raw touched'!$E105:$U105,$E$5:$U$5)),'Raw touched'!N105)</f>
        <v>28.194713185000012</v>
      </c>
      <c r="O105" s="4">
        <f>IF(ISBLANK('Raw touched'!O105),((O$5*SLOPE('Raw touched'!$E105:$U105,$E$5:$U$5))+INTERCEPT('Raw touched'!$E105:$U105,$E$5:$U$5)),'Raw touched'!O105)</f>
        <v>28.299999239999998</v>
      </c>
      <c r="P105" s="4">
        <f>IF(ISBLANK('Raw touched'!P105),((P$5*SLOPE('Raw touched'!$E105:$U105,$E$5:$U$5))+INTERCEPT('Raw touched'!$E105:$U105,$E$5:$U$5)),'Raw touched'!P105)</f>
        <v>28.38942789</v>
      </c>
      <c r="Q105" s="4">
        <f>IF(ISBLANK('Raw touched'!Q105),((Q$5*SLOPE('Raw touched'!$E105:$U105,$E$5:$U$5))+INTERCEPT('Raw touched'!$E105:$U105,$E$5:$U$5)),'Raw touched'!Q105)</f>
        <v>28.60558756</v>
      </c>
      <c r="R105" s="4">
        <f>IF(ISBLANK('Raw touched'!R105),((R$5*SLOPE('Raw touched'!$E105:$U105,$E$5:$U$5))+INTERCEPT('Raw touched'!$E105:$U105,$E$5:$U$5)),'Raw touched'!R105)</f>
        <v>28.6</v>
      </c>
      <c r="S105" s="4">
        <f>IF(ISBLANK('Raw touched'!S105),((S$5*SLOPE('Raw touched'!$E105:$U105,$E$5:$U$5))+INTERCEPT('Raw touched'!$E105:$U105,$E$5:$U$5)),'Raw touched'!S105)</f>
        <v>28.752794160000008</v>
      </c>
      <c r="T105" s="4">
        <f>IF(ISBLANK('Raw touched'!T105),((T$5*SLOPE('Raw touched'!$E105:$U105,$E$5:$U$5))+INTERCEPT('Raw touched'!$E105:$U105,$E$5:$U$5)),'Raw touched'!T105)</f>
        <v>28.864410355000018</v>
      </c>
      <c r="U105" s="4">
        <f>IF(ISBLANK('Raw touched'!U105),((U$5*SLOPE('Raw touched'!$E105:$U105,$E$5:$U$5))+INTERCEPT('Raw touched'!$E105:$U105,$E$5:$U$5)),'Raw touched'!U105)</f>
        <v>28.97602655</v>
      </c>
    </row>
    <row r="106" spans="3:21" ht="13">
      <c r="C106" s="1" t="s">
        <v>381</v>
      </c>
      <c r="D106" s="1" t="s">
        <v>280</v>
      </c>
      <c r="E106" s="4">
        <f>IF(ISBLANK('Raw touched'!E106),((E$5*SLOPE('Raw touched'!$E106:$U106,$E$5:$U$5))+INTERCEPT('Raw touched'!$E106:$U106,$E$5:$U$5)),'Raw touched'!E106)</f>
        <v>99</v>
      </c>
      <c r="F106" s="4">
        <f>IF(ISBLANK('Raw touched'!F106),((F$5*SLOPE('Raw touched'!$E106:$U106,$E$5:$U$5))+INTERCEPT('Raw touched'!$E106:$U106,$E$5:$U$5)),'Raw touched'!F106)</f>
        <v>100</v>
      </c>
      <c r="G106" s="4">
        <f>IF(ISBLANK('Raw touched'!G106),((G$5*SLOPE('Raw touched'!$E106:$U106,$E$5:$U$5))+INTERCEPT('Raw touched'!$E106:$U106,$E$5:$U$5)),'Raw touched'!G106)</f>
        <v>99</v>
      </c>
      <c r="H106" s="4">
        <f>IF(ISBLANK('Raw touched'!H106),((H$5*SLOPE('Raw touched'!$E106:$U106,$E$5:$U$5))+INTERCEPT('Raw touched'!$E106:$U106,$E$5:$U$5)),'Raw touched'!H106)</f>
        <v>100</v>
      </c>
      <c r="I106" s="4">
        <f>IF(ISBLANK('Raw touched'!I106),((I$5*SLOPE('Raw touched'!$E106:$U106,$E$5:$U$5))+INTERCEPT('Raw touched'!$E106:$U106,$E$5:$U$5)),'Raw touched'!I106)</f>
        <v>100</v>
      </c>
      <c r="J106" s="4">
        <f>IF(ISBLANK('Raw touched'!J106),((J$5*SLOPE('Raw touched'!$E106:$U106,$E$5:$U$5))+INTERCEPT('Raw touched'!$E106:$U106,$E$5:$U$5)),'Raw touched'!J106)</f>
        <v>100</v>
      </c>
      <c r="K106" s="4">
        <f>IF(ISBLANK('Raw touched'!K106),((K$5*SLOPE('Raw touched'!$E106:$U106,$E$5:$U$5))+INTERCEPT('Raw touched'!$E106:$U106,$E$5:$U$5)),'Raw touched'!K106)</f>
        <v>100</v>
      </c>
      <c r="L106" s="4">
        <f>IF(ISBLANK('Raw touched'!L106),((L$5*SLOPE('Raw touched'!$E106:$U106,$E$5:$U$5))+INTERCEPT('Raw touched'!$E106:$U106,$E$5:$U$5)),'Raw touched'!L106)</f>
        <v>100</v>
      </c>
      <c r="M106" s="4">
        <f>IF(ISBLANK('Raw touched'!M106),((M$5*SLOPE('Raw touched'!$E106:$U106,$E$5:$U$5))+INTERCEPT('Raw touched'!$E106:$U106,$E$5:$U$5)),'Raw touched'!M106)</f>
        <v>100</v>
      </c>
      <c r="N106" s="4">
        <f>IF(ISBLANK('Raw touched'!N106),((N$5*SLOPE('Raw touched'!$E106:$U106,$E$5:$U$5))+INTERCEPT('Raw touched'!$E106:$U106,$E$5:$U$5)),'Raw touched'!N106)</f>
        <v>100</v>
      </c>
      <c r="O106" s="4">
        <f>IF(ISBLANK('Raw touched'!O106),((O$5*SLOPE('Raw touched'!$E106:$U106,$E$5:$U$5))+INTERCEPT('Raw touched'!$E106:$U106,$E$5:$U$5)),'Raw touched'!O106)</f>
        <v>100.26666666666667</v>
      </c>
      <c r="P106" s="4">
        <f>IF(ISBLANK('Raw touched'!P106),((P$5*SLOPE('Raw touched'!$E106:$U106,$E$5:$U$5))+INTERCEPT('Raw touched'!$E106:$U106,$E$5:$U$5)),'Raw touched'!P106)</f>
        <v>100.35151515151516</v>
      </c>
      <c r="Q106" s="4">
        <f>IF(ISBLANK('Raw touched'!Q106),((Q$5*SLOPE('Raw touched'!$E106:$U106,$E$5:$U$5))+INTERCEPT('Raw touched'!$E106:$U106,$E$5:$U$5)),'Raw touched'!Q106)</f>
        <v>100.43636363636365</v>
      </c>
      <c r="R106" s="4">
        <f>IF(ISBLANK('Raw touched'!R106),((R$5*SLOPE('Raw touched'!$E106:$U106,$E$5:$U$5))+INTERCEPT('Raw touched'!$E106:$U106,$E$5:$U$5)),'Raw touched'!R106)</f>
        <v>100.52121212121212</v>
      </c>
      <c r="S106" s="4">
        <f>IF(ISBLANK('Raw touched'!S106),((S$5*SLOPE('Raw touched'!$E106:$U106,$E$5:$U$5))+INTERCEPT('Raw touched'!$E106:$U106,$E$5:$U$5)),'Raw touched'!S106)</f>
        <v>100.60606060606061</v>
      </c>
      <c r="T106" s="4">
        <f>IF(ISBLANK('Raw touched'!T106),((T$5*SLOPE('Raw touched'!$E106:$U106,$E$5:$U$5))+INTERCEPT('Raw touched'!$E106:$U106,$E$5:$U$5)),'Raw touched'!T106)</f>
        <v>100.6909090909091</v>
      </c>
      <c r="U106" s="4">
        <f>IF(ISBLANK('Raw touched'!U106),((U$5*SLOPE('Raw touched'!$E106:$U106,$E$5:$U$5))+INTERCEPT('Raw touched'!$E106:$U106,$E$5:$U$5)),'Raw touched'!U106)</f>
        <v>100.77575757575759</v>
      </c>
    </row>
    <row r="107" spans="3:21" ht="13">
      <c r="C107" s="1" t="s">
        <v>101</v>
      </c>
      <c r="D107" s="1" t="s">
        <v>92</v>
      </c>
      <c r="E107" s="4">
        <f>IF(ISBLANK('Raw touched'!E107),((E$5*SLOPE('Raw touched'!$E107:$U107,$E$5:$U$5))+INTERCEPT('Raw touched'!$E107:$U107,$E$5:$U$5)),'Raw touched'!E107)</f>
        <v>11.5</v>
      </c>
      <c r="F107" s="4">
        <f>IF(ISBLANK('Raw touched'!F107),((F$5*SLOPE('Raw touched'!$E107:$U107,$E$5:$U$5))+INTERCEPT('Raw touched'!$E107:$U107,$E$5:$U$5)),'Raw touched'!F107)</f>
        <v>11.600000380000001</v>
      </c>
      <c r="G107" s="4">
        <f>IF(ISBLANK('Raw touched'!G107),((G$5*SLOPE('Raw touched'!$E107:$U107,$E$5:$U$5))+INTERCEPT('Raw touched'!$E107:$U107,$E$5:$U$5)),'Raw touched'!G107)</f>
        <v>11.565671891343284</v>
      </c>
      <c r="H107" s="4">
        <f>IF(ISBLANK('Raw touched'!H107),((H$5*SLOPE('Raw touched'!$E107:$U107,$E$5:$U$5))+INTERCEPT('Raw touched'!$E107:$U107,$E$5:$U$5)),'Raw touched'!H107)</f>
        <v>11.57761223522388</v>
      </c>
      <c r="I107" s="4">
        <f>IF(ISBLANK('Raw touched'!I107),((I$5*SLOPE('Raw touched'!$E107:$U107,$E$5:$U$5))+INTERCEPT('Raw touched'!$E107:$U107,$E$5:$U$5)),'Raw touched'!I107)</f>
        <v>11.600000380000001</v>
      </c>
      <c r="J107" s="4">
        <f>IF(ISBLANK('Raw touched'!J107),((J$5*SLOPE('Raw touched'!$E107:$U107,$E$5:$U$5))+INTERCEPT('Raw touched'!$E107:$U107,$E$5:$U$5)),'Raw touched'!J107)</f>
        <v>11.600000380000001</v>
      </c>
      <c r="K107" s="4">
        <f>IF(ISBLANK('Raw touched'!K107),((K$5*SLOPE('Raw touched'!$E107:$U107,$E$5:$U$5))+INTERCEPT('Raw touched'!$E107:$U107,$E$5:$U$5)),'Raw touched'!K107)</f>
        <v>11.600000380000001</v>
      </c>
      <c r="L107" s="4">
        <f>IF(ISBLANK('Raw touched'!L107),((L$5*SLOPE('Raw touched'!$E107:$U107,$E$5:$U$5))+INTERCEPT('Raw touched'!$E107:$U107,$E$5:$U$5)),'Raw touched'!L107)</f>
        <v>11.625373610746268</v>
      </c>
      <c r="M107" s="4">
        <f>IF(ISBLANK('Raw touched'!M107),((M$5*SLOPE('Raw touched'!$E107:$U107,$E$5:$U$5))+INTERCEPT('Raw touched'!$E107:$U107,$E$5:$U$5)),'Raw touched'!M107)</f>
        <v>11.637313954626867</v>
      </c>
      <c r="N107" s="4">
        <f>IF(ISBLANK('Raw touched'!N107),((N$5*SLOPE('Raw touched'!$E107:$U107,$E$5:$U$5))+INTERCEPT('Raw touched'!$E107:$U107,$E$5:$U$5)),'Raw touched'!N107)</f>
        <v>11.649254298507463</v>
      </c>
      <c r="O107" s="4">
        <f>IF(ISBLANK('Raw touched'!O107),((O$5*SLOPE('Raw touched'!$E107:$U107,$E$5:$U$5))+INTERCEPT('Raw touched'!$E107:$U107,$E$5:$U$5)),'Raw touched'!O107)</f>
        <v>11.661194642388059</v>
      </c>
      <c r="P107" s="4">
        <f>IF(ISBLANK('Raw touched'!P107),((P$5*SLOPE('Raw touched'!$E107:$U107,$E$5:$U$5))+INTERCEPT('Raw touched'!$E107:$U107,$E$5:$U$5)),'Raw touched'!P107)</f>
        <v>11.673134986268655</v>
      </c>
      <c r="Q107" s="4">
        <f>IF(ISBLANK('Raw touched'!Q107),((Q$5*SLOPE('Raw touched'!$E107:$U107,$E$5:$U$5))+INTERCEPT('Raw touched'!$E107:$U107,$E$5:$U$5)),'Raw touched'!Q107)</f>
        <v>11.685075330149255</v>
      </c>
      <c r="R107" s="4">
        <f>IF(ISBLANK('Raw touched'!R107),((R$5*SLOPE('Raw touched'!$E107:$U107,$E$5:$U$5))+INTERCEPT('Raw touched'!$E107:$U107,$E$5:$U$5)),'Raw touched'!R107)</f>
        <v>11.697015674029851</v>
      </c>
      <c r="S107" s="4">
        <f>IF(ISBLANK('Raw touched'!S107),((S$5*SLOPE('Raw touched'!$E107:$U107,$E$5:$U$5))+INTERCEPT('Raw touched'!$E107:$U107,$E$5:$U$5)),'Raw touched'!S107)</f>
        <v>11.708956017910447</v>
      </c>
      <c r="T107" s="4">
        <f>IF(ISBLANK('Raw touched'!T107),((T$5*SLOPE('Raw touched'!$E107:$U107,$E$5:$U$5))+INTERCEPT('Raw touched'!$E107:$U107,$E$5:$U$5)),'Raw touched'!T107)</f>
        <v>11.720896361791047</v>
      </c>
      <c r="U107" s="4">
        <f>IF(ISBLANK('Raw touched'!U107),((U$5*SLOPE('Raw touched'!$E107:$U107,$E$5:$U$5))+INTERCEPT('Raw touched'!$E107:$U107,$E$5:$U$5)),'Raw touched'!U107)</f>
        <v>11.732836705671643</v>
      </c>
    </row>
    <row r="108" spans="3:21" ht="13">
      <c r="C108" s="1" t="s">
        <v>292</v>
      </c>
      <c r="D108" s="1" t="s">
        <v>263</v>
      </c>
      <c r="E108" s="4">
        <f>IF(ISBLANK('Raw touched'!E108),((E$5*SLOPE('Raw touched'!$E108:$U108,$E$5:$U$5))+INTERCEPT('Raw touched'!$E108:$U108,$E$5:$U$5)),'Raw touched'!E108)</f>
        <v>77.434400791199991</v>
      </c>
      <c r="F108" s="4">
        <f>IF(ISBLANK('Raw touched'!F108),((F$5*SLOPE('Raw touched'!$E108:$U108,$E$5:$U$5))+INTERCEPT('Raw touched'!$E108:$U108,$E$5:$U$5)),'Raw touched'!F108)</f>
        <v>73.382600749800076</v>
      </c>
      <c r="G108" s="4">
        <f>IF(ISBLANK('Raw touched'!G108),((G$5*SLOPE('Raw touched'!$E108:$U108,$E$5:$U$5))+INTERCEPT('Raw touched'!$E108:$U108,$E$5:$U$5)),'Raw touched'!G108)</f>
        <v>69.330800708399693</v>
      </c>
      <c r="H108" s="4">
        <f>IF(ISBLANK('Raw touched'!H108),((H$5*SLOPE('Raw touched'!$E108:$U108,$E$5:$U$5))+INTERCEPT('Raw touched'!$E108:$U108,$E$5:$U$5)),'Raw touched'!H108)</f>
        <v>65.279000667000219</v>
      </c>
      <c r="I108" s="4">
        <f>IF(ISBLANK('Raw touched'!I108),((I$5*SLOPE('Raw touched'!$E108:$U108,$E$5:$U$5))+INTERCEPT('Raw touched'!$E108:$U108,$E$5:$U$5)),'Raw touched'!I108)</f>
        <v>61.227200625599835</v>
      </c>
      <c r="J108" s="4">
        <f>IF(ISBLANK('Raw touched'!J108),((J$5*SLOPE('Raw touched'!$E108:$U108,$E$5:$U$5))+INTERCEPT('Raw touched'!$E108:$U108,$E$5:$U$5)),'Raw touched'!J108)</f>
        <v>57.175400584200361</v>
      </c>
      <c r="K108" s="4">
        <f>IF(ISBLANK('Raw touched'!K108),((K$5*SLOPE('Raw touched'!$E108:$U108,$E$5:$U$5))+INTERCEPT('Raw touched'!$E108:$U108,$E$5:$U$5)),'Raw touched'!K108)</f>
        <v>53.123600542799977</v>
      </c>
      <c r="L108" s="4">
        <f>IF(ISBLANK('Raw touched'!L108),((L$5*SLOPE('Raw touched'!$E108:$U108,$E$5:$U$5))+INTERCEPT('Raw touched'!$E108:$U108,$E$5:$U$5)),'Raw touched'!L108)</f>
        <v>49.071800501400503</v>
      </c>
      <c r="M108" s="4">
        <f>IF(ISBLANK('Raw touched'!M108),((M$5*SLOPE('Raw touched'!$E108:$U108,$E$5:$U$5))+INTERCEPT('Raw touched'!$E108:$U108,$E$5:$U$5)),'Raw touched'!M108)</f>
        <v>45.020000459999999</v>
      </c>
      <c r="N108" s="4">
        <f>IF(ISBLANK('Raw touched'!N108),((N$5*SLOPE('Raw touched'!$E108:$U108,$E$5:$U$5))+INTERCEPT('Raw touched'!$E108:$U108,$E$5:$U$5)),'Raw touched'!N108)</f>
        <v>40.968200418599736</v>
      </c>
      <c r="O108" s="4">
        <f>IF(ISBLANK('Raw touched'!O108),((O$5*SLOPE('Raw touched'!$E108:$U108,$E$5:$U$5))+INTERCEPT('Raw touched'!$E108:$U108,$E$5:$U$5)),'Raw touched'!O108)</f>
        <v>36.916400377200262</v>
      </c>
      <c r="P108" s="4">
        <f>IF(ISBLANK('Raw touched'!P108),((P$5*SLOPE('Raw touched'!$E108:$U108,$E$5:$U$5))+INTERCEPT('Raw touched'!$E108:$U108,$E$5:$U$5)),'Raw touched'!P108)</f>
        <v>32.864600335799878</v>
      </c>
      <c r="Q108" s="4">
        <f>IF(ISBLANK('Raw touched'!Q108),((Q$5*SLOPE('Raw touched'!$E108:$U108,$E$5:$U$5))+INTERCEPT('Raw touched'!$E108:$U108,$E$5:$U$5)),'Raw touched'!Q108)</f>
        <v>28.812800294400404</v>
      </c>
      <c r="R108" s="4">
        <f>IF(ISBLANK('Raw touched'!R108),((R$5*SLOPE('Raw touched'!$E108:$U108,$E$5:$U$5))+INTERCEPT('Raw touched'!$E108:$U108,$E$5:$U$5)),'Raw touched'!R108)</f>
        <v>24.76100025300002</v>
      </c>
      <c r="S108" s="4">
        <f>IF(ISBLANK('Raw touched'!S108),((S$5*SLOPE('Raw touched'!$E108:$U108,$E$5:$U$5))+INTERCEPT('Raw touched'!$E108:$U108,$E$5:$U$5)),'Raw touched'!S108)</f>
        <v>20.709200211600546</v>
      </c>
      <c r="T108" s="4">
        <f>IF(ISBLANK('Raw touched'!T108),((T$5*SLOPE('Raw touched'!$E108:$U108,$E$5:$U$5))+INTERCEPT('Raw touched'!$E108:$U108,$E$5:$U$5)),'Raw touched'!T108)</f>
        <v>16.657400170200162</v>
      </c>
      <c r="U108" s="4">
        <f>IF(ISBLANK('Raw touched'!U108),((U$5*SLOPE('Raw touched'!$E108:$U108,$E$5:$U$5))+INTERCEPT('Raw touched'!$E108:$U108,$E$5:$U$5)),'Raw touched'!U108)</f>
        <v>12.605600128799779</v>
      </c>
    </row>
    <row r="109" spans="3:21" ht="13">
      <c r="C109" s="1" t="s">
        <v>41</v>
      </c>
      <c r="D109" s="1" t="s">
        <v>107</v>
      </c>
      <c r="E109" s="4">
        <f>IF(ISBLANK('Raw touched'!E109),((E$5*SLOPE('Raw touched'!$E109:$U109,$E$5:$U$5))+INTERCEPT('Raw touched'!$E109:$U109,$E$5:$U$5)),'Raw touched'!E109)</f>
        <v>73.919808689999996</v>
      </c>
      <c r="F109" s="4">
        <f>IF(ISBLANK('Raw touched'!F109),((F$5*SLOPE('Raw touched'!$E109:$U109,$E$5:$U$5))+INTERCEPT('Raw touched'!$E109:$U109,$E$5:$U$5)),'Raw touched'!F109)</f>
        <v>73.99108889</v>
      </c>
      <c r="G109" s="4">
        <f>IF(ISBLANK('Raw touched'!G109),((G$5*SLOPE('Raw touched'!$E109:$U109,$E$5:$U$5))+INTERCEPT('Raw touched'!$E109:$U109,$E$5:$U$5)),'Raw touched'!G109)</f>
        <v>74.455389719999999</v>
      </c>
      <c r="H109" s="4">
        <f>IF(ISBLANK('Raw touched'!H109),((H$5*SLOPE('Raw touched'!$E109:$U109,$E$5:$U$5))+INTERCEPT('Raw touched'!$E109:$U109,$E$5:$U$5)),'Raw touched'!H109)</f>
        <v>75.582883030000005</v>
      </c>
      <c r="I109" s="4">
        <f>IF(ISBLANK('Raw touched'!I109),((I$5*SLOPE('Raw touched'!$E109:$U109,$E$5:$U$5))+INTERCEPT('Raw touched'!$E109:$U109,$E$5:$U$5)),'Raw touched'!I109)</f>
        <v>75.317688529999998</v>
      </c>
      <c r="J109" s="4">
        <f>IF(ISBLANK('Raw touched'!J109),((J$5*SLOPE('Raw touched'!$E109:$U109,$E$5:$U$5))+INTERCEPT('Raw touched'!$E109:$U109,$E$5:$U$5)),'Raw touched'!J109)</f>
        <v>76.184814509999995</v>
      </c>
      <c r="K109" s="4">
        <f>IF(ISBLANK('Raw touched'!K109),((K$5*SLOPE('Raw touched'!$E109:$U109,$E$5:$U$5))+INTERCEPT('Raw touched'!$E109:$U109,$E$5:$U$5)),'Raw touched'!K109)</f>
        <v>77.885927539999997</v>
      </c>
      <c r="L109" s="4">
        <f>IF(ISBLANK('Raw touched'!L109),((L$5*SLOPE('Raw touched'!$E109:$U109,$E$5:$U$5))+INTERCEPT('Raw touched'!$E109:$U109,$E$5:$U$5)),'Raw touched'!L109)</f>
        <v>79.099319446646632</v>
      </c>
      <c r="M109" s="4">
        <f>IF(ISBLANK('Raw touched'!M109),((M$5*SLOPE('Raw touched'!$E109:$U109,$E$5:$U$5))+INTERCEPT('Raw touched'!$E109:$U109,$E$5:$U$5)),'Raw touched'!M109)</f>
        <v>80.849998470000003</v>
      </c>
      <c r="N109" s="4">
        <f>IF(ISBLANK('Raw touched'!N109),((N$5*SLOPE('Raw touched'!$E109:$U109,$E$5:$U$5))+INTERCEPT('Raw touched'!$E109:$U109,$E$5:$U$5)),'Raw touched'!N109)</f>
        <v>81.319999690000003</v>
      </c>
      <c r="O109" s="4">
        <f>IF(ISBLANK('Raw touched'!O109),((O$5*SLOPE('Raw touched'!$E109:$U109,$E$5:$U$5))+INTERCEPT('Raw touched'!$E109:$U109,$E$5:$U$5)),'Raw touched'!O109)</f>
        <v>81.772574027570499</v>
      </c>
      <c r="P109" s="4">
        <f>IF(ISBLANK('Raw touched'!P109),((P$5*SLOPE('Raw touched'!$E109:$U109,$E$5:$U$5))+INTERCEPT('Raw touched'!$E109:$U109,$E$5:$U$5)),'Raw touched'!P109)</f>
        <v>82.772813330000005</v>
      </c>
      <c r="Q109" s="4">
        <f>IF(ISBLANK('Raw touched'!Q109),((Q$5*SLOPE('Raw touched'!$E109:$U109,$E$5:$U$5))+INTERCEPT('Raw touched'!$E109:$U109,$E$5:$U$5)),'Raw touched'!Q109)</f>
        <v>83.554743748186411</v>
      </c>
      <c r="R109" s="4">
        <f>IF(ISBLANK('Raw touched'!R109),((R$5*SLOPE('Raw touched'!$E109:$U109,$E$5:$U$5))+INTERCEPT('Raw touched'!$E109:$U109,$E$5:$U$5)),'Raw touched'!R109)</f>
        <v>84.445828608494367</v>
      </c>
      <c r="S109" s="4">
        <f>IF(ISBLANK('Raw touched'!S109),((S$5*SLOPE('Raw touched'!$E109:$U109,$E$5:$U$5))+INTERCEPT('Raw touched'!$E109:$U109,$E$5:$U$5)),'Raw touched'!S109)</f>
        <v>85.336913468802322</v>
      </c>
      <c r="T109" s="4">
        <f>IF(ISBLANK('Raw touched'!T109),((T$5*SLOPE('Raw touched'!$E109:$U109,$E$5:$U$5))+INTERCEPT('Raw touched'!$E109:$U109,$E$5:$U$5)),'Raw touched'!T109)</f>
        <v>86.227998329110278</v>
      </c>
      <c r="U109" s="4">
        <f>IF(ISBLANK('Raw touched'!U109),((U$5*SLOPE('Raw touched'!$E109:$U109,$E$5:$U$5))+INTERCEPT('Raw touched'!$E109:$U109,$E$5:$U$5)),'Raw touched'!U109)</f>
        <v>87.119083189418234</v>
      </c>
    </row>
    <row r="110" spans="3:21" ht="13">
      <c r="C110" s="1" t="s">
        <v>98</v>
      </c>
      <c r="D110" s="1" t="s">
        <v>33</v>
      </c>
      <c r="E110" s="4">
        <f>IF(ISBLANK('Raw touched'!E110),((E$5*SLOPE('Raw touched'!$E110:$U110,$E$5:$U$5))+INTERCEPT('Raw touched'!$E110:$U110,$E$5:$U$5)),'Raw touched'!E110)</f>
        <v>130</v>
      </c>
      <c r="F110" s="4">
        <f>IF(ISBLANK('Raw touched'!F110),((F$5*SLOPE('Raw touched'!$E110:$U110,$E$5:$U$5))+INTERCEPT('Raw touched'!$E110:$U110,$E$5:$U$5)),'Raw touched'!F110)</f>
        <v>127</v>
      </c>
      <c r="G110" s="4">
        <f>IF(ISBLANK('Raw touched'!G110),((G$5*SLOPE('Raw touched'!$E110:$U110,$E$5:$U$5))+INTERCEPT('Raw touched'!$E110:$U110,$E$5:$U$5)),'Raw touched'!G110)</f>
        <v>124</v>
      </c>
      <c r="H110" s="4">
        <f>IF(ISBLANK('Raw touched'!H110),((H$5*SLOPE('Raw touched'!$E110:$U110,$E$5:$U$5))+INTERCEPT('Raw touched'!$E110:$U110,$E$5:$U$5)),'Raw touched'!H110)</f>
        <v>121</v>
      </c>
      <c r="I110" s="4">
        <f>IF(ISBLANK('Raw touched'!I110),((I$5*SLOPE('Raw touched'!$E110:$U110,$E$5:$U$5))+INTERCEPT('Raw touched'!$E110:$U110,$E$5:$U$5)),'Raw touched'!I110)</f>
        <v>118</v>
      </c>
      <c r="J110" s="4">
        <f>IF(ISBLANK('Raw touched'!J110),((J$5*SLOPE('Raw touched'!$E110:$U110,$E$5:$U$5))+INTERCEPT('Raw touched'!$E110:$U110,$E$5:$U$5)),'Raw touched'!J110)</f>
        <v>115</v>
      </c>
      <c r="K110" s="4">
        <f>IF(ISBLANK('Raw touched'!K110),((K$5*SLOPE('Raw touched'!$E110:$U110,$E$5:$U$5))+INTERCEPT('Raw touched'!$E110:$U110,$E$5:$U$5)),'Raw touched'!K110)</f>
        <v>112</v>
      </c>
      <c r="L110" s="4">
        <f>IF(ISBLANK('Raw touched'!L110),((L$5*SLOPE('Raw touched'!$E110:$U110,$E$5:$U$5))+INTERCEPT('Raw touched'!$E110:$U110,$E$5:$U$5)),'Raw touched'!L110)</f>
        <v>109</v>
      </c>
      <c r="M110" s="4">
        <f>IF(ISBLANK('Raw touched'!M110),((M$5*SLOPE('Raw touched'!$E110:$U110,$E$5:$U$5))+INTERCEPT('Raw touched'!$E110:$U110,$E$5:$U$5)),'Raw touched'!M110)</f>
        <v>106</v>
      </c>
      <c r="N110" s="4">
        <f>IF(ISBLANK('Raw touched'!N110),((N$5*SLOPE('Raw touched'!$E110:$U110,$E$5:$U$5))+INTERCEPT('Raw touched'!$E110:$U110,$E$5:$U$5)),'Raw touched'!N110)</f>
        <v>103</v>
      </c>
      <c r="O110" s="4">
        <f>IF(ISBLANK('Raw touched'!O110),((O$5*SLOPE('Raw touched'!$E110:$U110,$E$5:$U$5))+INTERCEPT('Raw touched'!$E110:$U110,$E$5:$U$5)),'Raw touched'!O110)</f>
        <v>100</v>
      </c>
      <c r="P110" s="4">
        <f>IF(ISBLANK('Raw touched'!P110),((P$5*SLOPE('Raw touched'!$E110:$U110,$E$5:$U$5))+INTERCEPT('Raw touched'!$E110:$U110,$E$5:$U$5)),'Raw touched'!P110)</f>
        <v>97</v>
      </c>
      <c r="Q110" s="4">
        <f>IF(ISBLANK('Raw touched'!Q110),((Q$5*SLOPE('Raw touched'!$E110:$U110,$E$5:$U$5))+INTERCEPT('Raw touched'!$E110:$U110,$E$5:$U$5)),'Raw touched'!Q110)</f>
        <v>94</v>
      </c>
      <c r="R110" s="4">
        <f>IF(ISBLANK('Raw touched'!R110),((R$5*SLOPE('Raw touched'!$E110:$U110,$E$5:$U$5))+INTERCEPT('Raw touched'!$E110:$U110,$E$5:$U$5)),'Raw touched'!R110)</f>
        <v>91</v>
      </c>
      <c r="S110" s="4">
        <f>IF(ISBLANK('Raw touched'!S110),((S$5*SLOPE('Raw touched'!$E110:$U110,$E$5:$U$5))+INTERCEPT('Raw touched'!$E110:$U110,$E$5:$U$5)),'Raw touched'!S110)</f>
        <v>88</v>
      </c>
      <c r="T110" s="4">
        <f>IF(ISBLANK('Raw touched'!T110),((T$5*SLOPE('Raw touched'!$E110:$U110,$E$5:$U$5))+INTERCEPT('Raw touched'!$E110:$U110,$E$5:$U$5)),'Raw touched'!T110)</f>
        <v>85</v>
      </c>
      <c r="U110" s="4">
        <f>IF(ISBLANK('Raw touched'!U110),((U$5*SLOPE('Raw touched'!$E110:$U110,$E$5:$U$5))+INTERCEPT('Raw touched'!$E110:$U110,$E$5:$U$5)),'Raw touched'!U110)</f>
        <v>82</v>
      </c>
    </row>
    <row r="111" spans="3:21" ht="13">
      <c r="C111" s="1" t="s">
        <v>208</v>
      </c>
      <c r="D111" s="1" t="s">
        <v>278</v>
      </c>
      <c r="E111" s="4">
        <f>IF(ISBLANK('Raw touched'!E111),((E$5*SLOPE('Raw touched'!$E111:$U111,$E$5:$U$5))+INTERCEPT('Raw touched'!$E111:$U111,$E$5:$U$5)),'Raw touched'!E111)</f>
        <v>12</v>
      </c>
      <c r="F111" s="4">
        <f>IF(ISBLANK('Raw touched'!F111),((F$5*SLOPE('Raw touched'!$E111:$U111,$E$5:$U$5))+INTERCEPT('Raw touched'!$E111:$U111,$E$5:$U$5)),'Raw touched'!F111)</f>
        <v>12.100000380000001</v>
      </c>
      <c r="G111" s="4">
        <f>IF(ISBLANK('Raw touched'!G111),((G$5*SLOPE('Raw touched'!$E111:$U111,$E$5:$U$5))+INTERCEPT('Raw touched'!$E111:$U111,$E$5:$U$5)),'Raw touched'!G111)</f>
        <v>12.100000380000001</v>
      </c>
      <c r="H111" s="4">
        <f>IF(ISBLANK('Raw touched'!H111),((H$5*SLOPE('Raw touched'!$E111:$U111,$E$5:$U$5))+INTERCEPT('Raw touched'!$E111:$U111,$E$5:$U$5)),'Raw touched'!H111)</f>
        <v>12.100000380000001</v>
      </c>
      <c r="I111" s="4">
        <f>IF(ISBLANK('Raw touched'!I111),((I$5*SLOPE('Raw touched'!$E111:$U111,$E$5:$U$5))+INTERCEPT('Raw touched'!$E111:$U111,$E$5:$U$5)),'Raw touched'!I111)</f>
        <v>12.100000380000001</v>
      </c>
      <c r="J111" s="4">
        <f>IF(ISBLANK('Raw touched'!J111),((J$5*SLOPE('Raw touched'!$E111:$U111,$E$5:$U$5))+INTERCEPT('Raw touched'!$E111:$U111,$E$5:$U$5)),'Raw touched'!J111)</f>
        <v>12.100000380000001</v>
      </c>
      <c r="K111" s="4">
        <f>IF(ISBLANK('Raw touched'!K111),((K$5*SLOPE('Raw touched'!$E111:$U111,$E$5:$U$5))+INTERCEPT('Raw touched'!$E111:$U111,$E$5:$U$5)),'Raw touched'!K111)</f>
        <v>14.998786632349493</v>
      </c>
      <c r="L111" s="4">
        <f>IF(ISBLANK('Raw touched'!L111),((L$5*SLOPE('Raw touched'!$E111:$U111,$E$5:$U$5))+INTERCEPT('Raw touched'!$E111:$U111,$E$5:$U$5)),'Raw touched'!L111)</f>
        <v>15.74555507297805</v>
      </c>
      <c r="M111" s="4">
        <f>IF(ISBLANK('Raw touched'!M111),((M$5*SLOPE('Raw touched'!$E111:$U111,$E$5:$U$5))+INTERCEPT('Raw touched'!$E111:$U111,$E$5:$U$5)),'Raw touched'!M111)</f>
        <v>16.492323513606379</v>
      </c>
      <c r="N111" s="4">
        <f>IF(ISBLANK('Raw touched'!N111),((N$5*SLOPE('Raw touched'!$E111:$U111,$E$5:$U$5))+INTERCEPT('Raw touched'!$E111:$U111,$E$5:$U$5)),'Raw touched'!N111)</f>
        <v>18</v>
      </c>
      <c r="O111" s="4">
        <f>IF(ISBLANK('Raw touched'!O111),((O$5*SLOPE('Raw touched'!$E111:$U111,$E$5:$U$5))+INTERCEPT('Raw touched'!$E111:$U111,$E$5:$U$5)),'Raw touched'!O111)</f>
        <v>19.03553299</v>
      </c>
      <c r="P111" s="4">
        <f>IF(ISBLANK('Raw touched'!P111),((P$5*SLOPE('Raw touched'!$E111:$U111,$E$5:$U$5))+INTERCEPT('Raw touched'!$E111:$U111,$E$5:$U$5)),'Raw touched'!P111)</f>
        <v>18.732628835491596</v>
      </c>
      <c r="Q111" s="4">
        <f>IF(ISBLANK('Raw touched'!Q111),((Q$5*SLOPE('Raw touched'!$E111:$U111,$E$5:$U$5))+INTERCEPT('Raw touched'!$E111:$U111,$E$5:$U$5)),'Raw touched'!Q111)</f>
        <v>19.479397276120153</v>
      </c>
      <c r="R111" s="4">
        <f>IF(ISBLANK('Raw touched'!R111),((R$5*SLOPE('Raw touched'!$E111:$U111,$E$5:$U$5))+INTERCEPT('Raw touched'!$E111:$U111,$E$5:$U$5)),'Raw touched'!R111)</f>
        <v>20.226165716748483</v>
      </c>
      <c r="S111" s="4">
        <f>IF(ISBLANK('Raw touched'!S111),((S$5*SLOPE('Raw touched'!$E111:$U111,$E$5:$U$5))+INTERCEPT('Raw touched'!$E111:$U111,$E$5:$U$5)),'Raw touched'!S111)</f>
        <v>20.972934157376812</v>
      </c>
      <c r="T111" s="4">
        <f>IF(ISBLANK('Raw touched'!T111),((T$5*SLOPE('Raw touched'!$E111:$U111,$E$5:$U$5))+INTERCEPT('Raw touched'!$E111:$U111,$E$5:$U$5)),'Raw touched'!T111)</f>
        <v>21.71970259800537</v>
      </c>
      <c r="U111" s="4">
        <f>IF(ISBLANK('Raw touched'!U111),((U$5*SLOPE('Raw touched'!$E111:$U111,$E$5:$U$5))+INTERCEPT('Raw touched'!$E111:$U111,$E$5:$U$5)),'Raw touched'!U111)</f>
        <v>22.466471038633699</v>
      </c>
    </row>
    <row r="112" spans="3:21" ht="13">
      <c r="C112" s="1" t="s">
        <v>217</v>
      </c>
      <c r="D112" s="1" t="s">
        <v>269</v>
      </c>
      <c r="E112" s="4">
        <f>IF(ISBLANK('Raw touched'!E112),((E$5*SLOPE('Raw touched'!$E112:$U112,$E$5:$U$5))+INTERCEPT('Raw touched'!$E112:$U112,$E$5:$U$5)),'Raw touched'!E112)</f>
        <v>95</v>
      </c>
      <c r="F112" s="4">
        <f>IF(ISBLANK('Raw touched'!F112),((F$5*SLOPE('Raw touched'!$E112:$U112,$E$5:$U$5))+INTERCEPT('Raw touched'!$E112:$U112,$E$5:$U$5)),'Raw touched'!F112)</f>
        <v>95</v>
      </c>
      <c r="G112" s="4">
        <f>IF(ISBLANK('Raw touched'!G112),((G$5*SLOPE('Raw touched'!$E112:$U112,$E$5:$U$5))+INTERCEPT('Raw touched'!$E112:$U112,$E$5:$U$5)),'Raw touched'!G112)</f>
        <v>95</v>
      </c>
      <c r="H112" s="4">
        <f>IF(ISBLANK('Raw touched'!H112),((H$5*SLOPE('Raw touched'!$E112:$U112,$E$5:$U$5))+INTERCEPT('Raw touched'!$E112:$U112,$E$5:$U$5)),'Raw touched'!H112)</f>
        <v>95</v>
      </c>
      <c r="I112" s="4">
        <f>IF(ISBLANK('Raw touched'!I112),((I$5*SLOPE('Raw touched'!$E112:$U112,$E$5:$U$5))+INTERCEPT('Raw touched'!$E112:$U112,$E$5:$U$5)),'Raw touched'!I112)</f>
        <v>91.93468562068324</v>
      </c>
      <c r="J112" s="4">
        <f>IF(ISBLANK('Raw touched'!J112),((J$5*SLOPE('Raw touched'!$E112:$U112,$E$5:$U$5))+INTERCEPT('Raw touched'!$E112:$U112,$E$5:$U$5)),'Raw touched'!J112)</f>
        <v>88</v>
      </c>
      <c r="K112" s="4">
        <f>IF(ISBLANK('Raw touched'!K112),((K$5*SLOPE('Raw touched'!$E112:$U112,$E$5:$U$5))+INTERCEPT('Raw touched'!$E112:$U112,$E$5:$U$5)),'Raw touched'!K112)</f>
        <v>88</v>
      </c>
      <c r="L112" s="4">
        <f>IF(ISBLANK('Raw touched'!L112),((L$5*SLOPE('Raw touched'!$E112:$U112,$E$5:$U$5))+INTERCEPT('Raw touched'!$E112:$U112,$E$5:$U$5)),'Raw touched'!L112)</f>
        <v>90</v>
      </c>
      <c r="M112" s="4">
        <f>IF(ISBLANK('Raw touched'!M112),((M$5*SLOPE('Raw touched'!$E112:$U112,$E$5:$U$5))+INTERCEPT('Raw touched'!$E112:$U112,$E$5:$U$5)),'Raw touched'!M112)</f>
        <v>87.52999878</v>
      </c>
      <c r="N112" s="4">
        <f>IF(ISBLANK('Raw touched'!N112),((N$5*SLOPE('Raw touched'!$E112:$U112,$E$5:$U$5))+INTERCEPT('Raw touched'!$E112:$U112,$E$5:$U$5)),'Raw touched'!N112)</f>
        <v>87.52999878</v>
      </c>
      <c r="O112" s="4">
        <f>IF(ISBLANK('Raw touched'!O112),((O$5*SLOPE('Raw touched'!$E112:$U112,$E$5:$U$5))+INTERCEPT('Raw touched'!$E112:$U112,$E$5:$U$5)),'Raw touched'!O112)</f>
        <v>87.324603343470017</v>
      </c>
      <c r="P112" s="4">
        <f>IF(ISBLANK('Raw touched'!P112),((P$5*SLOPE('Raw touched'!$E112:$U112,$E$5:$U$5))+INTERCEPT('Raw touched'!$E112:$U112,$E$5:$U$5)),'Raw touched'!P112)</f>
        <v>86.556256297267964</v>
      </c>
      <c r="Q112" s="4">
        <f>IF(ISBLANK('Raw touched'!Q112),((Q$5*SLOPE('Raw touched'!$E112:$U112,$E$5:$U$5))+INTERCEPT('Raw touched'!$E112:$U112,$E$5:$U$5)),'Raw touched'!Q112)</f>
        <v>85.787909251065685</v>
      </c>
      <c r="R112" s="4">
        <f>IF(ISBLANK('Raw touched'!R112),((R$5*SLOPE('Raw touched'!$E112:$U112,$E$5:$U$5))+INTERCEPT('Raw touched'!$E112:$U112,$E$5:$U$5)),'Raw touched'!R112)</f>
        <v>87.53</v>
      </c>
      <c r="S112" s="4">
        <f>IF(ISBLANK('Raw touched'!S112),((S$5*SLOPE('Raw touched'!$E112:$U112,$E$5:$U$5))+INTERCEPT('Raw touched'!$E112:$U112,$E$5:$U$5)),'Raw touched'!S112)</f>
        <v>84.251215158661353</v>
      </c>
      <c r="T112" s="4">
        <f>IF(ISBLANK('Raw touched'!T112),((T$5*SLOPE('Raw touched'!$E112:$U112,$E$5:$U$5))+INTERCEPT('Raw touched'!$E112:$U112,$E$5:$U$5)),'Raw touched'!T112)</f>
        <v>83.482868112459073</v>
      </c>
      <c r="U112" s="4">
        <f>IF(ISBLANK('Raw touched'!U112),((U$5*SLOPE('Raw touched'!$E112:$U112,$E$5:$U$5))+INTERCEPT('Raw touched'!$E112:$U112,$E$5:$U$5)),'Raw touched'!U112)</f>
        <v>82.714521066257021</v>
      </c>
    </row>
    <row r="113" spans="3:21" ht="13">
      <c r="C113" s="1" t="s">
        <v>275</v>
      </c>
      <c r="D113" s="1" t="s">
        <v>194</v>
      </c>
      <c r="E113" s="4" t="e">
        <f>IF(ISBLANK('Raw touched'!E113),((E$5*SLOPE('Raw touched'!$E113:$U113,$E$5:$U$5))+INTERCEPT('Raw touched'!$E113:$U113,$E$5:$U$5)),'Raw touched'!E113)</f>
        <v>#DIV/0!</v>
      </c>
      <c r="F113" s="4" t="e">
        <f>IF(ISBLANK('Raw touched'!F113),((F$5*SLOPE('Raw touched'!$E113:$U113,$E$5:$U$5))+INTERCEPT('Raw touched'!$E113:$U113,$E$5:$U$5)),'Raw touched'!F113)</f>
        <v>#DIV/0!</v>
      </c>
      <c r="G113" s="4" t="e">
        <f>IF(ISBLANK('Raw touched'!G113),((G$5*SLOPE('Raw touched'!$E113:$U113,$E$5:$U$5))+INTERCEPT('Raw touched'!$E113:$U113,$E$5:$U$5)),'Raw touched'!G113)</f>
        <v>#DIV/0!</v>
      </c>
      <c r="H113" s="4" t="e">
        <f>IF(ISBLANK('Raw touched'!H113),((H$5*SLOPE('Raw touched'!$E113:$U113,$E$5:$U$5))+INTERCEPT('Raw touched'!$E113:$U113,$E$5:$U$5)),'Raw touched'!H113)</f>
        <v>#DIV/0!</v>
      </c>
      <c r="I113" s="4" t="e">
        <f>IF(ISBLANK('Raw touched'!I113),((I$5*SLOPE('Raw touched'!$E113:$U113,$E$5:$U$5))+INTERCEPT('Raw touched'!$E113:$U113,$E$5:$U$5)),'Raw touched'!I113)</f>
        <v>#DIV/0!</v>
      </c>
      <c r="J113" s="4" t="e">
        <f>IF(ISBLANK('Raw touched'!J113),((J$5*SLOPE('Raw touched'!$E113:$U113,$E$5:$U$5))+INTERCEPT('Raw touched'!$E113:$U113,$E$5:$U$5)),'Raw touched'!J113)</f>
        <v>#DIV/0!</v>
      </c>
      <c r="K113" s="4" t="e">
        <f>IF(ISBLANK('Raw touched'!K113),((K$5*SLOPE('Raw touched'!$E113:$U113,$E$5:$U$5))+INTERCEPT('Raw touched'!$E113:$U113,$E$5:$U$5)),'Raw touched'!K113)</f>
        <v>#DIV/0!</v>
      </c>
      <c r="L113" s="4" t="e">
        <f>IF(ISBLANK('Raw touched'!L113),((L$5*SLOPE('Raw touched'!$E113:$U113,$E$5:$U$5))+INTERCEPT('Raw touched'!$E113:$U113,$E$5:$U$5)),'Raw touched'!L113)</f>
        <v>#DIV/0!</v>
      </c>
      <c r="M113" s="4" t="e">
        <f>IF(ISBLANK('Raw touched'!M113),((M$5*SLOPE('Raw touched'!$E113:$U113,$E$5:$U$5))+INTERCEPT('Raw touched'!$E113:$U113,$E$5:$U$5)),'Raw touched'!M113)</f>
        <v>#DIV/0!</v>
      </c>
      <c r="N113" s="4" t="e">
        <f>IF(ISBLANK('Raw touched'!N113),((N$5*SLOPE('Raw touched'!$E113:$U113,$E$5:$U$5))+INTERCEPT('Raw touched'!$E113:$U113,$E$5:$U$5)),'Raw touched'!N113)</f>
        <v>#DIV/0!</v>
      </c>
      <c r="O113" s="4" t="e">
        <f>IF(ISBLANK('Raw touched'!O113),((O$5*SLOPE('Raw touched'!$E113:$U113,$E$5:$U$5))+INTERCEPT('Raw touched'!$E113:$U113,$E$5:$U$5)),'Raw touched'!O113)</f>
        <v>#DIV/0!</v>
      </c>
      <c r="P113" s="4" t="e">
        <f>IF(ISBLANK('Raw touched'!P113),((P$5*SLOPE('Raw touched'!$E113:$U113,$E$5:$U$5))+INTERCEPT('Raw touched'!$E113:$U113,$E$5:$U$5)),'Raw touched'!P113)</f>
        <v>#DIV/0!</v>
      </c>
      <c r="Q113" s="4" t="e">
        <f>IF(ISBLANK('Raw touched'!Q113),((Q$5*SLOPE('Raw touched'!$E113:$U113,$E$5:$U$5))+INTERCEPT('Raw touched'!$E113:$U113,$E$5:$U$5)),'Raw touched'!Q113)</f>
        <v>#DIV/0!</v>
      </c>
      <c r="R113" s="4" t="e">
        <f>IF(ISBLANK('Raw touched'!R113),((R$5*SLOPE('Raw touched'!$E113:$U113,$E$5:$U$5))+INTERCEPT('Raw touched'!$E113:$U113,$E$5:$U$5)),'Raw touched'!R113)</f>
        <v>#DIV/0!</v>
      </c>
      <c r="S113" s="4" t="e">
        <f>IF(ISBLANK('Raw touched'!S113),((S$5*SLOPE('Raw touched'!$E113:$U113,$E$5:$U$5))+INTERCEPT('Raw touched'!$E113:$U113,$E$5:$U$5)),'Raw touched'!S113)</f>
        <v>#DIV/0!</v>
      </c>
      <c r="T113" s="4" t="e">
        <f>IF(ISBLANK('Raw touched'!T113),((T$5*SLOPE('Raw touched'!$E113:$U113,$E$5:$U$5))+INTERCEPT('Raw touched'!$E113:$U113,$E$5:$U$5)),'Raw touched'!T113)</f>
        <v>#DIV/0!</v>
      </c>
      <c r="U113" s="4" t="e">
        <f>IF(ISBLANK('Raw touched'!U113),((U$5*SLOPE('Raw touched'!$E113:$U113,$E$5:$U$5))+INTERCEPT('Raw touched'!$E113:$U113,$E$5:$U$5)),'Raw touched'!U113)</f>
        <v>#DIV/0!</v>
      </c>
    </row>
    <row r="114" spans="3:21" ht="13">
      <c r="C114" s="1" t="s">
        <v>370</v>
      </c>
      <c r="D114" s="1" t="s">
        <v>114</v>
      </c>
      <c r="E114" s="4">
        <f>IF(ISBLANK('Raw touched'!E114),((E$5*SLOPE('Raw touched'!$E114:$U114,$E$5:$U$5))+INTERCEPT('Raw touched'!$E114:$U114,$E$5:$U$5)),'Raw touched'!E114)</f>
        <v>50.953686562001167</v>
      </c>
      <c r="F114" s="4">
        <f>IF(ISBLANK('Raw touched'!F114),((F$5*SLOPE('Raw touched'!$E114:$U114,$E$5:$U$5))+INTERCEPT('Raw touched'!$E114:$U114,$E$5:$U$5)),'Raw touched'!F114)</f>
        <v>48.877478913001141</v>
      </c>
      <c r="G114" s="4">
        <f>IF(ISBLANK('Raw touched'!G114),((G$5*SLOPE('Raw touched'!$E114:$U114,$E$5:$U$5))+INTERCEPT('Raw touched'!$E114:$U114,$E$5:$U$5)),'Raw touched'!G114)</f>
        <v>46.801271264001116</v>
      </c>
      <c r="H114" s="4">
        <f>IF(ISBLANK('Raw touched'!H114),((H$5*SLOPE('Raw touched'!$E114:$U114,$E$5:$U$5))+INTERCEPT('Raw touched'!$E114:$U114,$E$5:$U$5)),'Raw touched'!H114)</f>
        <v>44.725063615001091</v>
      </c>
      <c r="I114" s="4">
        <f>IF(ISBLANK('Raw touched'!I114),((I$5*SLOPE('Raw touched'!$E114:$U114,$E$5:$U$5))+INTERCEPT('Raw touched'!$E114:$U114,$E$5:$U$5)),'Raw touched'!I114)</f>
        <v>42.648855966001065</v>
      </c>
      <c r="J114" s="4">
        <f>IF(ISBLANK('Raw touched'!J114),((J$5*SLOPE('Raw touched'!$E114:$U114,$E$5:$U$5))+INTERCEPT('Raw touched'!$E114:$U114,$E$5:$U$5)),'Raw touched'!J114)</f>
        <v>40.57264831700104</v>
      </c>
      <c r="K114" s="4">
        <f>IF(ISBLANK('Raw touched'!K114),((K$5*SLOPE('Raw touched'!$E114:$U114,$E$5:$U$5))+INTERCEPT('Raw touched'!$E114:$U114,$E$5:$U$5)),'Raw touched'!K114)</f>
        <v>38.496440668001014</v>
      </c>
      <c r="L114" s="4">
        <f>IF(ISBLANK('Raw touched'!L114),((L$5*SLOPE('Raw touched'!$E114:$U114,$E$5:$U$5))+INTERCEPT('Raw touched'!$E114:$U114,$E$5:$U$5)),'Raw touched'!L114)</f>
        <v>36.420233019000989</v>
      </c>
      <c r="M114" s="4">
        <f>IF(ISBLANK('Raw touched'!M114),((M$5*SLOPE('Raw touched'!$E114:$U114,$E$5:$U$5))+INTERCEPT('Raw touched'!$E114:$U114,$E$5:$U$5)),'Raw touched'!M114)</f>
        <v>34.344025370000963</v>
      </c>
      <c r="N114" s="4">
        <f>IF(ISBLANK('Raw touched'!N114),((N$5*SLOPE('Raw touched'!$E114:$U114,$E$5:$U$5))+INTERCEPT('Raw touched'!$E114:$U114,$E$5:$U$5)),'Raw touched'!N114)</f>
        <v>32.618025750000001</v>
      </c>
      <c r="O114" s="4">
        <f>IF(ISBLANK('Raw touched'!O114),((O$5*SLOPE('Raw touched'!$E114:$U114,$E$5:$U$5))+INTERCEPT('Raw touched'!$E114:$U114,$E$5:$U$5)),'Raw touched'!O114)</f>
        <v>30.299999239999998</v>
      </c>
      <c r="P114" s="4">
        <f>IF(ISBLANK('Raw touched'!P114),((P$5*SLOPE('Raw touched'!$E114:$U114,$E$5:$U$5))+INTERCEPT('Raw touched'!$E114:$U114,$E$5:$U$5)),'Raw touched'!P114)</f>
        <v>26.847999999999999</v>
      </c>
      <c r="Q114" s="4">
        <f>IF(ISBLANK('Raw touched'!Q114),((Q$5*SLOPE('Raw touched'!$E114:$U114,$E$5:$U$5))+INTERCEPT('Raw touched'!$E114:$U114,$E$5:$U$5)),'Raw touched'!Q114)</f>
        <v>26.847999999999999</v>
      </c>
      <c r="R114" s="4">
        <f>IF(ISBLANK('Raw touched'!R114),((R$5*SLOPE('Raw touched'!$E114:$U114,$E$5:$U$5))+INTERCEPT('Raw touched'!$E114:$U114,$E$5:$U$5)),'Raw touched'!R114)</f>
        <v>23.962987125000836</v>
      </c>
      <c r="S114" s="4">
        <f>IF(ISBLANK('Raw touched'!S114),((S$5*SLOPE('Raw touched'!$E114:$U114,$E$5:$U$5))+INTERCEPT('Raw touched'!$E114:$U114,$E$5:$U$5)),'Raw touched'!S114)</f>
        <v>21.886779476000811</v>
      </c>
      <c r="T114" s="4">
        <f>IF(ISBLANK('Raw touched'!T114),((T$5*SLOPE('Raw touched'!$E114:$U114,$E$5:$U$5))+INTERCEPT('Raw touched'!$E114:$U114,$E$5:$U$5)),'Raw touched'!T114)</f>
        <v>19.810571827000786</v>
      </c>
      <c r="U114" s="4">
        <f>IF(ISBLANK('Raw touched'!U114),((U$5*SLOPE('Raw touched'!$E114:$U114,$E$5:$U$5))+INTERCEPT('Raw touched'!$E114:$U114,$E$5:$U$5)),'Raw touched'!U114)</f>
        <v>17.73436417800076</v>
      </c>
    </row>
    <row r="115" spans="3:21" ht="13">
      <c r="C115" s="1" t="s">
        <v>321</v>
      </c>
      <c r="D115" s="1" t="s">
        <v>333</v>
      </c>
      <c r="E115" s="4">
        <f>IF(ISBLANK('Raw touched'!E115),((E$5*SLOPE('Raw touched'!$E115:$U115,$E$5:$U$5))+INTERCEPT('Raw touched'!$E115:$U115,$E$5:$U$5)),'Raw touched'!E115)</f>
        <v>93</v>
      </c>
      <c r="F115" s="4">
        <f>IF(ISBLANK('Raw touched'!F115),((F$5*SLOPE('Raw touched'!$E115:$U115,$E$5:$U$5))+INTERCEPT('Raw touched'!$E115:$U115,$E$5:$U$5)),'Raw touched'!F115)</f>
        <v>95</v>
      </c>
      <c r="G115" s="4">
        <f>IF(ISBLANK('Raw touched'!G115),((G$5*SLOPE('Raw touched'!$E115:$U115,$E$5:$U$5))+INTERCEPT('Raw touched'!$E115:$U115,$E$5:$U$5)),'Raw touched'!G115)</f>
        <v>95</v>
      </c>
      <c r="H115" s="4">
        <f>IF(ISBLANK('Raw touched'!H115),((H$5*SLOPE('Raw touched'!$E115:$U115,$E$5:$U$5))+INTERCEPT('Raw touched'!$E115:$U115,$E$5:$U$5)),'Raw touched'!H115)</f>
        <v>96</v>
      </c>
      <c r="I115" s="4">
        <f>IF(ISBLANK('Raw touched'!I115),((I$5*SLOPE('Raw touched'!$E115:$U115,$E$5:$U$5))+INTERCEPT('Raw touched'!$E115:$U115,$E$5:$U$5)),'Raw touched'!I115)</f>
        <v>96</v>
      </c>
      <c r="J115" s="4">
        <f>IF(ISBLANK('Raw touched'!J115),((J$5*SLOPE('Raw touched'!$E115:$U115,$E$5:$U$5))+INTERCEPT('Raw touched'!$E115:$U115,$E$5:$U$5)),'Raw touched'!J115)</f>
        <v>97</v>
      </c>
      <c r="K115" s="4">
        <f>IF(ISBLANK('Raw touched'!K115),((K$5*SLOPE('Raw touched'!$E115:$U115,$E$5:$U$5))+INTERCEPT('Raw touched'!$E115:$U115,$E$5:$U$5)),'Raw touched'!K115)</f>
        <v>98</v>
      </c>
      <c r="L115" s="4">
        <f>IF(ISBLANK('Raw touched'!L115),((L$5*SLOPE('Raw touched'!$E115:$U115,$E$5:$U$5))+INTERCEPT('Raw touched'!$E115:$U115,$E$5:$U$5)),'Raw touched'!L115)</f>
        <v>98</v>
      </c>
      <c r="M115" s="4">
        <f>IF(ISBLANK('Raw touched'!M115),((M$5*SLOPE('Raw touched'!$E115:$U115,$E$5:$U$5))+INTERCEPT('Raw touched'!$E115:$U115,$E$5:$U$5)),'Raw touched'!M115)</f>
        <v>100</v>
      </c>
      <c r="N115" s="4">
        <f>IF(ISBLANK('Raw touched'!N115),((N$5*SLOPE('Raw touched'!$E115:$U115,$E$5:$U$5))+INTERCEPT('Raw touched'!$E115:$U115,$E$5:$U$5)),'Raw touched'!N115)</f>
        <v>100</v>
      </c>
      <c r="O115" s="4">
        <f>IF(ISBLANK('Raw touched'!O115),((O$5*SLOPE('Raw touched'!$E115:$U115,$E$5:$U$5))+INTERCEPT('Raw touched'!$E115:$U115,$E$5:$U$5)),'Raw touched'!O115)</f>
        <v>100</v>
      </c>
      <c r="P115" s="4">
        <f>IF(ISBLANK('Raw touched'!P115),((P$5*SLOPE('Raw touched'!$E115:$U115,$E$5:$U$5))+INTERCEPT('Raw touched'!$E115:$U115,$E$5:$U$5)),'Raw touched'!P115)</f>
        <v>98.020781790000001</v>
      </c>
      <c r="Q115" s="4">
        <f>IF(ISBLANK('Raw touched'!Q115),((Q$5*SLOPE('Raw touched'!$E115:$U115,$E$5:$U$5))+INTERCEPT('Raw touched'!$E115:$U115,$E$5:$U$5)),'Raw touched'!Q115)</f>
        <v>98.027613410000001</v>
      </c>
      <c r="R115" s="4">
        <f>IF(ISBLANK('Raw touched'!R115),((R$5*SLOPE('Raw touched'!$E115:$U115,$E$5:$U$5))+INTERCEPT('Raw touched'!$E115:$U115,$E$5:$U$5)),'Raw touched'!R115)</f>
        <v>98.03</v>
      </c>
      <c r="S115" s="4">
        <f>IF(ISBLANK('Raw touched'!S115),((S$5*SLOPE('Raw touched'!$E115:$U115,$E$5:$U$5))+INTERCEPT('Raw touched'!$E115:$U115,$E$5:$U$5)),'Raw touched'!S115)</f>
        <v>100.30583235417578</v>
      </c>
      <c r="T115" s="4">
        <f>IF(ISBLANK('Raw touched'!T115),((T$5*SLOPE('Raw touched'!$E115:$U115,$E$5:$U$5))+INTERCEPT('Raw touched'!$E115:$U115,$E$5:$U$5)),'Raw touched'!T115)</f>
        <v>100.7077681423516</v>
      </c>
      <c r="U115" s="4">
        <f>IF(ISBLANK('Raw touched'!U115),((U$5*SLOPE('Raw touched'!$E115:$U115,$E$5:$U$5))+INTERCEPT('Raw touched'!$E115:$U115,$E$5:$U$5)),'Raw touched'!U115)</f>
        <v>101.10970393052753</v>
      </c>
    </row>
    <row r="116" spans="3:21" ht="13">
      <c r="C116" s="1" t="s">
        <v>83</v>
      </c>
      <c r="D116" s="1" t="s">
        <v>192</v>
      </c>
      <c r="E116" s="4">
        <f>IF(ISBLANK('Raw touched'!E116),((E$5*SLOPE('Raw touched'!$E116:$U116,$E$5:$U$5))+INTERCEPT('Raw touched'!$E116:$U116,$E$5:$U$5)),'Raw touched'!E116)</f>
        <v>31.299999239999998</v>
      </c>
      <c r="F116" s="4">
        <f>IF(ISBLANK('Raw touched'!F116),((F$5*SLOPE('Raw touched'!$E116:$U116,$E$5:$U$5))+INTERCEPT('Raw touched'!$E116:$U116,$E$5:$U$5)),'Raw touched'!F116)</f>
        <v>31.799999239999998</v>
      </c>
      <c r="G116" s="4">
        <f>IF(ISBLANK('Raw touched'!G116),((G$5*SLOPE('Raw touched'!$E116:$U116,$E$5:$U$5))+INTERCEPT('Raw touched'!$E116:$U116,$E$5:$U$5)),'Raw touched'!G116)</f>
        <v>29.700000760000002</v>
      </c>
      <c r="H116" s="4">
        <f>IF(ISBLANK('Raw touched'!H116),((H$5*SLOPE('Raw touched'!$E116:$U116,$E$5:$U$5))+INTERCEPT('Raw touched'!$E116:$U116,$E$5:$U$5)),'Raw touched'!H116)</f>
        <v>34.299999239999998</v>
      </c>
      <c r="I116" s="4">
        <f>IF(ISBLANK('Raw touched'!I116),((I$5*SLOPE('Raw touched'!$E116:$U116,$E$5:$U$5))+INTERCEPT('Raw touched'!$E116:$U116,$E$5:$U$5)),'Raw touched'!I116)</f>
        <v>32.799999239999998</v>
      </c>
      <c r="J116" s="4">
        <f>IF(ISBLANK('Raw touched'!J116),((J$5*SLOPE('Raw touched'!$E116:$U116,$E$5:$U$5))+INTERCEPT('Raw touched'!$E116:$U116,$E$5:$U$5)),'Raw touched'!J116)</f>
        <v>32.799999239999998</v>
      </c>
      <c r="K116" s="4">
        <f>IF(ISBLANK('Raw touched'!K116),((K$5*SLOPE('Raw touched'!$E116:$U116,$E$5:$U$5))+INTERCEPT('Raw touched'!$E116:$U116,$E$5:$U$5)),'Raw touched'!K116)</f>
        <v>33.570236648056948</v>
      </c>
      <c r="L116" s="4">
        <f>IF(ISBLANK('Raw touched'!L116),((L$5*SLOPE('Raw touched'!$E116:$U116,$E$5:$U$5))+INTERCEPT('Raw touched'!$E116:$U116,$E$5:$U$5)),'Raw touched'!L116)</f>
        <v>33.5</v>
      </c>
      <c r="M116" s="4">
        <f>IF(ISBLANK('Raw touched'!M116),((M$5*SLOPE('Raw touched'!$E116:$U116,$E$5:$U$5))+INTERCEPT('Raw touched'!$E116:$U116,$E$5:$U$5)),'Raw touched'!M116)</f>
        <v>35.759998320000001</v>
      </c>
      <c r="N116" s="4">
        <f>IF(ISBLANK('Raw touched'!N116),((N$5*SLOPE('Raw touched'!$E116:$U116,$E$5:$U$5))+INTERCEPT('Raw touched'!$E116:$U116,$E$5:$U$5)),'Raw touched'!N116)</f>
        <v>36.310001370000002</v>
      </c>
      <c r="O116" s="4">
        <f>IF(ISBLANK('Raw touched'!O116),((O$5*SLOPE('Raw touched'!$E116:$U116,$E$5:$U$5))+INTERCEPT('Raw touched'!$E116:$U116,$E$5:$U$5)),'Raw touched'!O116)</f>
        <v>36.979999540000001</v>
      </c>
      <c r="P116" s="4">
        <f>IF(ISBLANK('Raw touched'!P116),((P$5*SLOPE('Raw touched'!$E116:$U116,$E$5:$U$5))+INTERCEPT('Raw touched'!$E116:$U116,$E$5:$U$5)),'Raw touched'!P116)</f>
        <v>33.47</v>
      </c>
      <c r="Q116" s="4">
        <f>IF(ISBLANK('Raw touched'!Q116),((Q$5*SLOPE('Raw touched'!$E116:$U116,$E$5:$U$5))+INTERCEPT('Raw touched'!$E116:$U116,$E$5:$U$5)),'Raw touched'!Q116)</f>
        <v>34.96</v>
      </c>
      <c r="R116" s="4">
        <f>IF(ISBLANK('Raw touched'!R116),((R$5*SLOPE('Raw touched'!$E116:$U116,$E$5:$U$5))+INTERCEPT('Raw touched'!$E116:$U116,$E$5:$U$5)),'Raw touched'!R116)</f>
        <v>35.28</v>
      </c>
      <c r="S116" s="4">
        <f>IF(ISBLANK('Raw touched'!S116),((S$5*SLOPE('Raw touched'!$E116:$U116,$E$5:$U$5))+INTERCEPT('Raw touched'!$E116:$U116,$E$5:$U$5)),'Raw touched'!S116)</f>
        <v>36.48100209406914</v>
      </c>
      <c r="T116" s="4">
        <f>IF(ISBLANK('Raw touched'!T116),((T$5*SLOPE('Raw touched'!$E116:$U116,$E$5:$U$5))+INTERCEPT('Raw touched'!$E116:$U116,$E$5:$U$5)),'Raw touched'!T116)</f>
        <v>36.844847774820664</v>
      </c>
      <c r="U116" s="4">
        <f>IF(ISBLANK('Raw touched'!U116),((U$5*SLOPE('Raw touched'!$E116:$U116,$E$5:$U$5))+INTERCEPT('Raw touched'!$E116:$U116,$E$5:$U$5)),'Raw touched'!U116)</f>
        <v>37.208693455572188</v>
      </c>
    </row>
    <row r="117" spans="3:21" ht="13">
      <c r="C117" s="1" t="s">
        <v>170</v>
      </c>
      <c r="D117" s="1" t="s">
        <v>293</v>
      </c>
      <c r="E117" s="4">
        <f>IF(ISBLANK('Raw touched'!E117),((E$5*SLOPE('Raw touched'!$E117:$U117,$E$5:$U$5))+INTERCEPT('Raw touched'!$E117:$U117,$E$5:$U$5)),'Raw touched'!E117)</f>
        <v>17.600000380000001</v>
      </c>
      <c r="F117" s="4">
        <f>IF(ISBLANK('Raw touched'!F117),((F$5*SLOPE('Raw touched'!$E117:$U117,$E$5:$U$5))+INTERCEPT('Raw touched'!$E117:$U117,$E$5:$U$5)),'Raw touched'!F117)</f>
        <v>17.700000760000002</v>
      </c>
      <c r="G117" s="4">
        <f>IF(ISBLANK('Raw touched'!G117),((G$5*SLOPE('Raw touched'!$E117:$U117,$E$5:$U$5))+INTERCEPT('Raw touched'!$E117:$U117,$E$5:$U$5)),'Raw touched'!G117)</f>
        <v>17.5</v>
      </c>
      <c r="H117" s="4">
        <f>IF(ISBLANK('Raw touched'!H117),((H$5*SLOPE('Raw touched'!$E117:$U117,$E$5:$U$5))+INTERCEPT('Raw touched'!$E117:$U117,$E$5:$U$5)),'Raw touched'!H117)</f>
        <v>17.5</v>
      </c>
      <c r="I117" s="4">
        <f>IF(ISBLANK('Raw touched'!I117),((I$5*SLOPE('Raw touched'!$E117:$U117,$E$5:$U$5))+INTERCEPT('Raw touched'!$E117:$U117,$E$5:$U$5)),'Raw touched'!I117)</f>
        <v>17.5</v>
      </c>
      <c r="J117" s="4">
        <f>IF(ISBLANK('Raw touched'!J117),((J$5*SLOPE('Raw touched'!$E117:$U117,$E$5:$U$5))+INTERCEPT('Raw touched'!$E117:$U117,$E$5:$U$5)),'Raw touched'!J117)</f>
        <v>17.5</v>
      </c>
      <c r="K117" s="4">
        <f>IF(ISBLANK('Raw touched'!K117),((K$5*SLOPE('Raw touched'!$E117:$U117,$E$5:$U$5))+INTERCEPT('Raw touched'!$E117:$U117,$E$5:$U$5)),'Raw touched'!K117)</f>
        <v>17.5</v>
      </c>
      <c r="L117" s="4">
        <f>IF(ISBLANK('Raw touched'!L117),((L$5*SLOPE('Raw touched'!$E117:$U117,$E$5:$U$5))+INTERCEPT('Raw touched'!$E117:$U117,$E$5:$U$5)),'Raw touched'!L117)</f>
        <v>17.442856925714288</v>
      </c>
      <c r="M117" s="4">
        <f>IF(ISBLANK('Raw touched'!M117),((M$5*SLOPE('Raw touched'!$E117:$U117,$E$5:$U$5))+INTERCEPT('Raw touched'!$E117:$U117,$E$5:$U$5)),'Raw touched'!M117)</f>
        <v>17.417856830714285</v>
      </c>
      <c r="N117" s="4">
        <f>IF(ISBLANK('Raw touched'!N117),((N$5*SLOPE('Raw touched'!$E117:$U117,$E$5:$U$5))+INTERCEPT('Raw touched'!$E117:$U117,$E$5:$U$5)),'Raw touched'!N117)</f>
        <v>17.39285673571429</v>
      </c>
      <c r="O117" s="4">
        <f>IF(ISBLANK('Raw touched'!O117),((O$5*SLOPE('Raw touched'!$E117:$U117,$E$5:$U$5))+INTERCEPT('Raw touched'!$E117:$U117,$E$5:$U$5)),'Raw touched'!O117)</f>
        <v>17.367856640714287</v>
      </c>
      <c r="P117" s="4">
        <f>IF(ISBLANK('Raw touched'!P117),((P$5*SLOPE('Raw touched'!$E117:$U117,$E$5:$U$5))+INTERCEPT('Raw touched'!$E117:$U117,$E$5:$U$5)),'Raw touched'!P117)</f>
        <v>17.342856545714284</v>
      </c>
      <c r="Q117" s="4">
        <f>IF(ISBLANK('Raw touched'!Q117),((Q$5*SLOPE('Raw touched'!$E117:$U117,$E$5:$U$5))+INTERCEPT('Raw touched'!$E117:$U117,$E$5:$U$5)),'Raw touched'!Q117)</f>
        <v>17.317856450714288</v>
      </c>
      <c r="R117" s="4">
        <f>IF(ISBLANK('Raw touched'!R117),((R$5*SLOPE('Raw touched'!$E117:$U117,$E$5:$U$5))+INTERCEPT('Raw touched'!$E117:$U117,$E$5:$U$5)),'Raw touched'!R117)</f>
        <v>17.292856355714285</v>
      </c>
      <c r="S117" s="4">
        <f>IF(ISBLANK('Raw touched'!S117),((S$5*SLOPE('Raw touched'!$E117:$U117,$E$5:$U$5))+INTERCEPT('Raw touched'!$E117:$U117,$E$5:$U$5)),'Raw touched'!S117)</f>
        <v>17.267856260714282</v>
      </c>
      <c r="T117" s="4">
        <f>IF(ISBLANK('Raw touched'!T117),((T$5*SLOPE('Raw touched'!$E117:$U117,$E$5:$U$5))+INTERCEPT('Raw touched'!$E117:$U117,$E$5:$U$5)),'Raw touched'!T117)</f>
        <v>17.242856165714286</v>
      </c>
      <c r="U117" s="4">
        <f>IF(ISBLANK('Raw touched'!U117),((U$5*SLOPE('Raw touched'!$E117:$U117,$E$5:$U$5))+INTERCEPT('Raw touched'!$E117:$U117,$E$5:$U$5)),'Raw touched'!U117)</f>
        <v>17.217856070714284</v>
      </c>
    </row>
    <row r="118" spans="3:21" ht="13">
      <c r="C118" s="1" t="s">
        <v>106</v>
      </c>
      <c r="D118" s="1" t="s">
        <v>237</v>
      </c>
      <c r="E118" s="4">
        <f>IF(ISBLANK('Raw touched'!E118),((E$5*SLOPE('Raw touched'!$E118:$U118,$E$5:$U$5))+INTERCEPT('Raw touched'!$E118:$U118,$E$5:$U$5)),'Raw touched'!E118)</f>
        <v>87.300003050000001</v>
      </c>
      <c r="F118" s="4">
        <f>IF(ISBLANK('Raw touched'!F118),((F$5*SLOPE('Raw touched'!$E118:$U118,$E$5:$U$5))+INTERCEPT('Raw touched'!$E118:$U118,$E$5:$U$5)),'Raw touched'!F118)</f>
        <v>86.900001529999997</v>
      </c>
      <c r="G118" s="4">
        <f>IF(ISBLANK('Raw touched'!G118),((G$5*SLOPE('Raw touched'!$E118:$U118,$E$5:$U$5))+INTERCEPT('Raw touched'!$E118:$U118,$E$5:$U$5)),'Raw touched'!G118)</f>
        <v>86.900001529999997</v>
      </c>
      <c r="H118" s="4">
        <f>IF(ISBLANK('Raw touched'!H118),((H$5*SLOPE('Raw touched'!$E118:$U118,$E$5:$U$5))+INTERCEPT('Raw touched'!$E118:$U118,$E$5:$U$5)),'Raw touched'!H118)</f>
        <v>87</v>
      </c>
      <c r="I118" s="4">
        <f>IF(ISBLANK('Raw touched'!I118),((I$5*SLOPE('Raw touched'!$E118:$U118,$E$5:$U$5))+INTERCEPT('Raw touched'!$E118:$U118,$E$5:$U$5)),'Raw touched'!I118)</f>
        <v>87</v>
      </c>
      <c r="J118" s="4">
        <f>IF(ISBLANK('Raw touched'!J118),((J$5*SLOPE('Raw touched'!$E118:$U118,$E$5:$U$5))+INTERCEPT('Raw touched'!$E118:$U118,$E$5:$U$5)),'Raw touched'!J118)</f>
        <v>86.099998470000003</v>
      </c>
      <c r="K118" s="4">
        <f>IF(ISBLANK('Raw touched'!K118),((K$5*SLOPE('Raw touched'!$E118:$U118,$E$5:$U$5))+INTERCEPT('Raw touched'!$E118:$U118,$E$5:$U$5)),'Raw touched'!K118)</f>
        <v>86.437778641777214</v>
      </c>
      <c r="L118" s="4">
        <f>IF(ISBLANK('Raw touched'!L118),((L$5*SLOPE('Raw touched'!$E118:$U118,$E$5:$U$5))+INTERCEPT('Raw touched'!$E118:$U118,$E$5:$U$5)),'Raw touched'!L118)</f>
        <v>86</v>
      </c>
      <c r="M118" s="4">
        <f>IF(ISBLANK('Raw touched'!M118),((M$5*SLOPE('Raw touched'!$E118:$U118,$E$5:$U$5))+INTERCEPT('Raw touched'!$E118:$U118,$E$5:$U$5)),'Raw touched'!M118)</f>
        <v>86.199996949999999</v>
      </c>
      <c r="N118" s="4">
        <f>IF(ISBLANK('Raw touched'!N118),((N$5*SLOPE('Raw touched'!$E118:$U118,$E$5:$U$5))+INTERCEPT('Raw touched'!$E118:$U118,$E$5:$U$5)),'Raw touched'!N118)</f>
        <v>86.199996949999999</v>
      </c>
      <c r="O118" s="4">
        <f>IF(ISBLANK('Raw touched'!O118),((O$5*SLOPE('Raw touched'!$E118:$U118,$E$5:$U$5))+INTERCEPT('Raw touched'!$E118:$U118,$E$5:$U$5)),'Raw touched'!O118)</f>
        <v>86.25</v>
      </c>
      <c r="P118" s="4">
        <f>IF(ISBLANK('Raw touched'!P118),((P$5*SLOPE('Raw touched'!$E118:$U118,$E$5:$U$5))+INTERCEPT('Raw touched'!$E118:$U118,$E$5:$U$5)),'Raw touched'!P118)</f>
        <v>85.5</v>
      </c>
      <c r="Q118" s="4">
        <f>IF(ISBLANK('Raw touched'!Q118),((Q$5*SLOPE('Raw touched'!$E118:$U118,$E$5:$U$5))+INTERCEPT('Raw touched'!$E118:$U118,$E$5:$U$5)),'Raw touched'!Q118)</f>
        <v>85.699725599999994</v>
      </c>
      <c r="R118" s="4">
        <f>IF(ISBLANK('Raw touched'!R118),((R$5*SLOPE('Raw touched'!$E118:$U118,$E$5:$U$5))+INTERCEPT('Raw touched'!$E118:$U118,$E$5:$U$5)),'Raw touched'!R118)</f>
        <v>85.8</v>
      </c>
      <c r="S118" s="4">
        <f>IF(ISBLANK('Raw touched'!S118),((S$5*SLOPE('Raw touched'!$E118:$U118,$E$5:$U$5))+INTERCEPT('Raw touched'!$E118:$U118,$E$5:$U$5)),'Raw touched'!S118)</f>
        <v>85.476180626800925</v>
      </c>
      <c r="T118" s="4">
        <f>IF(ISBLANK('Raw touched'!T118),((T$5*SLOPE('Raw touched'!$E118:$U118,$E$5:$U$5))+INTERCEPT('Raw touched'!$E118:$U118,$E$5:$U$5)),'Raw touched'!T118)</f>
        <v>85.355980874928889</v>
      </c>
      <c r="U118" s="4">
        <f>IF(ISBLANK('Raw touched'!U118),((U$5*SLOPE('Raw touched'!$E118:$U118,$E$5:$U$5))+INTERCEPT('Raw touched'!$E118:$U118,$E$5:$U$5)),'Raw touched'!U118)</f>
        <v>85.235781123056853</v>
      </c>
    </row>
    <row r="119" spans="3:21" ht="13">
      <c r="C119" s="1" t="s">
        <v>146</v>
      </c>
      <c r="D119" s="1" t="s">
        <v>112</v>
      </c>
      <c r="E119" s="4">
        <f>IF(ISBLANK('Raw touched'!E119),((E$5*SLOPE('Raw touched'!$E119:$U119,$E$5:$U$5))+INTERCEPT('Raw touched'!$E119:$U119,$E$5:$U$5)),'Raw touched'!E119)</f>
        <v>100</v>
      </c>
      <c r="F119" s="4">
        <f>IF(ISBLANK('Raw touched'!F119),((F$5*SLOPE('Raw touched'!$E119:$U119,$E$5:$U$5))+INTERCEPT('Raw touched'!$E119:$U119,$E$5:$U$5)),'Raw touched'!F119)</f>
        <v>100</v>
      </c>
      <c r="G119" s="4">
        <f>IF(ISBLANK('Raw touched'!G119),((G$5*SLOPE('Raw touched'!$E119:$U119,$E$5:$U$5))+INTERCEPT('Raw touched'!$E119:$U119,$E$5:$U$5)),'Raw touched'!G119)</f>
        <v>100</v>
      </c>
      <c r="H119" s="4">
        <f>IF(ISBLANK('Raw touched'!H119),((H$5*SLOPE('Raw touched'!$E119:$U119,$E$5:$U$5))+INTERCEPT('Raw touched'!$E119:$U119,$E$5:$U$5)),'Raw touched'!H119)</f>
        <v>100</v>
      </c>
      <c r="I119" s="4">
        <f>IF(ISBLANK('Raw touched'!I119),((I$5*SLOPE('Raw touched'!$E119:$U119,$E$5:$U$5))+INTERCEPT('Raw touched'!$E119:$U119,$E$5:$U$5)),'Raw touched'!I119)</f>
        <v>100</v>
      </c>
      <c r="J119" s="4">
        <f>IF(ISBLANK('Raw touched'!J119),((J$5*SLOPE('Raw touched'!$E119:$U119,$E$5:$U$5))+INTERCEPT('Raw touched'!$E119:$U119,$E$5:$U$5)),'Raw touched'!J119)</f>
        <v>100</v>
      </c>
      <c r="K119" s="4">
        <f>IF(ISBLANK('Raw touched'!K119),((K$5*SLOPE('Raw touched'!$E119:$U119,$E$5:$U$5))+INTERCEPT('Raw touched'!$E119:$U119,$E$5:$U$5)),'Raw touched'!K119)</f>
        <v>100</v>
      </c>
      <c r="L119" s="4">
        <f>IF(ISBLANK('Raw touched'!L119),((L$5*SLOPE('Raw touched'!$E119:$U119,$E$5:$U$5))+INTERCEPT('Raw touched'!$E119:$U119,$E$5:$U$5)),'Raw touched'!L119)</f>
        <v>100</v>
      </c>
      <c r="M119" s="4">
        <f>IF(ISBLANK('Raw touched'!M119),((M$5*SLOPE('Raw touched'!$E119:$U119,$E$5:$U$5))+INTERCEPT('Raw touched'!$E119:$U119,$E$5:$U$5)),'Raw touched'!M119)</f>
        <v>100</v>
      </c>
      <c r="N119" s="4">
        <f>IF(ISBLANK('Raw touched'!N119),((N$5*SLOPE('Raw touched'!$E119:$U119,$E$5:$U$5))+INTERCEPT('Raw touched'!$E119:$U119,$E$5:$U$5)),'Raw touched'!N119)</f>
        <v>100</v>
      </c>
      <c r="O119" s="4">
        <f>IF(ISBLANK('Raw touched'!O119),((O$5*SLOPE('Raw touched'!$E119:$U119,$E$5:$U$5))+INTERCEPT('Raw touched'!$E119:$U119,$E$5:$U$5)),'Raw touched'!O119)</f>
        <v>100</v>
      </c>
      <c r="P119" s="4">
        <f>IF(ISBLANK('Raw touched'!P119),((P$5*SLOPE('Raw touched'!$E119:$U119,$E$5:$U$5))+INTERCEPT('Raw touched'!$E119:$U119,$E$5:$U$5)),'Raw touched'!P119)</f>
        <v>100</v>
      </c>
      <c r="Q119" s="4">
        <f>IF(ISBLANK('Raw touched'!Q119),((Q$5*SLOPE('Raw touched'!$E119:$U119,$E$5:$U$5))+INTERCEPT('Raw touched'!$E119:$U119,$E$5:$U$5)),'Raw touched'!Q119)</f>
        <v>100</v>
      </c>
      <c r="R119" s="4">
        <f>IF(ISBLANK('Raw touched'!R119),((R$5*SLOPE('Raw touched'!$E119:$U119,$E$5:$U$5))+INTERCEPT('Raw touched'!$E119:$U119,$E$5:$U$5)),'Raw touched'!R119)</f>
        <v>100</v>
      </c>
      <c r="S119" s="4">
        <f>IF(ISBLANK('Raw touched'!S119),((S$5*SLOPE('Raw touched'!$E119:$U119,$E$5:$U$5))+INTERCEPT('Raw touched'!$E119:$U119,$E$5:$U$5)),'Raw touched'!S119)</f>
        <v>100</v>
      </c>
      <c r="T119" s="4">
        <f>IF(ISBLANK('Raw touched'!T119),((T$5*SLOPE('Raw touched'!$E119:$U119,$E$5:$U$5))+INTERCEPT('Raw touched'!$E119:$U119,$E$5:$U$5)),'Raw touched'!T119)</f>
        <v>100</v>
      </c>
      <c r="U119" s="4">
        <f>IF(ISBLANK('Raw touched'!U119),((U$5*SLOPE('Raw touched'!$E119:$U119,$E$5:$U$5))+INTERCEPT('Raw touched'!$E119:$U119,$E$5:$U$5)),'Raw touched'!U119)</f>
        <v>100</v>
      </c>
    </row>
    <row r="120" spans="3:21" ht="13">
      <c r="C120" s="1" t="s">
        <v>227</v>
      </c>
      <c r="D120" s="1" t="s">
        <v>348</v>
      </c>
      <c r="E120" s="4">
        <f>IF(ISBLANK('Raw touched'!E120),((E$5*SLOPE('Raw touched'!$E120:$U120,$E$5:$U$5))+INTERCEPT('Raw touched'!$E120:$U120,$E$5:$U$5)),'Raw touched'!E120)</f>
        <v>63.299999239999998</v>
      </c>
      <c r="F120" s="4">
        <f>IF(ISBLANK('Raw touched'!F120),((F$5*SLOPE('Raw touched'!$E120:$U120,$E$5:$U$5))+INTERCEPT('Raw touched'!$E120:$U120,$E$5:$U$5)),'Raw touched'!F120)</f>
        <v>63.799999239999998</v>
      </c>
      <c r="G120" s="4">
        <f>IF(ISBLANK('Raw touched'!G120),((G$5*SLOPE('Raw touched'!$E120:$U120,$E$5:$U$5))+INTERCEPT('Raw touched'!$E120:$U120,$E$5:$U$5)),'Raw touched'!G120)</f>
        <v>63.799999239999998</v>
      </c>
      <c r="H120" s="4">
        <f>IF(ISBLANK('Raw touched'!H120),((H$5*SLOPE('Raw touched'!$E120:$U120,$E$5:$U$5))+INTERCEPT('Raw touched'!$E120:$U120,$E$5:$U$5)),'Raw touched'!H120)</f>
        <v>63.799999239999998</v>
      </c>
      <c r="I120" s="4">
        <f>IF(ISBLANK('Raw touched'!I120),((I$5*SLOPE('Raw touched'!$E120:$U120,$E$5:$U$5))+INTERCEPT('Raw touched'!$E120:$U120,$E$5:$U$5)),'Raw touched'!I120)</f>
        <v>63.799999239999998</v>
      </c>
      <c r="J120" s="4">
        <f>IF(ISBLANK('Raw touched'!J120),((J$5*SLOPE('Raw touched'!$E120:$U120,$E$5:$U$5))+INTERCEPT('Raw touched'!$E120:$U120,$E$5:$U$5)),'Raw touched'!J120)</f>
        <v>60.126938797409139</v>
      </c>
      <c r="K120" s="4">
        <f>IF(ISBLANK('Raw touched'!K120),((K$5*SLOPE('Raw touched'!$E120:$U120,$E$5:$U$5))+INTERCEPT('Raw touched'!$E120:$U120,$E$5:$U$5)),'Raw touched'!K120)</f>
        <v>59.258809321214812</v>
      </c>
      <c r="L120" s="4">
        <f>IF(ISBLANK('Raw touched'!L120),((L$5*SLOPE('Raw touched'!$E120:$U120,$E$5:$U$5))+INTERCEPT('Raw touched'!$E120:$U120,$E$5:$U$5)),'Raw touched'!L120)</f>
        <v>58.390679845020486</v>
      </c>
      <c r="M120" s="4">
        <f>IF(ISBLANK('Raw touched'!M120),((M$5*SLOPE('Raw touched'!$E120:$U120,$E$5:$U$5))+INTERCEPT('Raw touched'!$E120:$U120,$E$5:$U$5)),'Raw touched'!M120)</f>
        <v>51.74</v>
      </c>
      <c r="N120" s="4">
        <f>IF(ISBLANK('Raw touched'!N120),((N$5*SLOPE('Raw touched'!$E120:$U120,$E$5:$U$5))+INTERCEPT('Raw touched'!$E120:$U120,$E$5:$U$5)),'Raw touched'!N120)</f>
        <v>52.87</v>
      </c>
      <c r="O120" s="4">
        <f>IF(ISBLANK('Raw touched'!O120),((O$5*SLOPE('Raw touched'!$E120:$U120,$E$5:$U$5))+INTERCEPT('Raw touched'!$E120:$U120,$E$5:$U$5)),'Raw touched'!O120)</f>
        <v>55.62</v>
      </c>
      <c r="P120" s="4">
        <f>IF(ISBLANK('Raw touched'!P120),((P$5*SLOPE('Raw touched'!$E120:$U120,$E$5:$U$5))+INTERCEPT('Raw touched'!$E120:$U120,$E$5:$U$5)),'Raw touched'!P120)</f>
        <v>54.34</v>
      </c>
      <c r="Q120" s="4">
        <f>IF(ISBLANK('Raw touched'!Q120),((Q$5*SLOPE('Raw touched'!$E120:$U120,$E$5:$U$5))+INTERCEPT('Raw touched'!$E120:$U120,$E$5:$U$5)),'Raw touched'!Q120)</f>
        <v>56.16</v>
      </c>
      <c r="R120" s="4">
        <f>IF(ISBLANK('Raw touched'!R120),((R$5*SLOPE('Raw touched'!$E120:$U120,$E$5:$U$5))+INTERCEPT('Raw touched'!$E120:$U120,$E$5:$U$5)),'Raw touched'!R120)</f>
        <v>56.54</v>
      </c>
      <c r="S120" s="4">
        <f>IF(ISBLANK('Raw touched'!S120),((S$5*SLOPE('Raw touched'!$E120:$U120,$E$5:$U$5))+INTERCEPT('Raw touched'!$E120:$U120,$E$5:$U$5)),'Raw touched'!S120)</f>
        <v>52.313773511660202</v>
      </c>
      <c r="T120" s="4">
        <f>IF(ISBLANK('Raw touched'!T120),((T$5*SLOPE('Raw touched'!$E120:$U120,$E$5:$U$5))+INTERCEPT('Raw touched'!$E120:$U120,$E$5:$U$5)),'Raw touched'!T120)</f>
        <v>51.445644035465875</v>
      </c>
      <c r="U120" s="4">
        <f>IF(ISBLANK('Raw touched'!U120),((U$5*SLOPE('Raw touched'!$E120:$U120,$E$5:$U$5))+INTERCEPT('Raw touched'!$E120:$U120,$E$5:$U$5)),'Raw touched'!U120)</f>
        <v>50.577514559271549</v>
      </c>
    </row>
    <row r="121" spans="3:21" ht="13">
      <c r="C121" s="1" t="s">
        <v>190</v>
      </c>
      <c r="D121" s="1" t="s">
        <v>210</v>
      </c>
      <c r="E121" s="4">
        <f>IF(ISBLANK('Raw touched'!E121),((E$5*SLOPE('Raw touched'!$E121:$U121,$E$5:$U$5))+INTERCEPT('Raw touched'!$E121:$U121,$E$5:$U$5)),'Raw touched'!E121)</f>
        <v>3.2999999519999998</v>
      </c>
      <c r="F121" s="4">
        <f>IF(ISBLANK('Raw touched'!F121),((F$5*SLOPE('Raw touched'!$E121:$U121,$E$5:$U$5))+INTERCEPT('Raw touched'!$E121:$U121,$E$5:$U$5)),'Raw touched'!F121)</f>
        <v>3.2999999519999998</v>
      </c>
      <c r="G121" s="4">
        <f>IF(ISBLANK('Raw touched'!G121),((G$5*SLOPE('Raw touched'!$E121:$U121,$E$5:$U$5))+INTERCEPT('Raw touched'!$E121:$U121,$E$5:$U$5)),'Raw touched'!G121)</f>
        <v>3.4000000950000002</v>
      </c>
      <c r="H121" s="4">
        <f>IF(ISBLANK('Raw touched'!H121),((H$5*SLOPE('Raw touched'!$E121:$U121,$E$5:$U$5))+INTERCEPT('Raw touched'!$E121:$U121,$E$5:$U$5)),'Raw touched'!H121)</f>
        <v>3.4000000950000002</v>
      </c>
      <c r="I121" s="4">
        <f>IF(ISBLANK('Raw touched'!I121),((I$5*SLOPE('Raw touched'!$E121:$U121,$E$5:$U$5))+INTERCEPT('Raw touched'!$E121:$U121,$E$5:$U$5)),'Raw touched'!I121)</f>
        <v>3.5</v>
      </c>
      <c r="J121" s="4">
        <f>IF(ISBLANK('Raw touched'!J121),((J$5*SLOPE('Raw touched'!$E121:$U121,$E$5:$U$5))+INTERCEPT('Raw touched'!$E121:$U121,$E$5:$U$5)),'Raw touched'!J121)</f>
        <v>3.5</v>
      </c>
      <c r="K121" s="4">
        <f>IF(ISBLANK('Raw touched'!K121),((K$5*SLOPE('Raw touched'!$E121:$U121,$E$5:$U$5))+INTERCEPT('Raw touched'!$E121:$U121,$E$5:$U$5)),'Raw touched'!K121)</f>
        <v>3.5</v>
      </c>
      <c r="L121" s="4">
        <f>IF(ISBLANK('Raw touched'!L121),((L$5*SLOPE('Raw touched'!$E121:$U121,$E$5:$U$5))+INTERCEPT('Raw touched'!$E121:$U121,$E$5:$U$5)),'Raw touched'!L121)</f>
        <v>3.5</v>
      </c>
      <c r="M121" s="4">
        <f>IF(ISBLANK('Raw touched'!M121),((M$5*SLOPE('Raw touched'!$E121:$U121,$E$5:$U$5))+INTERCEPT('Raw touched'!$E121:$U121,$E$5:$U$5)),'Raw touched'!M121)</f>
        <v>3.5750000222500091</v>
      </c>
      <c r="N121" s="4">
        <f>IF(ISBLANK('Raw touched'!N121),((N$5*SLOPE('Raw touched'!$E121:$U121,$E$5:$U$5))+INTERCEPT('Raw touched'!$E121:$U121,$E$5:$U$5)),'Raw touched'!N121)</f>
        <v>3.6083333579166776</v>
      </c>
      <c r="O121" s="4">
        <f>IF(ISBLANK('Raw touched'!O121),((O$5*SLOPE('Raw touched'!$E121:$U121,$E$5:$U$5))+INTERCEPT('Raw touched'!$E121:$U121,$E$5:$U$5)),'Raw touched'!O121)</f>
        <v>3.6416666935833462</v>
      </c>
      <c r="P121" s="4">
        <f>IF(ISBLANK('Raw touched'!P121),((P$5*SLOPE('Raw touched'!$E121:$U121,$E$5:$U$5))+INTERCEPT('Raw touched'!$E121:$U121,$E$5:$U$5)),'Raw touched'!P121)</f>
        <v>3.6750000292500005</v>
      </c>
      <c r="Q121" s="4">
        <f>IF(ISBLANK('Raw touched'!Q121),((Q$5*SLOPE('Raw touched'!$E121:$U121,$E$5:$U$5))+INTERCEPT('Raw touched'!$E121:$U121,$E$5:$U$5)),'Raw touched'!Q121)</f>
        <v>3.708333364916669</v>
      </c>
      <c r="R121" s="4">
        <f>IF(ISBLANK('Raw touched'!R121),((R$5*SLOPE('Raw touched'!$E121:$U121,$E$5:$U$5))+INTERCEPT('Raw touched'!$E121:$U121,$E$5:$U$5)),'Raw touched'!R121)</f>
        <v>3.7416667005833375</v>
      </c>
      <c r="S121" s="4">
        <f>IF(ISBLANK('Raw touched'!S121),((S$5*SLOPE('Raw touched'!$E121:$U121,$E$5:$U$5))+INTERCEPT('Raw touched'!$E121:$U121,$E$5:$U$5)),'Raw touched'!S121)</f>
        <v>3.775000036250006</v>
      </c>
      <c r="T121" s="4">
        <f>IF(ISBLANK('Raw touched'!T121),((T$5*SLOPE('Raw touched'!$E121:$U121,$E$5:$U$5))+INTERCEPT('Raw touched'!$E121:$U121,$E$5:$U$5)),'Raw touched'!T121)</f>
        <v>3.8083333719166745</v>
      </c>
      <c r="U121" s="4">
        <f>IF(ISBLANK('Raw touched'!U121),((U$5*SLOPE('Raw touched'!$E121:$U121,$E$5:$U$5))+INTERCEPT('Raw touched'!$E121:$U121,$E$5:$U$5)),'Raw touched'!U121)</f>
        <v>3.8416667075833431</v>
      </c>
    </row>
    <row r="122" spans="3:21" ht="13">
      <c r="C122" s="1" t="s">
        <v>191</v>
      </c>
      <c r="D122" s="1" t="s">
        <v>242</v>
      </c>
      <c r="E122" s="4" t="e">
        <f>IF(ISBLANK('Raw touched'!E122),((E$5*SLOPE('Raw touched'!$E122:$U122,$E$5:$U$5))+INTERCEPT('Raw touched'!$E122:$U122,$E$5:$U$5)),'Raw touched'!E122)</f>
        <v>#DIV/0!</v>
      </c>
      <c r="F122" s="4" t="e">
        <f>IF(ISBLANK('Raw touched'!F122),((F$5*SLOPE('Raw touched'!$E122:$U122,$E$5:$U$5))+INTERCEPT('Raw touched'!$E122:$U122,$E$5:$U$5)),'Raw touched'!F122)</f>
        <v>#DIV/0!</v>
      </c>
      <c r="G122" s="4" t="e">
        <f>IF(ISBLANK('Raw touched'!G122),((G$5*SLOPE('Raw touched'!$E122:$U122,$E$5:$U$5))+INTERCEPT('Raw touched'!$E122:$U122,$E$5:$U$5)),'Raw touched'!G122)</f>
        <v>#DIV/0!</v>
      </c>
      <c r="H122" s="4" t="e">
        <f>IF(ISBLANK('Raw touched'!H122),((H$5*SLOPE('Raw touched'!$E122:$U122,$E$5:$U$5))+INTERCEPT('Raw touched'!$E122:$U122,$E$5:$U$5)),'Raw touched'!H122)</f>
        <v>#DIV/0!</v>
      </c>
      <c r="I122" s="4" t="e">
        <f>IF(ISBLANK('Raw touched'!I122),((I$5*SLOPE('Raw touched'!$E122:$U122,$E$5:$U$5))+INTERCEPT('Raw touched'!$E122:$U122,$E$5:$U$5)),'Raw touched'!I122)</f>
        <v>#DIV/0!</v>
      </c>
      <c r="J122" s="4" t="e">
        <f>IF(ISBLANK('Raw touched'!J122),((J$5*SLOPE('Raw touched'!$E122:$U122,$E$5:$U$5))+INTERCEPT('Raw touched'!$E122:$U122,$E$5:$U$5)),'Raw touched'!J122)</f>
        <v>#DIV/0!</v>
      </c>
      <c r="K122" s="4" t="e">
        <f>IF(ISBLANK('Raw touched'!K122),((K$5*SLOPE('Raw touched'!$E122:$U122,$E$5:$U$5))+INTERCEPT('Raw touched'!$E122:$U122,$E$5:$U$5)),'Raw touched'!K122)</f>
        <v>#DIV/0!</v>
      </c>
      <c r="L122" s="4" t="e">
        <f>IF(ISBLANK('Raw touched'!L122),((L$5*SLOPE('Raw touched'!$E122:$U122,$E$5:$U$5))+INTERCEPT('Raw touched'!$E122:$U122,$E$5:$U$5)),'Raw touched'!L122)</f>
        <v>#DIV/0!</v>
      </c>
      <c r="M122" s="4" t="e">
        <f>IF(ISBLANK('Raw touched'!M122),((M$5*SLOPE('Raw touched'!$E122:$U122,$E$5:$U$5))+INTERCEPT('Raw touched'!$E122:$U122,$E$5:$U$5)),'Raw touched'!M122)</f>
        <v>#DIV/0!</v>
      </c>
      <c r="N122" s="4" t="e">
        <f>IF(ISBLANK('Raw touched'!N122),((N$5*SLOPE('Raw touched'!$E122:$U122,$E$5:$U$5))+INTERCEPT('Raw touched'!$E122:$U122,$E$5:$U$5)),'Raw touched'!N122)</f>
        <v>#DIV/0!</v>
      </c>
      <c r="O122" s="4" t="e">
        <f>IF(ISBLANK('Raw touched'!O122),((O$5*SLOPE('Raw touched'!$E122:$U122,$E$5:$U$5))+INTERCEPT('Raw touched'!$E122:$U122,$E$5:$U$5)),'Raw touched'!O122)</f>
        <v>#DIV/0!</v>
      </c>
      <c r="P122" s="4" t="e">
        <f>IF(ISBLANK('Raw touched'!P122),((P$5*SLOPE('Raw touched'!$E122:$U122,$E$5:$U$5))+INTERCEPT('Raw touched'!$E122:$U122,$E$5:$U$5)),'Raw touched'!P122)</f>
        <v>#DIV/0!</v>
      </c>
      <c r="Q122" s="4" t="e">
        <f>IF(ISBLANK('Raw touched'!Q122),((Q$5*SLOPE('Raw touched'!$E122:$U122,$E$5:$U$5))+INTERCEPT('Raw touched'!$E122:$U122,$E$5:$U$5)),'Raw touched'!Q122)</f>
        <v>#DIV/0!</v>
      </c>
      <c r="R122" s="4" t="e">
        <f>IF(ISBLANK('Raw touched'!R122),((R$5*SLOPE('Raw touched'!$E122:$U122,$E$5:$U$5))+INTERCEPT('Raw touched'!$E122:$U122,$E$5:$U$5)),'Raw touched'!R122)</f>
        <v>#DIV/0!</v>
      </c>
      <c r="S122" s="4" t="e">
        <f>IF(ISBLANK('Raw touched'!S122),((S$5*SLOPE('Raw touched'!$E122:$U122,$E$5:$U$5))+INTERCEPT('Raw touched'!$E122:$U122,$E$5:$U$5)),'Raw touched'!S122)</f>
        <v>#DIV/0!</v>
      </c>
      <c r="T122" s="4" t="e">
        <f>IF(ISBLANK('Raw touched'!T122),((T$5*SLOPE('Raw touched'!$E122:$U122,$E$5:$U$5))+INTERCEPT('Raw touched'!$E122:$U122,$E$5:$U$5)),'Raw touched'!T122)</f>
        <v>#DIV/0!</v>
      </c>
      <c r="U122" s="4" t="e">
        <f>IF(ISBLANK('Raw touched'!U122),((U$5*SLOPE('Raw touched'!$E122:$U122,$E$5:$U$5))+INTERCEPT('Raw touched'!$E122:$U122,$E$5:$U$5)),'Raw touched'!U122)</f>
        <v>#DIV/0!</v>
      </c>
    </row>
    <row r="123" spans="3:21" ht="13">
      <c r="C123" s="1" t="s">
        <v>165</v>
      </c>
      <c r="D123" s="1" t="s">
        <v>173</v>
      </c>
      <c r="E123" s="4">
        <f>IF(ISBLANK('Raw touched'!E123),((E$5*SLOPE('Raw touched'!$E123:$U123,$E$5:$U$5))+INTERCEPT('Raw touched'!$E123:$U123,$E$5:$U$5)),'Raw touched'!E123)</f>
        <v>50.200000760000002</v>
      </c>
      <c r="F123" s="4">
        <f>IF(ISBLANK('Raw touched'!F123),((F$5*SLOPE('Raw touched'!$E123:$U123,$E$5:$U$5))+INTERCEPT('Raw touched'!$E123:$U123,$E$5:$U$5)),'Raw touched'!F123)</f>
        <v>50.200000760000002</v>
      </c>
      <c r="G123" s="4">
        <f>IF(ISBLANK('Raw touched'!G123),((G$5*SLOPE('Raw touched'!$E123:$U123,$E$5:$U$5))+INTERCEPT('Raw touched'!$E123:$U123,$E$5:$U$5)),'Raw touched'!G123)</f>
        <v>52.299999239999998</v>
      </c>
      <c r="H123" s="4">
        <f>IF(ISBLANK('Raw touched'!H123),((H$5*SLOPE('Raw touched'!$E123:$U123,$E$5:$U$5))+INTERCEPT('Raw touched'!$E123:$U123,$E$5:$U$5)),'Raw touched'!H123)</f>
        <v>52.299999239999998</v>
      </c>
      <c r="I123" s="4">
        <f>IF(ISBLANK('Raw touched'!I123),((I$5*SLOPE('Raw touched'!$E123:$U123,$E$5:$U$5))+INTERCEPT('Raw touched'!$E123:$U123,$E$5:$U$5)),'Raw touched'!I123)</f>
        <v>56.299999239999998</v>
      </c>
      <c r="J123" s="4">
        <f>IF(ISBLANK('Raw touched'!J123),((J$5*SLOPE('Raw touched'!$E123:$U123,$E$5:$U$5))+INTERCEPT('Raw touched'!$E123:$U123,$E$5:$U$5)),'Raw touched'!J123)</f>
        <v>56.41999817</v>
      </c>
      <c r="K123" s="4">
        <f>IF(ISBLANK('Raw touched'!K123),((K$5*SLOPE('Raw touched'!$E123:$U123,$E$5:$U$5))+INTERCEPT('Raw touched'!$E123:$U123,$E$5:$U$5)),'Raw touched'!K123)</f>
        <v>56.41999817</v>
      </c>
      <c r="L123" s="4">
        <f>IF(ISBLANK('Raw touched'!L123),((L$5*SLOPE('Raw touched'!$E123:$U123,$E$5:$U$5))+INTERCEPT('Raw touched'!$E123:$U123,$E$5:$U$5)),'Raw touched'!L123)</f>
        <v>56.41999817</v>
      </c>
      <c r="M123" s="4">
        <f>IF(ISBLANK('Raw touched'!M123),((M$5*SLOPE('Raw touched'!$E123:$U123,$E$5:$U$5))+INTERCEPT('Raw touched'!$E123:$U123,$E$5:$U$5)),'Raw touched'!M123)</f>
        <v>56.900001529999997</v>
      </c>
      <c r="N123" s="4">
        <f>IF(ISBLANK('Raw touched'!N123),((N$5*SLOPE('Raw touched'!$E123:$U123,$E$5:$U$5))+INTERCEPT('Raw touched'!$E123:$U123,$E$5:$U$5)),'Raw touched'!N123)</f>
        <v>56.900001529999997</v>
      </c>
      <c r="O123" s="4">
        <f>IF(ISBLANK('Raw touched'!O123),((O$5*SLOPE('Raw touched'!$E123:$U123,$E$5:$U$5))+INTERCEPT('Raw touched'!$E123:$U123,$E$5:$U$5)),'Raw touched'!O123)</f>
        <v>61.88999939</v>
      </c>
      <c r="P123" s="4">
        <f>IF(ISBLANK('Raw touched'!P123),((P$5*SLOPE('Raw touched'!$E123:$U123,$E$5:$U$5))+INTERCEPT('Raw touched'!$E123:$U123,$E$5:$U$5)),'Raw touched'!P123)</f>
        <v>61.88999939</v>
      </c>
      <c r="Q123" s="4">
        <f>IF(ISBLANK('Raw touched'!Q123),((Q$5*SLOPE('Raw touched'!$E123:$U123,$E$5:$U$5))+INTERCEPT('Raw touched'!$E123:$U123,$E$5:$U$5)),'Raw touched'!Q123)</f>
        <v>61.98</v>
      </c>
      <c r="R123" s="4">
        <f>IF(ISBLANK('Raw touched'!R123),((R$5*SLOPE('Raw touched'!$E123:$U123,$E$5:$U$5))+INTERCEPT('Raw touched'!$E123:$U123,$E$5:$U$5)),'Raw touched'!R123)</f>
        <v>67.77</v>
      </c>
      <c r="S123" s="4">
        <f>IF(ISBLANK('Raw touched'!S123),((S$5*SLOPE('Raw touched'!$E123:$U123,$E$5:$U$5))+INTERCEPT('Raw touched'!$E123:$U123,$E$5:$U$5)),'Raw touched'!S123)</f>
        <v>65.495494284285996</v>
      </c>
      <c r="T123" s="4">
        <f>IF(ISBLANK('Raw touched'!T123),((T$5*SLOPE('Raw touched'!$E123:$U123,$E$5:$U$5))+INTERCEPT('Raw touched'!$E123:$U123,$E$5:$U$5)),'Raw touched'!T123)</f>
        <v>66.629274516571968</v>
      </c>
      <c r="U123" s="4">
        <f>IF(ISBLANK('Raw touched'!U123),((U$5*SLOPE('Raw touched'!$E123:$U123,$E$5:$U$5))+INTERCEPT('Raw touched'!$E123:$U123,$E$5:$U$5)),'Raw touched'!U123)</f>
        <v>67.763054748857485</v>
      </c>
    </row>
    <row r="124" spans="3:21" ht="13">
      <c r="C124" s="1" t="s">
        <v>180</v>
      </c>
      <c r="D124" s="1" t="s">
        <v>307</v>
      </c>
      <c r="E124" s="4">
        <f>IF(ISBLANK('Raw touched'!E124),((E$5*SLOPE('Raw touched'!$E124:$U124,$E$5:$U$5))+INTERCEPT('Raw touched'!$E124:$U124,$E$5:$U$5)),'Raw touched'!E124)</f>
        <v>18.600000380000001</v>
      </c>
      <c r="F124" s="4">
        <f>IF(ISBLANK('Raw touched'!F124),((F$5*SLOPE('Raw touched'!$E124:$U124,$E$5:$U$5))+INTERCEPT('Raw touched'!$E124:$U124,$E$5:$U$5)),'Raw touched'!F124)</f>
        <v>18.700000760000002</v>
      </c>
      <c r="G124" s="4">
        <f>IF(ISBLANK('Raw touched'!G124),((G$5*SLOPE('Raw touched'!$E124:$U124,$E$5:$U$5))+INTERCEPT('Raw touched'!$E124:$U124,$E$5:$U$5)),'Raw touched'!G124)</f>
        <v>18.700000760000002</v>
      </c>
      <c r="H124" s="4">
        <f>IF(ISBLANK('Raw touched'!H124),((H$5*SLOPE('Raw touched'!$E124:$U124,$E$5:$U$5))+INTERCEPT('Raw touched'!$E124:$U124,$E$5:$U$5)),'Raw touched'!H124)</f>
        <v>18.700000760000002</v>
      </c>
      <c r="I124" s="4">
        <f>IF(ISBLANK('Raw touched'!I124),((I$5*SLOPE('Raw touched'!$E124:$U124,$E$5:$U$5))+INTERCEPT('Raw touched'!$E124:$U124,$E$5:$U$5)),'Raw touched'!I124)</f>
        <v>18.700000760000002</v>
      </c>
      <c r="J124" s="4">
        <f>IF(ISBLANK('Raw touched'!J124),((J$5*SLOPE('Raw touched'!$E124:$U124,$E$5:$U$5))+INTERCEPT('Raw touched'!$E124:$U124,$E$5:$U$5)),'Raw touched'!J124)</f>
        <v>18.700000760000002</v>
      </c>
      <c r="K124" s="4">
        <f>IF(ISBLANK('Raw touched'!K124),((K$5*SLOPE('Raw touched'!$E124:$U124,$E$5:$U$5))+INTERCEPT('Raw touched'!$E124:$U124,$E$5:$U$5)),'Raw touched'!K124)</f>
        <v>18.700000760000002</v>
      </c>
      <c r="L124" s="4">
        <f>IF(ISBLANK('Raw touched'!L124),((L$5*SLOPE('Raw touched'!$E124:$U124,$E$5:$U$5))+INTERCEPT('Raw touched'!$E124:$U124,$E$5:$U$5)),'Raw touched'!L124)</f>
        <v>19.390952878571454</v>
      </c>
      <c r="M124" s="4">
        <f>IF(ISBLANK('Raw touched'!M124),((M$5*SLOPE('Raw touched'!$E124:$U124,$E$5:$U$5))+INTERCEPT('Raw touched'!$E124:$U124,$E$5:$U$5)),'Raw touched'!M124)</f>
        <v>19.552208246233761</v>
      </c>
      <c r="N124" s="4">
        <f>IF(ISBLANK('Raw touched'!N124),((N$5*SLOPE('Raw touched'!$E124:$U124,$E$5:$U$5))+INTERCEPT('Raw touched'!$E124:$U124,$E$5:$U$5)),'Raw touched'!N124)</f>
        <v>19.713463613896124</v>
      </c>
      <c r="O124" s="4">
        <f>IF(ISBLANK('Raw touched'!O124),((O$5*SLOPE('Raw touched'!$E124:$U124,$E$5:$U$5))+INTERCEPT('Raw touched'!$E124:$U124,$E$5:$U$5)),'Raw touched'!O124)</f>
        <v>19.874718981558431</v>
      </c>
      <c r="P124" s="4">
        <f>IF(ISBLANK('Raw touched'!P124),((P$5*SLOPE('Raw touched'!$E124:$U124,$E$5:$U$5))+INTERCEPT('Raw touched'!$E124:$U124,$E$5:$U$5)),'Raw touched'!P124)</f>
        <v>20.035974349220794</v>
      </c>
      <c r="Q124" s="4">
        <f>IF(ISBLANK('Raw touched'!Q124),((Q$5*SLOPE('Raw touched'!$E124:$U124,$E$5:$U$5))+INTERCEPT('Raw touched'!$E124:$U124,$E$5:$U$5)),'Raw touched'!Q124)</f>
        <v>20.197229716883157</v>
      </c>
      <c r="R124" s="4">
        <f>IF(ISBLANK('Raw touched'!R124),((R$5*SLOPE('Raw touched'!$E124:$U124,$E$5:$U$5))+INTERCEPT('Raw touched'!$E124:$U124,$E$5:$U$5)),'Raw touched'!R124)</f>
        <v>20.78</v>
      </c>
      <c r="S124" s="4">
        <f>IF(ISBLANK('Raw touched'!S124),((S$5*SLOPE('Raw touched'!$E124:$U124,$E$5:$U$5))+INTERCEPT('Raw touched'!$E124:$U124,$E$5:$U$5)),'Raw touched'!S124)</f>
        <v>20.519740452207827</v>
      </c>
      <c r="T124" s="4">
        <f>IF(ISBLANK('Raw touched'!T124),((T$5*SLOPE('Raw touched'!$E124:$U124,$E$5:$U$5))+INTERCEPT('Raw touched'!$E124:$U124,$E$5:$U$5)),'Raw touched'!T124)</f>
        <v>20.680995819870134</v>
      </c>
      <c r="U124" s="4">
        <f>IF(ISBLANK('Raw touched'!U124),((U$5*SLOPE('Raw touched'!$E124:$U124,$E$5:$U$5))+INTERCEPT('Raw touched'!$E124:$U124,$E$5:$U$5)),'Raw touched'!U124)</f>
        <v>20.842251187532497</v>
      </c>
    </row>
    <row r="125" spans="3:21" ht="13">
      <c r="C125" s="1" t="s">
        <v>205</v>
      </c>
      <c r="D125" s="1" t="s">
        <v>357</v>
      </c>
      <c r="E125" s="4">
        <f>IF(ISBLANK('Raw touched'!E125),((E$5*SLOPE('Raw touched'!$E125:$U125,$E$5:$U$5))+INTERCEPT('Raw touched'!$E125:$U125,$E$5:$U$5)),'Raw touched'!E125)</f>
        <v>12.100000380000001</v>
      </c>
      <c r="F125" s="4">
        <f>IF(ISBLANK('Raw touched'!F125),((F$5*SLOPE('Raw touched'!$E125:$U125,$E$5:$U$5))+INTERCEPT('Raw touched'!$E125:$U125,$E$5:$U$5)),'Raw touched'!F125)</f>
        <v>12.19999981</v>
      </c>
      <c r="G125" s="4">
        <f>IF(ISBLANK('Raw touched'!G125),((G$5*SLOPE('Raw touched'!$E125:$U125,$E$5:$U$5))+INTERCEPT('Raw touched'!$E125:$U125,$E$5:$U$5)),'Raw touched'!G125)</f>
        <v>11.88535475535484</v>
      </c>
      <c r="H125" s="4">
        <f>IF(ISBLANK('Raw touched'!H125),((H$5*SLOPE('Raw touched'!$E125:$U125,$E$5:$U$5))+INTERCEPT('Raw touched'!$E125:$U125,$E$5:$U$5)),'Raw touched'!H125)</f>
        <v>11.84567735067742</v>
      </c>
      <c r="I125" s="4">
        <f>IF(ISBLANK('Raw touched'!I125),((I$5*SLOPE('Raw touched'!$E125:$U125,$E$5:$U$5))+INTERCEPT('Raw touched'!$E125:$U125,$E$5:$U$5)),'Raw touched'!I125)</f>
        <v>11.43999958</v>
      </c>
      <c r="J125" s="4">
        <f>IF(ISBLANK('Raw touched'!J125),((J$5*SLOPE('Raw touched'!$E125:$U125,$E$5:$U$5))+INTERCEPT('Raw touched'!$E125:$U125,$E$5:$U$5)),'Raw touched'!J125)</f>
        <v>11.43999958</v>
      </c>
      <c r="K125" s="4">
        <f>IF(ISBLANK('Raw touched'!K125),((K$5*SLOPE('Raw touched'!$E125:$U125,$E$5:$U$5))+INTERCEPT('Raw touched'!$E125:$U125,$E$5:$U$5)),'Raw touched'!K125)</f>
        <v>11.726645136645161</v>
      </c>
      <c r="L125" s="4">
        <f>IF(ISBLANK('Raw touched'!L125),((L$5*SLOPE('Raw touched'!$E125:$U125,$E$5:$U$5))+INTERCEPT('Raw touched'!$E125:$U125,$E$5:$U$5)),'Raw touched'!L125)</f>
        <v>11.686967731967755</v>
      </c>
      <c r="M125" s="4">
        <f>IF(ISBLANK('Raw touched'!M125),((M$5*SLOPE('Raw touched'!$E125:$U125,$E$5:$U$5))+INTERCEPT('Raw touched'!$E125:$U125,$E$5:$U$5)),'Raw touched'!M125)</f>
        <v>11.647290327290335</v>
      </c>
      <c r="N125" s="4">
        <f>IF(ISBLANK('Raw touched'!N125),((N$5*SLOPE('Raw touched'!$E125:$U125,$E$5:$U$5))+INTERCEPT('Raw touched'!$E125:$U125,$E$5:$U$5)),'Raw touched'!N125)</f>
        <v>11.607612922612915</v>
      </c>
      <c r="O125" s="4">
        <f>IF(ISBLANK('Raw touched'!O125),((O$5*SLOPE('Raw touched'!$E125:$U125,$E$5:$U$5))+INTERCEPT('Raw touched'!$E125:$U125,$E$5:$U$5)),'Raw touched'!O125)</f>
        <v>11.850000380000001</v>
      </c>
      <c r="P125" s="4">
        <f>IF(ISBLANK('Raw touched'!P125),((P$5*SLOPE('Raw touched'!$E125:$U125,$E$5:$U$5))+INTERCEPT('Raw touched'!$E125:$U125,$E$5:$U$5)),'Raw touched'!P125)</f>
        <v>11.528258113258076</v>
      </c>
      <c r="Q125" s="4">
        <f>IF(ISBLANK('Raw touched'!Q125),((Q$5*SLOPE('Raw touched'!$E125:$U125,$E$5:$U$5))+INTERCEPT('Raw touched'!$E125:$U125,$E$5:$U$5)),'Raw touched'!Q125)</f>
        <v>11.488580708580656</v>
      </c>
      <c r="R125" s="4">
        <f>IF(ISBLANK('Raw touched'!R125),((R$5*SLOPE('Raw touched'!$E125:$U125,$E$5:$U$5))+INTERCEPT('Raw touched'!$E125:$U125,$E$5:$U$5)),'Raw touched'!R125)</f>
        <v>11.448903303903236</v>
      </c>
      <c r="S125" s="4">
        <f>IF(ISBLANK('Raw touched'!S125),((S$5*SLOPE('Raw touched'!$E125:$U125,$E$5:$U$5))+INTERCEPT('Raw touched'!$E125:$U125,$E$5:$U$5)),'Raw touched'!S125)</f>
        <v>11.409225899225817</v>
      </c>
      <c r="T125" s="4">
        <f>IF(ISBLANK('Raw touched'!T125),((T$5*SLOPE('Raw touched'!$E125:$U125,$E$5:$U$5))+INTERCEPT('Raw touched'!$E125:$U125,$E$5:$U$5)),'Raw touched'!T125)</f>
        <v>11.369548494548397</v>
      </c>
      <c r="U125" s="4">
        <f>IF(ISBLANK('Raw touched'!U125),((U$5*SLOPE('Raw touched'!$E125:$U125,$E$5:$U$5))+INTERCEPT('Raw touched'!$E125:$U125,$E$5:$U$5)),'Raw touched'!U125)</f>
        <v>11.329871089870977</v>
      </c>
    </row>
    <row r="126" spans="3:21" ht="13">
      <c r="C126" s="1" t="s">
        <v>30</v>
      </c>
      <c r="D126" s="1" t="s">
        <v>137</v>
      </c>
      <c r="E126" s="4">
        <f>IF(ISBLANK('Raw touched'!E126),((E$5*SLOPE('Raw touched'!$E126:$U126,$E$5:$U$5))+INTERCEPT('Raw touched'!$E126:$U126,$E$5:$U$5)),'Raw touched'!E126)</f>
        <v>7.9000000950000002</v>
      </c>
      <c r="F126" s="4">
        <f>IF(ISBLANK('Raw touched'!F126),((F$5*SLOPE('Raw touched'!$E126:$U126,$E$5:$U$5))+INTERCEPT('Raw touched'!$E126:$U126,$E$5:$U$5)),'Raw touched'!F126)</f>
        <v>11.399999619999999</v>
      </c>
      <c r="G126" s="4">
        <f>IF(ISBLANK('Raw touched'!G126),((G$5*SLOPE('Raw touched'!$E126:$U126,$E$5:$U$5))+INTERCEPT('Raw touched'!$E126:$U126,$E$5:$U$5)),'Raw touched'!G126)</f>
        <v>13.19999981</v>
      </c>
      <c r="H126" s="4">
        <f>IF(ISBLANK('Raw touched'!H126),((H$5*SLOPE('Raw touched'!$E126:$U126,$E$5:$U$5))+INTERCEPT('Raw touched'!$E126:$U126,$E$5:$U$5)),'Raw touched'!H126)</f>
        <v>13.5</v>
      </c>
      <c r="I126" s="4">
        <f>IF(ISBLANK('Raw touched'!I126),((I$5*SLOPE('Raw touched'!$E126:$U126,$E$5:$U$5))+INTERCEPT('Raw touched'!$E126:$U126,$E$5:$U$5)),'Raw touched'!I126)</f>
        <v>13.600000380000001</v>
      </c>
      <c r="J126" s="4">
        <f>IF(ISBLANK('Raw touched'!J126),((J$5*SLOPE('Raw touched'!$E126:$U126,$E$5:$U$5))+INTERCEPT('Raw touched'!$E126:$U126,$E$5:$U$5)),'Raw touched'!J126)</f>
        <v>13.27297311675693</v>
      </c>
      <c r="K126" s="4">
        <f>IF(ISBLANK('Raw touched'!K126),((K$5*SLOPE('Raw touched'!$E126:$U126,$E$5:$U$5))+INTERCEPT('Raw touched'!$E126:$U126,$E$5:$U$5)),'Raw touched'!K126)</f>
        <v>13.829729932567716</v>
      </c>
      <c r="L126" s="4">
        <f>IF(ISBLANK('Raw touched'!L126),((L$5*SLOPE('Raw touched'!$E126:$U126,$E$5:$U$5))+INTERCEPT('Raw touched'!$E126:$U126,$E$5:$U$5)),'Raw touched'!L126)</f>
        <v>12.80000019</v>
      </c>
      <c r="M126" s="4">
        <f>IF(ISBLANK('Raw touched'!M126),((M$5*SLOPE('Raw touched'!$E126:$U126,$E$5:$U$5))+INTERCEPT('Raw touched'!$E126:$U126,$E$5:$U$5)),'Raw touched'!M126)</f>
        <v>14.943243564189288</v>
      </c>
      <c r="N126" s="4">
        <f>IF(ISBLANK('Raw touched'!N126),((N$5*SLOPE('Raw touched'!$E126:$U126,$E$5:$U$5))+INTERCEPT('Raw touched'!$E126:$U126,$E$5:$U$5)),'Raw touched'!N126)</f>
        <v>15.500000380000074</v>
      </c>
      <c r="O126" s="4">
        <f>IF(ISBLANK('Raw touched'!O126),((O$5*SLOPE('Raw touched'!$E126:$U126,$E$5:$U$5))+INTERCEPT('Raw touched'!$E126:$U126,$E$5:$U$5)),'Raw touched'!O126)</f>
        <v>16.05675719581086</v>
      </c>
      <c r="P126" s="4">
        <f>IF(ISBLANK('Raw touched'!P126),((P$5*SLOPE('Raw touched'!$E126:$U126,$E$5:$U$5))+INTERCEPT('Raw touched'!$E126:$U126,$E$5:$U$5)),'Raw touched'!P126)</f>
        <v>16.613514011621646</v>
      </c>
      <c r="Q126" s="4">
        <f>IF(ISBLANK('Raw touched'!Q126),((Q$5*SLOPE('Raw touched'!$E126:$U126,$E$5:$U$5))+INTERCEPT('Raw touched'!$E126:$U126,$E$5:$U$5)),'Raw touched'!Q126)</f>
        <v>17.170270827432432</v>
      </c>
      <c r="R126" s="4">
        <f>IF(ISBLANK('Raw touched'!R126),((R$5*SLOPE('Raw touched'!$E126:$U126,$E$5:$U$5))+INTERCEPT('Raw touched'!$E126:$U126,$E$5:$U$5)),'Raw touched'!R126)</f>
        <v>17.727027643243446</v>
      </c>
      <c r="S126" s="4">
        <f>IF(ISBLANK('Raw touched'!S126),((S$5*SLOPE('Raw touched'!$E126:$U126,$E$5:$U$5))+INTERCEPT('Raw touched'!$E126:$U126,$E$5:$U$5)),'Raw touched'!S126)</f>
        <v>18.283784459054232</v>
      </c>
      <c r="T126" s="4">
        <f>IF(ISBLANK('Raw touched'!T126),((T$5*SLOPE('Raw touched'!$E126:$U126,$E$5:$U$5))+INTERCEPT('Raw touched'!$E126:$U126,$E$5:$U$5)),'Raw touched'!T126)</f>
        <v>18.840541274865018</v>
      </c>
      <c r="U126" s="4">
        <f>IF(ISBLANK('Raw touched'!U126),((U$5*SLOPE('Raw touched'!$E126:$U126,$E$5:$U$5))+INTERCEPT('Raw touched'!$E126:$U126,$E$5:$U$5)),'Raw touched'!U126)</f>
        <v>19.397298090675804</v>
      </c>
    </row>
    <row r="127" spans="3:21" ht="13">
      <c r="C127" s="1" t="s">
        <v>361</v>
      </c>
      <c r="D127" s="1" t="s">
        <v>337</v>
      </c>
      <c r="E127" s="4" t="e">
        <f>IF(ISBLANK('Raw touched'!E127),((E$5*SLOPE('Raw touched'!$E127:$U127,$E$5:$U$5))+INTERCEPT('Raw touched'!$E127:$U127,$E$5:$U$5)),'Raw touched'!E127)</f>
        <v>#N/A</v>
      </c>
      <c r="F127" s="4" t="e">
        <f>IF(ISBLANK('Raw touched'!F127),((F$5*SLOPE('Raw touched'!$E127:$U127,$E$5:$U$5))+INTERCEPT('Raw touched'!$E127:$U127,$E$5:$U$5)),'Raw touched'!F127)</f>
        <v>#N/A</v>
      </c>
      <c r="G127" s="4" t="e">
        <f>IF(ISBLANK('Raw touched'!G127),((G$5*SLOPE('Raw touched'!$E127:$U127,$E$5:$U$5))+INTERCEPT('Raw touched'!$E127:$U127,$E$5:$U$5)),'Raw touched'!G127)</f>
        <v>#N/A</v>
      </c>
      <c r="H127" s="4" t="e">
        <f>IF(ISBLANK('Raw touched'!H127),((H$5*SLOPE('Raw touched'!$E127:$U127,$E$5:$U$5))+INTERCEPT('Raw touched'!$E127:$U127,$E$5:$U$5)),'Raw touched'!H127)</f>
        <v>#N/A</v>
      </c>
      <c r="I127" s="4" t="e">
        <f>IF(ISBLANK('Raw touched'!I127),((I$5*SLOPE('Raw touched'!$E127:$U127,$E$5:$U$5))+INTERCEPT('Raw touched'!$E127:$U127,$E$5:$U$5)),'Raw touched'!I127)</f>
        <v>#N/A</v>
      </c>
      <c r="J127" s="4" t="e">
        <f>IF(ISBLANK('Raw touched'!J127),((J$5*SLOPE('Raw touched'!$E127:$U127,$E$5:$U$5))+INTERCEPT('Raw touched'!$E127:$U127,$E$5:$U$5)),'Raw touched'!J127)</f>
        <v>#N/A</v>
      </c>
      <c r="K127" s="4" t="e">
        <f>IF(ISBLANK('Raw touched'!K127),((K$5*SLOPE('Raw touched'!$E127:$U127,$E$5:$U$5))+INTERCEPT('Raw touched'!$E127:$U127,$E$5:$U$5)),'Raw touched'!K127)</f>
        <v>#N/A</v>
      </c>
      <c r="L127" s="4" t="e">
        <f>IF(ISBLANK('Raw touched'!L127),((L$5*SLOPE('Raw touched'!$E127:$U127,$E$5:$U$5))+INTERCEPT('Raw touched'!$E127:$U127,$E$5:$U$5)),'Raw touched'!L127)</f>
        <v>#N/A</v>
      </c>
      <c r="M127" s="4" t="e">
        <f>IF(ISBLANK('Raw touched'!M127),((M$5*SLOPE('Raw touched'!$E127:$U127,$E$5:$U$5))+INTERCEPT('Raw touched'!$E127:$U127,$E$5:$U$5)),'Raw touched'!M127)</f>
        <v>#N/A</v>
      </c>
      <c r="N127" s="4" t="e">
        <f>IF(ISBLANK('Raw touched'!N127),((N$5*SLOPE('Raw touched'!$E127:$U127,$E$5:$U$5))+INTERCEPT('Raw touched'!$E127:$U127,$E$5:$U$5)),'Raw touched'!N127)</f>
        <v>#N/A</v>
      </c>
      <c r="O127" s="4" t="e">
        <f>IF(ISBLANK('Raw touched'!O127),((O$5*SLOPE('Raw touched'!$E127:$U127,$E$5:$U$5))+INTERCEPT('Raw touched'!$E127:$U127,$E$5:$U$5)),'Raw touched'!O127)</f>
        <v>#N/A</v>
      </c>
      <c r="P127" s="4" t="e">
        <f>IF(ISBLANK('Raw touched'!P127),((P$5*SLOPE('Raw touched'!$E127:$U127,$E$5:$U$5))+INTERCEPT('Raw touched'!$E127:$U127,$E$5:$U$5)),'Raw touched'!P127)</f>
        <v>#N/A</v>
      </c>
      <c r="Q127" s="4" t="e">
        <f>IF(ISBLANK('Raw touched'!Q127),((Q$5*SLOPE('Raw touched'!$E127:$U127,$E$5:$U$5))+INTERCEPT('Raw touched'!$E127:$U127,$E$5:$U$5)),'Raw touched'!Q127)</f>
        <v>#N/A</v>
      </c>
      <c r="R127" s="4" t="e">
        <f>IF(ISBLANK('Raw touched'!R127),((R$5*SLOPE('Raw touched'!$E127:$U127,$E$5:$U$5))+INTERCEPT('Raw touched'!$E127:$U127,$E$5:$U$5)),'Raw touched'!R127)</f>
        <v>#N/A</v>
      </c>
      <c r="S127" s="4" t="e">
        <f>IF(ISBLANK('Raw touched'!S127),((S$5*SLOPE('Raw touched'!$E127:$U127,$E$5:$U$5))+INTERCEPT('Raw touched'!$E127:$U127,$E$5:$U$5)),'Raw touched'!S127)</f>
        <v>#N/A</v>
      </c>
      <c r="T127" s="4" t="e">
        <f>IF(ISBLANK('Raw touched'!T127),((T$5*SLOPE('Raw touched'!$E127:$U127,$E$5:$U$5))+INTERCEPT('Raw touched'!$E127:$U127,$E$5:$U$5)),'Raw touched'!T127)</f>
        <v>#N/A</v>
      </c>
      <c r="U127" s="4" t="e">
        <f>IF(ISBLANK('Raw touched'!U127),((U$5*SLOPE('Raw touched'!$E127:$U127,$E$5:$U$5))+INTERCEPT('Raw touched'!$E127:$U127,$E$5:$U$5)),'Raw touched'!U127)</f>
        <v>#N/A</v>
      </c>
    </row>
    <row r="128" spans="3:21" ht="13">
      <c r="C128" s="1" t="s">
        <v>212</v>
      </c>
      <c r="D128" s="1" t="s">
        <v>156</v>
      </c>
      <c r="E128" s="4">
        <f>IF(ISBLANK('Raw touched'!E128),((E$5*SLOPE('Raw touched'!$E128:$U128,$E$5:$U$5))+INTERCEPT('Raw touched'!$E128:$U128,$E$5:$U$5)),'Raw touched'!E128)</f>
        <v>41.400001529999997</v>
      </c>
      <c r="F128" s="4">
        <f>IF(ISBLANK('Raw touched'!F128),((F$5*SLOPE('Raw touched'!$E128:$U128,$E$5:$U$5))+INTERCEPT('Raw touched'!$E128:$U128,$E$5:$U$5)),'Raw touched'!F128)</f>
        <v>41.5</v>
      </c>
      <c r="G128" s="4">
        <f>IF(ISBLANK('Raw touched'!G128),((G$5*SLOPE('Raw touched'!$E128:$U128,$E$5:$U$5))+INTERCEPT('Raw touched'!$E128:$U128,$E$5:$U$5)),'Raw touched'!G128)</f>
        <v>43.981190240616797</v>
      </c>
      <c r="H128" s="4">
        <f>IF(ISBLANK('Raw touched'!H128),((H$5*SLOPE('Raw touched'!$E128:$U128,$E$5:$U$5))+INTERCEPT('Raw touched'!$E128:$U128,$E$5:$U$5)),'Raw touched'!H128)</f>
        <v>45.480925856035356</v>
      </c>
      <c r="I128" s="4">
        <f>IF(ISBLANK('Raw touched'!I128),((I$5*SLOPE('Raw touched'!$E128:$U128,$E$5:$U$5))+INTERCEPT('Raw touched'!$E128:$U128,$E$5:$U$5)),'Raw touched'!I128)</f>
        <v>46.980661471453914</v>
      </c>
      <c r="J128" s="4">
        <f>IF(ISBLANK('Raw touched'!J128),((J$5*SLOPE('Raw touched'!$E128:$U128,$E$5:$U$5))+INTERCEPT('Raw touched'!$E128:$U128,$E$5:$U$5)),'Raw touched'!J128)</f>
        <v>48.480397086872472</v>
      </c>
      <c r="K128" s="4">
        <f>IF(ISBLANK('Raw touched'!K128),((K$5*SLOPE('Raw touched'!$E128:$U128,$E$5:$U$5))+INTERCEPT('Raw touched'!$E128:$U128,$E$5:$U$5)),'Raw touched'!K128)</f>
        <v>49.98013270229103</v>
      </c>
      <c r="L128" s="4">
        <f>IF(ISBLANK('Raw touched'!L128),((L$5*SLOPE('Raw touched'!$E128:$U128,$E$5:$U$5))+INTERCEPT('Raw touched'!$E128:$U128,$E$5:$U$5)),'Raw touched'!L128)</f>
        <v>51.479868317709588</v>
      </c>
      <c r="M128" s="4">
        <f>IF(ISBLANK('Raw touched'!M128),((M$5*SLOPE('Raw touched'!$E128:$U128,$E$5:$U$5))+INTERCEPT('Raw touched'!$E128:$U128,$E$5:$U$5)),'Raw touched'!M128)</f>
        <v>53.900001529999997</v>
      </c>
      <c r="N128" s="4">
        <f>IF(ISBLANK('Raw touched'!N128),((N$5*SLOPE('Raw touched'!$E128:$U128,$E$5:$U$5))+INTERCEPT('Raw touched'!$E128:$U128,$E$5:$U$5)),'Raw touched'!N128)</f>
        <v>55.66</v>
      </c>
      <c r="O128" s="4">
        <f>IF(ISBLANK('Raw touched'!O128),((O$5*SLOPE('Raw touched'!$E128:$U128,$E$5:$U$5))+INTERCEPT('Raw touched'!$E128:$U128,$E$5:$U$5)),'Raw touched'!O128)</f>
        <v>56.07</v>
      </c>
      <c r="P128" s="4">
        <f>IF(ISBLANK('Raw touched'!P128),((P$5*SLOPE('Raw touched'!$E128:$U128,$E$5:$U$5))+INTERCEPT('Raw touched'!$E128:$U128,$E$5:$U$5)),'Raw touched'!P128)</f>
        <v>55.85</v>
      </c>
      <c r="Q128" s="4">
        <f>IF(ISBLANK('Raw touched'!Q128),((Q$5*SLOPE('Raw touched'!$E128:$U128,$E$5:$U$5))+INTERCEPT('Raw touched'!$E128:$U128,$E$5:$U$5)),'Raw touched'!Q128)</f>
        <v>58.978546394801924</v>
      </c>
      <c r="R128" s="4">
        <f>IF(ISBLANK('Raw touched'!R128),((R$5*SLOPE('Raw touched'!$E128:$U128,$E$5:$U$5))+INTERCEPT('Raw touched'!$E128:$U128,$E$5:$U$5)),'Raw touched'!R128)</f>
        <v>60.478282010220482</v>
      </c>
      <c r="S128" s="4">
        <f>IF(ISBLANK('Raw touched'!S128),((S$5*SLOPE('Raw touched'!$E128:$U128,$E$5:$U$5))+INTERCEPT('Raw touched'!$E128:$U128,$E$5:$U$5)),'Raw touched'!S128)</f>
        <v>61.97801762563904</v>
      </c>
      <c r="T128" s="4">
        <f>IF(ISBLANK('Raw touched'!T128),((T$5*SLOPE('Raw touched'!$E128:$U128,$E$5:$U$5))+INTERCEPT('Raw touched'!$E128:$U128,$E$5:$U$5)),'Raw touched'!T128)</f>
        <v>63.477753241057599</v>
      </c>
      <c r="U128" s="4">
        <f>IF(ISBLANK('Raw touched'!U128),((U$5*SLOPE('Raw touched'!$E128:$U128,$E$5:$U$5))+INTERCEPT('Raw touched'!$E128:$U128,$E$5:$U$5)),'Raw touched'!U128)</f>
        <v>64.977488856476157</v>
      </c>
    </row>
    <row r="129" spans="3:21" ht="13">
      <c r="C129" s="1" t="s">
        <v>270</v>
      </c>
      <c r="D129" s="1" t="s">
        <v>386</v>
      </c>
      <c r="E129" s="4">
        <f>IF(ISBLANK('Raw touched'!E129),((E$5*SLOPE('Raw touched'!$E129:$U129,$E$5:$U$5))+INTERCEPT('Raw touched'!$E129:$U129,$E$5:$U$5)),'Raw touched'!E129)</f>
        <v>90</v>
      </c>
      <c r="F129" s="4">
        <f>IF(ISBLANK('Raw touched'!F129),((F$5*SLOPE('Raw touched'!$E129:$U129,$E$5:$U$5))+INTERCEPT('Raw touched'!$E129:$U129,$E$5:$U$5)),'Raw touched'!F129)</f>
        <v>90</v>
      </c>
      <c r="G129" s="4">
        <f>IF(ISBLANK('Raw touched'!G129),((G$5*SLOPE('Raw touched'!$E129:$U129,$E$5:$U$5))+INTERCEPT('Raw touched'!$E129:$U129,$E$5:$U$5)),'Raw touched'!G129)</f>
        <v>90</v>
      </c>
      <c r="H129" s="4">
        <f>IF(ISBLANK('Raw touched'!H129),((H$5*SLOPE('Raw touched'!$E129:$U129,$E$5:$U$5))+INTERCEPT('Raw touched'!$E129:$U129,$E$5:$U$5)),'Raw touched'!H129)</f>
        <v>90</v>
      </c>
      <c r="I129" s="4">
        <f>IF(ISBLANK('Raw touched'!I129),((I$5*SLOPE('Raw touched'!$E129:$U129,$E$5:$U$5))+INTERCEPT('Raw touched'!$E129:$U129,$E$5:$U$5)),'Raw touched'!I129)</f>
        <v>90</v>
      </c>
      <c r="J129" s="4">
        <f>IF(ISBLANK('Raw touched'!J129),((J$5*SLOPE('Raw touched'!$E129:$U129,$E$5:$U$5))+INTERCEPT('Raw touched'!$E129:$U129,$E$5:$U$5)),'Raw touched'!J129)</f>
        <v>90</v>
      </c>
      <c r="K129" s="4">
        <f>IF(ISBLANK('Raw touched'!K129),((K$5*SLOPE('Raw touched'!$E129:$U129,$E$5:$U$5))+INTERCEPT('Raw touched'!$E129:$U129,$E$5:$U$5)),'Raw touched'!K129)</f>
        <v>90</v>
      </c>
      <c r="L129" s="4">
        <f>IF(ISBLANK('Raw touched'!L129),((L$5*SLOPE('Raw touched'!$E129:$U129,$E$5:$U$5))+INTERCEPT('Raw touched'!$E129:$U129,$E$5:$U$5)),'Raw touched'!L129)</f>
        <v>90</v>
      </c>
      <c r="M129" s="4">
        <f>IF(ISBLANK('Raw touched'!M129),((M$5*SLOPE('Raw touched'!$E129:$U129,$E$5:$U$5))+INTERCEPT('Raw touched'!$E129:$U129,$E$5:$U$5)),'Raw touched'!M129)</f>
        <v>90</v>
      </c>
      <c r="N129" s="4">
        <f>IF(ISBLANK('Raw touched'!N129),((N$5*SLOPE('Raw touched'!$E129:$U129,$E$5:$U$5))+INTERCEPT('Raw touched'!$E129:$U129,$E$5:$U$5)),'Raw touched'!N129)</f>
        <v>90</v>
      </c>
      <c r="O129" s="4">
        <f>IF(ISBLANK('Raw touched'!O129),((O$5*SLOPE('Raw touched'!$E129:$U129,$E$5:$U$5))+INTERCEPT('Raw touched'!$E129:$U129,$E$5:$U$5)),'Raw touched'!O129)</f>
        <v>90</v>
      </c>
      <c r="P129" s="4">
        <f>IF(ISBLANK('Raw touched'!P129),((P$5*SLOPE('Raw touched'!$E129:$U129,$E$5:$U$5))+INTERCEPT('Raw touched'!$E129:$U129,$E$5:$U$5)),'Raw touched'!P129)</f>
        <v>90</v>
      </c>
      <c r="Q129" s="4">
        <f>IF(ISBLANK('Raw touched'!Q129),((Q$5*SLOPE('Raw touched'!$E129:$U129,$E$5:$U$5))+INTERCEPT('Raw touched'!$E129:$U129,$E$5:$U$5)),'Raw touched'!Q129)</f>
        <v>90</v>
      </c>
      <c r="R129" s="4">
        <f>IF(ISBLANK('Raw touched'!R129),((R$5*SLOPE('Raw touched'!$E129:$U129,$E$5:$U$5))+INTERCEPT('Raw touched'!$E129:$U129,$E$5:$U$5)),'Raw touched'!R129)</f>
        <v>90</v>
      </c>
      <c r="S129" s="4">
        <f>IF(ISBLANK('Raw touched'!S129),((S$5*SLOPE('Raw touched'!$E129:$U129,$E$5:$U$5))+INTERCEPT('Raw touched'!$E129:$U129,$E$5:$U$5)),'Raw touched'!S129)</f>
        <v>90</v>
      </c>
      <c r="T129" s="4">
        <f>IF(ISBLANK('Raw touched'!T129),((T$5*SLOPE('Raw touched'!$E129:$U129,$E$5:$U$5))+INTERCEPT('Raw touched'!$E129:$U129,$E$5:$U$5)),'Raw touched'!T129)</f>
        <v>90</v>
      </c>
      <c r="U129" s="4">
        <f>IF(ISBLANK('Raw touched'!U129),((U$5*SLOPE('Raw touched'!$E129:$U129,$E$5:$U$5))+INTERCEPT('Raw touched'!$E129:$U129,$E$5:$U$5)),'Raw touched'!U129)</f>
        <v>90</v>
      </c>
    </row>
    <row r="130" spans="3:21" ht="13">
      <c r="C130" s="1" t="s">
        <v>117</v>
      </c>
      <c r="D130" s="1" t="s">
        <v>220</v>
      </c>
      <c r="E130" s="4">
        <f>IF(ISBLANK('Raw touched'!E130),((E$5*SLOPE('Raw touched'!$E130:$U130,$E$5:$U$5))+INTERCEPT('Raw touched'!$E130:$U130,$E$5:$U$5)),'Raw touched'!E130)</f>
        <v>60.400001529999997</v>
      </c>
      <c r="F130" s="4">
        <f>IF(ISBLANK('Raw touched'!F130),((F$5*SLOPE('Raw touched'!$E130:$U130,$E$5:$U$5))+INTERCEPT('Raw touched'!$E130:$U130,$E$5:$U$5)),'Raw touched'!F130)</f>
        <v>60.799999239999998</v>
      </c>
      <c r="G130" s="4">
        <f>IF(ISBLANK('Raw touched'!G130),((G$5*SLOPE('Raw touched'!$E130:$U130,$E$5:$U$5))+INTERCEPT('Raw touched'!$E130:$U130,$E$5:$U$5)),'Raw touched'!G130)</f>
        <v>61.299999239999998</v>
      </c>
      <c r="H130" s="4">
        <f>IF(ISBLANK('Raw touched'!H130),((H$5*SLOPE('Raw touched'!$E130:$U130,$E$5:$U$5))+INTERCEPT('Raw touched'!$E130:$U130,$E$5:$U$5)),'Raw touched'!H130)</f>
        <v>61.299999239999998</v>
      </c>
      <c r="I130" s="4">
        <f>IF(ISBLANK('Raw touched'!I130),((I$5*SLOPE('Raw touched'!$E130:$U130,$E$5:$U$5))+INTERCEPT('Raw touched'!$E130:$U130,$E$5:$U$5)),'Raw touched'!I130)</f>
        <v>61.900001529999997</v>
      </c>
      <c r="J130" s="4">
        <f>IF(ISBLANK('Raw touched'!J130),((J$5*SLOPE('Raw touched'!$E130:$U130,$E$5:$U$5))+INTERCEPT('Raw touched'!$E130:$U130,$E$5:$U$5)),'Raw touched'!J130)</f>
        <v>62.799999239999998</v>
      </c>
      <c r="K130" s="4">
        <f>IF(ISBLANK('Raw touched'!K130),((K$5*SLOPE('Raw touched'!$E130:$U130,$E$5:$U$5))+INTERCEPT('Raw touched'!$E130:$U130,$E$5:$U$5)),'Raw touched'!K130)</f>
        <v>63</v>
      </c>
      <c r="L130" s="4">
        <f>IF(ISBLANK('Raw touched'!L130),((L$5*SLOPE('Raw touched'!$E130:$U130,$E$5:$U$5))+INTERCEPT('Raw touched'!$E130:$U130,$E$5:$U$5)),'Raw touched'!L130)</f>
        <v>64</v>
      </c>
      <c r="M130" s="4">
        <f>IF(ISBLANK('Raw touched'!M130),((M$5*SLOPE('Raw touched'!$E130:$U130,$E$5:$U$5))+INTERCEPT('Raw touched'!$E130:$U130,$E$5:$U$5)),'Raw touched'!M130)</f>
        <v>64.33000183</v>
      </c>
      <c r="N130" s="4">
        <f>IF(ISBLANK('Raw touched'!N130),((N$5*SLOPE('Raw touched'!$E130:$U130,$E$5:$U$5))+INTERCEPT('Raw touched'!$E130:$U130,$E$5:$U$5)),'Raw touched'!N130)</f>
        <v>64.5</v>
      </c>
      <c r="O130" s="4">
        <f>IF(ISBLANK('Raw touched'!O130),((O$5*SLOPE('Raw touched'!$E130:$U130,$E$5:$U$5))+INTERCEPT('Raw touched'!$E130:$U130,$E$5:$U$5)),'Raw touched'!O130)</f>
        <v>64.88999939</v>
      </c>
      <c r="P130" s="4">
        <f>IF(ISBLANK('Raw touched'!P130),((P$5*SLOPE('Raw touched'!$E130:$U130,$E$5:$U$5))+INTERCEPT('Raw touched'!$E130:$U130,$E$5:$U$5)),'Raw touched'!P130)</f>
        <v>64.957369929999999</v>
      </c>
      <c r="Q130" s="4">
        <f>IF(ISBLANK('Raw touched'!Q130),((Q$5*SLOPE('Raw touched'!$E130:$U130,$E$5:$U$5))+INTERCEPT('Raw touched'!$E130:$U130,$E$5:$U$5)),'Raw touched'!Q130)</f>
        <v>65.406622010000007</v>
      </c>
      <c r="R130" s="4">
        <f>IF(ISBLANK('Raw touched'!R130),((R$5*SLOPE('Raw touched'!$E130:$U130,$E$5:$U$5))+INTERCEPT('Raw touched'!$E130:$U130,$E$5:$U$5)),'Raw touched'!R130)</f>
        <v>65.89</v>
      </c>
      <c r="S130" s="4">
        <f>IF(ISBLANK('Raw touched'!S130),((S$5*SLOPE('Raw touched'!$E130:$U130,$E$5:$U$5))+INTERCEPT('Raw touched'!$E130:$U130,$E$5:$U$5)),'Raw touched'!S130)</f>
        <v>66.523073710000062</v>
      </c>
      <c r="T130" s="4">
        <f>IF(ISBLANK('Raw touched'!T130),((T$5*SLOPE('Raw touched'!$E130:$U130,$E$5:$U$5))+INTERCEPT('Raw touched'!$E130:$U130,$E$5:$U$5)),'Raw touched'!T130)</f>
        <v>66.959731221999959</v>
      </c>
      <c r="U130" s="4">
        <f>IF(ISBLANK('Raw touched'!U130),((U$5*SLOPE('Raw touched'!$E130:$U130,$E$5:$U$5))+INTERCEPT('Raw touched'!$E130:$U130,$E$5:$U$5)),'Raw touched'!U130)</f>
        <v>67.39638873399997</v>
      </c>
    </row>
    <row r="131" spans="3:21" ht="13">
      <c r="C131" s="1" t="s">
        <v>125</v>
      </c>
      <c r="D131" s="1" t="s">
        <v>3</v>
      </c>
      <c r="E131" s="4">
        <f>IF(ISBLANK('Raw touched'!E131),((E$5*SLOPE('Raw touched'!$E131:$U131,$E$5:$U$5))+INTERCEPT('Raw touched'!$E131:$U131,$E$5:$U$5)),'Raw touched'!E131)</f>
        <v>10</v>
      </c>
      <c r="F131" s="4">
        <f>IF(ISBLANK('Raw touched'!F131),((F$5*SLOPE('Raw touched'!$E131:$U131,$E$5:$U$5))+INTERCEPT('Raw touched'!$E131:$U131,$E$5:$U$5)),'Raw touched'!F131)</f>
        <v>10.324918918270271</v>
      </c>
      <c r="G131" s="4">
        <f>IF(ISBLANK('Raw touched'!G131),((G$5*SLOPE('Raw touched'!$E131:$U131,$E$5:$U$5))+INTERCEPT('Raw touched'!$E131:$U131,$E$5:$U$5)),'Raw touched'!G131)</f>
        <v>10.491135124216214</v>
      </c>
      <c r="H131" s="4">
        <f>IF(ISBLANK('Raw touched'!H131),((H$5*SLOPE('Raw touched'!$E131:$U131,$E$5:$U$5))+INTERCEPT('Raw touched'!$E131:$U131,$E$5:$U$5)),'Raw touched'!H131)</f>
        <v>10.657351330162157</v>
      </c>
      <c r="I131" s="4">
        <f>IF(ISBLANK('Raw touched'!I131),((I$5*SLOPE('Raw touched'!$E131:$U131,$E$5:$U$5))+INTERCEPT('Raw touched'!$E131:$U131,$E$5:$U$5)),'Raw touched'!I131)</f>
        <v>10.823567536108101</v>
      </c>
      <c r="J131" s="4">
        <f>IF(ISBLANK('Raw touched'!J131),((J$5*SLOPE('Raw touched'!$E131:$U131,$E$5:$U$5))+INTERCEPT('Raw touched'!$E131:$U131,$E$5:$U$5)),'Raw touched'!J131)</f>
        <v>11.06000042</v>
      </c>
      <c r="K131" s="4">
        <f>IF(ISBLANK('Raw touched'!K131),((K$5*SLOPE('Raw touched'!$E131:$U131,$E$5:$U$5))+INTERCEPT('Raw touched'!$E131:$U131,$E$5:$U$5)),'Raw touched'!K131)</f>
        <v>11.35999966</v>
      </c>
      <c r="L131" s="4">
        <f>IF(ISBLANK('Raw touched'!L131),((L$5*SLOPE('Raw touched'!$E131:$U131,$E$5:$U$5))+INTERCEPT('Raw touched'!$E131:$U131,$E$5:$U$5)),'Raw touched'!L131)</f>
        <v>11.35999966</v>
      </c>
      <c r="M131" s="4">
        <f>IF(ISBLANK('Raw touched'!M131),((M$5*SLOPE('Raw touched'!$E131:$U131,$E$5:$U$5))+INTERCEPT('Raw touched'!$E131:$U131,$E$5:$U$5)),'Raw touched'!M131)</f>
        <v>11.488432359891874</v>
      </c>
      <c r="N131" s="4">
        <f>IF(ISBLANK('Raw touched'!N131),((N$5*SLOPE('Raw touched'!$E131:$U131,$E$5:$U$5))+INTERCEPT('Raw touched'!$E131:$U131,$E$5:$U$5)),'Raw touched'!N131)</f>
        <v>11.654648565837817</v>
      </c>
      <c r="O131" s="4">
        <f>IF(ISBLANK('Raw touched'!O131),((O$5*SLOPE('Raw touched'!$E131:$U131,$E$5:$U$5))+INTERCEPT('Raw touched'!$E131:$U131,$E$5:$U$5)),'Raw touched'!O131)</f>
        <v>11.820864771783761</v>
      </c>
      <c r="P131" s="4">
        <f>IF(ISBLANK('Raw touched'!P131),((P$5*SLOPE('Raw touched'!$E131:$U131,$E$5:$U$5))+INTERCEPT('Raw touched'!$E131:$U131,$E$5:$U$5)),'Raw touched'!P131)</f>
        <v>11.987080977729704</v>
      </c>
      <c r="Q131" s="4">
        <f>IF(ISBLANK('Raw touched'!Q131),((Q$5*SLOPE('Raw touched'!$E131:$U131,$E$5:$U$5))+INTERCEPT('Raw touched'!$E131:$U131,$E$5:$U$5)),'Raw touched'!Q131)</f>
        <v>12</v>
      </c>
      <c r="R131" s="4">
        <f>IF(ISBLANK('Raw touched'!R131),((R$5*SLOPE('Raw touched'!$E131:$U131,$E$5:$U$5))+INTERCEPT('Raw touched'!$E131:$U131,$E$5:$U$5)),'Raw touched'!R131)</f>
        <v>12.319513389621591</v>
      </c>
      <c r="S131" s="4">
        <f>IF(ISBLANK('Raw touched'!S131),((S$5*SLOPE('Raw touched'!$E131:$U131,$E$5:$U$5))+INTERCEPT('Raw touched'!$E131:$U131,$E$5:$U$5)),'Raw touched'!S131)</f>
        <v>12.485729595567534</v>
      </c>
      <c r="T131" s="4">
        <f>IF(ISBLANK('Raw touched'!T131),((T$5*SLOPE('Raw touched'!$E131:$U131,$E$5:$U$5))+INTERCEPT('Raw touched'!$E131:$U131,$E$5:$U$5)),'Raw touched'!T131)</f>
        <v>12.651945801513477</v>
      </c>
      <c r="U131" s="4">
        <f>IF(ISBLANK('Raw touched'!U131),((U$5*SLOPE('Raw touched'!$E131:$U131,$E$5:$U$5))+INTERCEPT('Raw touched'!$E131:$U131,$E$5:$U$5)),'Raw touched'!U131)</f>
        <v>12.818162007459421</v>
      </c>
    </row>
    <row r="132" spans="3:21" ht="13">
      <c r="C132" s="1" t="s">
        <v>163</v>
      </c>
      <c r="D132" s="1" t="s">
        <v>300</v>
      </c>
      <c r="E132" s="4">
        <f>IF(ISBLANK('Raw touched'!E132),((E$5*SLOPE('Raw touched'!$E132:$U132,$E$5:$U$5))+INTERCEPT('Raw touched'!$E132:$U132,$E$5:$U$5)),'Raw touched'!E132)</f>
        <v>30.682262204762083</v>
      </c>
      <c r="F132" s="4">
        <f>IF(ISBLANK('Raw touched'!F132),((F$5*SLOPE('Raw touched'!$E132:$U132,$E$5:$U$5))+INTERCEPT('Raw touched'!$E132:$U132,$E$5:$U$5)),'Raw touched'!F132)</f>
        <v>29.809524102023943</v>
      </c>
      <c r="G132" s="4">
        <f>IF(ISBLANK('Raw touched'!G132),((G$5*SLOPE('Raw touched'!$E132:$U132,$E$5:$U$5))+INTERCEPT('Raw touched'!$E132:$U132,$E$5:$U$5)),'Raw touched'!G132)</f>
        <v>28.936785999285803</v>
      </c>
      <c r="H132" s="4">
        <f>IF(ISBLANK('Raw touched'!H132),((H$5*SLOPE('Raw touched'!$E132:$U132,$E$5:$U$5))+INTERCEPT('Raw touched'!$E132:$U132,$E$5:$U$5)),'Raw touched'!H132)</f>
        <v>28.064047896547663</v>
      </c>
      <c r="I132" s="4">
        <f>IF(ISBLANK('Raw touched'!I132),((I$5*SLOPE('Raw touched'!$E132:$U132,$E$5:$U$5))+INTERCEPT('Raw touched'!$E132:$U132,$E$5:$U$5)),'Raw touched'!I132)</f>
        <v>27.191309793809523</v>
      </c>
      <c r="J132" s="4">
        <f>IF(ISBLANK('Raw touched'!J132),((J$5*SLOPE('Raw touched'!$E132:$U132,$E$5:$U$5))+INTERCEPT('Raw touched'!$E132:$U132,$E$5:$U$5)),'Raw touched'!J132)</f>
        <v>26.318571691071611</v>
      </c>
      <c r="K132" s="4">
        <f>IF(ISBLANK('Raw touched'!K132),((K$5*SLOPE('Raw touched'!$E132:$U132,$E$5:$U$5))+INTERCEPT('Raw touched'!$E132:$U132,$E$5:$U$5)),'Raw touched'!K132)</f>
        <v>25.659999849999998</v>
      </c>
      <c r="L132" s="4">
        <f>IF(ISBLANK('Raw touched'!L132),((L$5*SLOPE('Raw touched'!$E132:$U132,$E$5:$U$5))+INTERCEPT('Raw touched'!$E132:$U132,$E$5:$U$5)),'Raw touched'!L132)</f>
        <v>25.659999849999998</v>
      </c>
      <c r="M132" s="4">
        <f>IF(ISBLANK('Raw touched'!M132),((M$5*SLOPE('Raw touched'!$E132:$U132,$E$5:$U$5))+INTERCEPT('Raw touched'!$E132:$U132,$E$5:$U$5)),'Raw touched'!M132)</f>
        <v>24.950000760000002</v>
      </c>
      <c r="N132" s="4">
        <f>IF(ISBLANK('Raw touched'!N132),((N$5*SLOPE('Raw touched'!$E132:$U132,$E$5:$U$5))+INTERCEPT('Raw touched'!$E132:$U132,$E$5:$U$5)),'Raw touched'!N132)</f>
        <v>20.450000760000002</v>
      </c>
      <c r="O132" s="4">
        <f>IF(ISBLANK('Raw touched'!O132),((O$5*SLOPE('Raw touched'!$E132:$U132,$E$5:$U$5))+INTERCEPT('Raw touched'!$E132:$U132,$E$5:$U$5)),'Raw touched'!O132)</f>
        <v>20.61000061</v>
      </c>
      <c r="P132" s="4">
        <f>IF(ISBLANK('Raw touched'!P132),((P$5*SLOPE('Raw touched'!$E132:$U132,$E$5:$U$5))+INTERCEPT('Raw touched'!$E132:$U132,$E$5:$U$5)),'Raw touched'!P132)</f>
        <v>20.5</v>
      </c>
      <c r="Q132" s="4">
        <f>IF(ISBLANK('Raw touched'!Q132),((Q$5*SLOPE('Raw touched'!$E132:$U132,$E$5:$U$5))+INTERCEPT('Raw touched'!$E132:$U132,$E$5:$U$5)),'Raw touched'!Q132)</f>
        <v>20.65</v>
      </c>
      <c r="R132" s="4">
        <f>IF(ISBLANK('Raw touched'!R132),((R$5*SLOPE('Raw touched'!$E132:$U132,$E$5:$U$5))+INTERCEPT('Raw touched'!$E132:$U132,$E$5:$U$5)),'Raw touched'!R132)</f>
        <v>20.65</v>
      </c>
      <c r="S132" s="4">
        <f>IF(ISBLANK('Raw touched'!S132),((S$5*SLOPE('Raw touched'!$E132:$U132,$E$5:$U$5))+INTERCEPT('Raw touched'!$E132:$U132,$E$5:$U$5)),'Raw touched'!S132)</f>
        <v>18.46392876642858</v>
      </c>
      <c r="T132" s="4">
        <f>IF(ISBLANK('Raw touched'!T132),((T$5*SLOPE('Raw touched'!$E132:$U132,$E$5:$U$5))+INTERCEPT('Raw touched'!$E132:$U132,$E$5:$U$5)),'Raw touched'!T132)</f>
        <v>17.591190663690668</v>
      </c>
      <c r="U132" s="4">
        <f>IF(ISBLANK('Raw touched'!U132),((U$5*SLOPE('Raw touched'!$E132:$U132,$E$5:$U$5))+INTERCEPT('Raw touched'!$E132:$U132,$E$5:$U$5)),'Raw touched'!U132)</f>
        <v>16.718452560952528</v>
      </c>
    </row>
    <row r="133" spans="3:21" ht="13">
      <c r="C133" s="1" t="s">
        <v>91</v>
      </c>
      <c r="D133" s="1" t="s">
        <v>51</v>
      </c>
      <c r="E133" s="4">
        <f>IF(ISBLANK('Raw touched'!E133),((E$5*SLOPE('Raw touched'!$E133:$U133,$E$5:$U$5))+INTERCEPT('Raw touched'!$E133:$U133,$E$5:$U$5)),'Raw touched'!E133)</f>
        <v>19.05</v>
      </c>
      <c r="F133" s="4">
        <f>IF(ISBLANK('Raw touched'!F133),((F$5*SLOPE('Raw touched'!$E133:$U133,$E$5:$U$5))+INTERCEPT('Raw touched'!$E133:$U133,$E$5:$U$5)),'Raw touched'!F133)</f>
        <v>18.599999999999909</v>
      </c>
      <c r="G133" s="4">
        <f>IF(ISBLANK('Raw touched'!G133),((G$5*SLOPE('Raw touched'!$E133:$U133,$E$5:$U$5))+INTERCEPT('Raw touched'!$E133:$U133,$E$5:$U$5)),'Raw touched'!G133)</f>
        <v>18.149999999999977</v>
      </c>
      <c r="H133" s="4">
        <f>IF(ISBLANK('Raw touched'!H133),((H$5*SLOPE('Raw touched'!$E133:$U133,$E$5:$U$5))+INTERCEPT('Raw touched'!$E133:$U133,$E$5:$U$5)),'Raw touched'!H133)</f>
        <v>17.699999999999932</v>
      </c>
      <c r="I133" s="4">
        <f>IF(ISBLANK('Raw touched'!I133),((I$5*SLOPE('Raw touched'!$E133:$U133,$E$5:$U$5))+INTERCEPT('Raw touched'!$E133:$U133,$E$5:$U$5)),'Raw touched'!I133)</f>
        <v>17.249999999999886</v>
      </c>
      <c r="J133" s="4">
        <f>IF(ISBLANK('Raw touched'!J133),((J$5*SLOPE('Raw touched'!$E133:$U133,$E$5:$U$5))+INTERCEPT('Raw touched'!$E133:$U133,$E$5:$U$5)),'Raw touched'!J133)</f>
        <v>16.799999999999955</v>
      </c>
      <c r="K133" s="4">
        <f>IF(ISBLANK('Raw touched'!K133),((K$5*SLOPE('Raw touched'!$E133:$U133,$E$5:$U$5))+INTERCEPT('Raw touched'!$E133:$U133,$E$5:$U$5)),'Raw touched'!K133)</f>
        <v>16.349999999999909</v>
      </c>
      <c r="L133" s="4">
        <f>IF(ISBLANK('Raw touched'!L133),((L$5*SLOPE('Raw touched'!$E133:$U133,$E$5:$U$5))+INTERCEPT('Raw touched'!$E133:$U133,$E$5:$U$5)),'Raw touched'!L133)</f>
        <v>15.899999999999977</v>
      </c>
      <c r="M133" s="4">
        <f>IF(ISBLANK('Raw touched'!M133),((M$5*SLOPE('Raw touched'!$E133:$U133,$E$5:$U$5))+INTERCEPT('Raw touched'!$E133:$U133,$E$5:$U$5)),'Raw touched'!M133)</f>
        <v>15.449999999999932</v>
      </c>
      <c r="N133" s="4">
        <f>IF(ISBLANK('Raw touched'!N133),((N$5*SLOPE('Raw touched'!$E133:$U133,$E$5:$U$5))+INTERCEPT('Raw touched'!$E133:$U133,$E$5:$U$5)),'Raw touched'!N133)</f>
        <v>15</v>
      </c>
      <c r="O133" s="4">
        <f>IF(ISBLANK('Raw touched'!O133),((O$5*SLOPE('Raw touched'!$E133:$U133,$E$5:$U$5))+INTERCEPT('Raw touched'!$E133:$U133,$E$5:$U$5)),'Raw touched'!O133)</f>
        <v>14.549999999999955</v>
      </c>
      <c r="P133" s="4">
        <f>IF(ISBLANK('Raw touched'!P133),((P$5*SLOPE('Raw touched'!$E133:$U133,$E$5:$U$5))+INTERCEPT('Raw touched'!$E133:$U133,$E$5:$U$5)),'Raw touched'!P133)</f>
        <v>14.099999999999909</v>
      </c>
      <c r="Q133" s="4">
        <f>IF(ISBLANK('Raw touched'!Q133),((Q$5*SLOPE('Raw touched'!$E133:$U133,$E$5:$U$5))+INTERCEPT('Raw touched'!$E133:$U133,$E$5:$U$5)),'Raw touched'!Q133)</f>
        <v>13.649999999999977</v>
      </c>
      <c r="R133" s="4">
        <f>IF(ISBLANK('Raw touched'!R133),((R$5*SLOPE('Raw touched'!$E133:$U133,$E$5:$U$5))+INTERCEPT('Raw touched'!$E133:$U133,$E$5:$U$5)),'Raw touched'!R133)</f>
        <v>13.199999999999932</v>
      </c>
      <c r="S133" s="4">
        <f>IF(ISBLANK('Raw touched'!S133),((S$5*SLOPE('Raw touched'!$E133:$U133,$E$5:$U$5))+INTERCEPT('Raw touched'!$E133:$U133,$E$5:$U$5)),'Raw touched'!S133)</f>
        <v>12.749999999999886</v>
      </c>
      <c r="T133" s="4">
        <f>IF(ISBLANK('Raw touched'!T133),((T$5*SLOPE('Raw touched'!$E133:$U133,$E$5:$U$5))+INTERCEPT('Raw touched'!$E133:$U133,$E$5:$U$5)),'Raw touched'!T133)</f>
        <v>12.299999999999955</v>
      </c>
      <c r="U133" s="4">
        <f>IF(ISBLANK('Raw touched'!U133),((U$5*SLOPE('Raw touched'!$E133:$U133,$E$5:$U$5))+INTERCEPT('Raw touched'!$E133:$U133,$E$5:$U$5)),'Raw touched'!U133)</f>
        <v>11.849999999999909</v>
      </c>
    </row>
    <row r="134" spans="3:21" ht="13">
      <c r="C134" s="1" t="s">
        <v>181</v>
      </c>
      <c r="D134" s="1" t="s">
        <v>123</v>
      </c>
      <c r="E134" s="4">
        <f>IF(ISBLANK('Raw touched'!E134),((E$5*SLOPE('Raw touched'!$E134:$U134,$E$5:$U$5))+INTERCEPT('Raw touched'!$E134:$U134,$E$5:$U$5)),'Raw touched'!E134)</f>
        <v>73.5</v>
      </c>
      <c r="F134" s="4">
        <f>IF(ISBLANK('Raw touched'!F134),((F$5*SLOPE('Raw touched'!$E134:$U134,$E$5:$U$5))+INTERCEPT('Raw touched'!$E134:$U134,$E$5:$U$5)),'Raw touched'!F134)</f>
        <v>72</v>
      </c>
      <c r="G134" s="4">
        <f>IF(ISBLANK('Raw touched'!G134),((G$5*SLOPE('Raw touched'!$E134:$U134,$E$5:$U$5))+INTERCEPT('Raw touched'!$E134:$U134,$E$5:$U$5)),'Raw touched'!G134)</f>
        <v>74</v>
      </c>
      <c r="H134" s="4">
        <f>IF(ISBLANK('Raw touched'!H134),((H$5*SLOPE('Raw touched'!$E134:$U134,$E$5:$U$5))+INTERCEPT('Raw touched'!$E134:$U134,$E$5:$U$5)),'Raw touched'!H134)</f>
        <v>74.5</v>
      </c>
      <c r="I134" s="4">
        <f>IF(ISBLANK('Raw touched'!I134),((I$5*SLOPE('Raw touched'!$E134:$U134,$E$5:$U$5))+INTERCEPT('Raw touched'!$E134:$U134,$E$5:$U$5)),'Raw touched'!I134)</f>
        <v>75.5</v>
      </c>
      <c r="J134" s="4">
        <f>IF(ISBLANK('Raw touched'!J134),((J$5*SLOPE('Raw touched'!$E134:$U134,$E$5:$U$5))+INTERCEPT('Raw touched'!$E134:$U134,$E$5:$U$5)),'Raw touched'!J134)</f>
        <v>76</v>
      </c>
      <c r="K134" s="4">
        <f>IF(ISBLANK('Raw touched'!K134),((K$5*SLOPE('Raw touched'!$E134:$U134,$E$5:$U$5))+INTERCEPT('Raw touched'!$E134:$U134,$E$5:$U$5)),'Raw touched'!K134)</f>
        <v>77</v>
      </c>
      <c r="L134" s="4">
        <f>IF(ISBLANK('Raw touched'!L134),((L$5*SLOPE('Raw touched'!$E134:$U134,$E$5:$U$5))+INTERCEPT('Raw touched'!$E134:$U134,$E$5:$U$5)),'Raw touched'!L134)</f>
        <v>77.5</v>
      </c>
      <c r="M134" s="4">
        <f>IF(ISBLANK('Raw touched'!M134),((M$5*SLOPE('Raw touched'!$E134:$U134,$E$5:$U$5))+INTERCEPT('Raw touched'!$E134:$U134,$E$5:$U$5)),'Raw touched'!M134)</f>
        <v>77.899255041380457</v>
      </c>
      <c r="N134" s="4">
        <f>IF(ISBLANK('Raw touched'!N134),((N$5*SLOPE('Raw touched'!$E134:$U134,$E$5:$U$5))+INTERCEPT('Raw touched'!$E134:$U134,$E$5:$U$5)),'Raw touched'!N134)</f>
        <v>78.552755191511551</v>
      </c>
      <c r="O134" s="4">
        <f>IF(ISBLANK('Raw touched'!O134),((O$5*SLOPE('Raw touched'!$E134:$U134,$E$5:$U$5))+INTERCEPT('Raw touched'!$E134:$U134,$E$5:$U$5)),'Raw touched'!O134)</f>
        <v>79.206255341642645</v>
      </c>
      <c r="P134" s="4">
        <f>IF(ISBLANK('Raw touched'!P134),((P$5*SLOPE('Raw touched'!$E134:$U134,$E$5:$U$5))+INTERCEPT('Raw touched'!$E134:$U134,$E$5:$U$5)),'Raw touched'!P134)</f>
        <v>79.591046059999996</v>
      </c>
      <c r="Q134" s="4">
        <f>IF(ISBLANK('Raw touched'!Q134),((Q$5*SLOPE('Raw touched'!$E134:$U134,$E$5:$U$5))+INTERCEPT('Raw touched'!$E134:$U134,$E$5:$U$5)),'Raw touched'!Q134)</f>
        <v>80.45</v>
      </c>
      <c r="R134" s="4">
        <f>IF(ISBLANK('Raw touched'!R134),((R$5*SLOPE('Raw touched'!$E134:$U134,$E$5:$U$5))+INTERCEPT('Raw touched'!$E134:$U134,$E$5:$U$5)),'Raw touched'!R134)</f>
        <v>81.166755792036156</v>
      </c>
      <c r="S134" s="4">
        <f>IF(ISBLANK('Raw touched'!S134),((S$5*SLOPE('Raw touched'!$E134:$U134,$E$5:$U$5))+INTERCEPT('Raw touched'!$E134:$U134,$E$5:$U$5)),'Raw touched'!S134)</f>
        <v>81.82025594216725</v>
      </c>
      <c r="T134" s="4">
        <f>IF(ISBLANK('Raw touched'!T134),((T$5*SLOPE('Raw touched'!$E134:$U134,$E$5:$U$5))+INTERCEPT('Raw touched'!$E134:$U134,$E$5:$U$5)),'Raw touched'!T134)</f>
        <v>82.473756092298345</v>
      </c>
      <c r="U134" s="4">
        <f>IF(ISBLANK('Raw touched'!U134),((U$5*SLOPE('Raw touched'!$E134:$U134,$E$5:$U$5))+INTERCEPT('Raw touched'!$E134:$U134,$E$5:$U$5)),'Raw touched'!U134)</f>
        <v>83.127256242429439</v>
      </c>
    </row>
    <row r="135" spans="3:21" ht="13">
      <c r="C135" s="1" t="s">
        <v>329</v>
      </c>
      <c r="D135" s="1" t="s">
        <v>295</v>
      </c>
      <c r="E135" s="4">
        <f>IF(ISBLANK('Raw touched'!E135),((E$5*SLOPE('Raw touched'!$E135:$U135,$E$5:$U$5))+INTERCEPT('Raw touched'!$E135:$U135,$E$5:$U$5)),'Raw touched'!E135)</f>
        <v>20.399999619999999</v>
      </c>
      <c r="F135" s="4">
        <f>IF(ISBLANK('Raw touched'!F135),((F$5*SLOPE('Raw touched'!$E135:$U135,$E$5:$U$5))+INTERCEPT('Raw touched'!$E135:$U135,$E$5:$U$5)),'Raw touched'!F135)</f>
        <v>30</v>
      </c>
      <c r="G135" s="4">
        <f>IF(ISBLANK('Raw touched'!G135),((G$5*SLOPE('Raw touched'!$E135:$U135,$E$5:$U$5))+INTERCEPT('Raw touched'!$E135:$U135,$E$5:$U$5)),'Raw touched'!G135)</f>
        <v>30</v>
      </c>
      <c r="H135" s="4">
        <f>IF(ISBLANK('Raw touched'!H135),((H$5*SLOPE('Raw touched'!$E135:$U135,$E$5:$U$5))+INTERCEPT('Raw touched'!$E135:$U135,$E$5:$U$5)),'Raw touched'!H135)</f>
        <v>30</v>
      </c>
      <c r="I135" s="4">
        <f>IF(ISBLANK('Raw touched'!I135),((I$5*SLOPE('Raw touched'!$E135:$U135,$E$5:$U$5))+INTERCEPT('Raw touched'!$E135:$U135,$E$5:$U$5)),'Raw touched'!I135)</f>
        <v>30</v>
      </c>
      <c r="J135" s="4">
        <f>IF(ISBLANK('Raw touched'!J135),((J$5*SLOPE('Raw touched'!$E135:$U135,$E$5:$U$5))+INTERCEPT('Raw touched'!$E135:$U135,$E$5:$U$5)),'Raw touched'!J135)</f>
        <v>30</v>
      </c>
      <c r="K135" s="4">
        <f>IF(ISBLANK('Raw touched'!K135),((K$5*SLOPE('Raw touched'!$E135:$U135,$E$5:$U$5))+INTERCEPT('Raw touched'!$E135:$U135,$E$5:$U$5)),'Raw touched'!K135)</f>
        <v>27.659999849999998</v>
      </c>
      <c r="L135" s="4">
        <f>IF(ISBLANK('Raw touched'!L135),((L$5*SLOPE('Raw touched'!$E135:$U135,$E$5:$U$5))+INTERCEPT('Raw touched'!$E135:$U135,$E$5:$U$5)),'Raw touched'!L135)</f>
        <v>34.189219910449992</v>
      </c>
      <c r="M135" s="4">
        <f>IF(ISBLANK('Raw touched'!M135),((M$5*SLOPE('Raw touched'!$E135:$U135,$E$5:$U$5))+INTERCEPT('Raw touched'!$E135:$U135,$E$5:$U$5)),'Raw touched'!M135)</f>
        <v>33.215139550000004</v>
      </c>
      <c r="N135" s="4">
        <f>IF(ISBLANK('Raw touched'!N135),((N$5*SLOPE('Raw touched'!$E135:$U135,$E$5:$U$5))+INTERCEPT('Raw touched'!$E135:$U135,$E$5:$U$5)),'Raw touched'!N135)</f>
        <v>36.707495569999999</v>
      </c>
      <c r="O135" s="4">
        <f>IF(ISBLANK('Raw touched'!O135),((O$5*SLOPE('Raw touched'!$E135:$U135,$E$5:$U$5))+INTERCEPT('Raw touched'!$E135:$U135,$E$5:$U$5)),'Raw touched'!O135)</f>
        <v>39.656244559999998</v>
      </c>
      <c r="P135" s="4">
        <f>IF(ISBLANK('Raw touched'!P135),((P$5*SLOPE('Raw touched'!$E135:$U135,$E$5:$U$5))+INTERCEPT('Raw touched'!$E135:$U135,$E$5:$U$5)),'Raw touched'!P135)</f>
        <v>42.112215980000002</v>
      </c>
      <c r="Q135" s="4">
        <f>IF(ISBLANK('Raw touched'!Q135),((Q$5*SLOPE('Raw touched'!$E135:$U135,$E$5:$U$5))+INTERCEPT('Raw touched'!$E135:$U135,$E$5:$U$5)),'Raw touched'!Q135)</f>
        <v>41.250971890000002</v>
      </c>
      <c r="R135" s="4">
        <f>IF(ISBLANK('Raw touched'!R135),((R$5*SLOPE('Raw touched'!$E135:$U135,$E$5:$U$5))+INTERCEPT('Raw touched'!$E135:$U135,$E$5:$U$5)),'Raw touched'!R135)</f>
        <v>43.46</v>
      </c>
      <c r="S135" s="4">
        <f>IF(ISBLANK('Raw touched'!S135),((S$5*SLOPE('Raw touched'!$E135:$U135,$E$5:$U$5))+INTERCEPT('Raw touched'!$E135:$U135,$E$5:$U$5)),'Raw touched'!S135)</f>
        <v>44.187011726303353</v>
      </c>
      <c r="T135" s="4">
        <f>IF(ISBLANK('Raw touched'!T135),((T$5*SLOPE('Raw touched'!$E135:$U135,$E$5:$U$5))+INTERCEPT('Raw touched'!$E135:$U135,$E$5:$U$5)),'Raw touched'!T135)</f>
        <v>45.615267699996366</v>
      </c>
      <c r="U135" s="4">
        <f>IF(ISBLANK('Raw touched'!U135),((U$5*SLOPE('Raw touched'!$E135:$U135,$E$5:$U$5))+INTERCEPT('Raw touched'!$E135:$U135,$E$5:$U$5)),'Raw touched'!U135)</f>
        <v>47.043523673689833</v>
      </c>
    </row>
    <row r="136" spans="3:21" ht="13">
      <c r="C136" s="1" t="s">
        <v>99</v>
      </c>
      <c r="D136" s="1" t="s">
        <v>239</v>
      </c>
      <c r="E136" s="4">
        <f>IF(ISBLANK('Raw touched'!E136),((E$5*SLOPE('Raw touched'!$E136:$U136,$E$5:$U$5))+INTERCEPT('Raw touched'!$E136:$U136,$E$5:$U$5)),'Raw touched'!E136)</f>
        <v>45</v>
      </c>
      <c r="F136" s="4">
        <f>IF(ISBLANK('Raw touched'!F136),((F$5*SLOPE('Raw touched'!$E136:$U136,$E$5:$U$5))+INTERCEPT('Raw touched'!$E136:$U136,$E$5:$U$5)),'Raw touched'!F136)</f>
        <v>44</v>
      </c>
      <c r="G136" s="4">
        <f>IF(ISBLANK('Raw touched'!G136),((G$5*SLOPE('Raw touched'!$E136:$U136,$E$5:$U$5))+INTERCEPT('Raw touched'!$E136:$U136,$E$5:$U$5)),'Raw touched'!G136)</f>
        <v>44</v>
      </c>
      <c r="H136" s="4">
        <f>IF(ISBLANK('Raw touched'!H136),((H$5*SLOPE('Raw touched'!$E136:$U136,$E$5:$U$5))+INTERCEPT('Raw touched'!$E136:$U136,$E$5:$U$5)),'Raw touched'!H136)</f>
        <v>53</v>
      </c>
      <c r="I136" s="4">
        <f>IF(ISBLANK('Raw touched'!I136),((I$5*SLOPE('Raw touched'!$E136:$U136,$E$5:$U$5))+INTERCEPT('Raw touched'!$E136:$U136,$E$5:$U$5)),'Raw touched'!I136)</f>
        <v>55</v>
      </c>
      <c r="J136" s="4">
        <f>IF(ISBLANK('Raw touched'!J136),((J$5*SLOPE('Raw touched'!$E136:$U136,$E$5:$U$5))+INTERCEPT('Raw touched'!$E136:$U136,$E$5:$U$5)),'Raw touched'!J136)</f>
        <v>56</v>
      </c>
      <c r="K136" s="4">
        <f>IF(ISBLANK('Raw touched'!K136),((K$5*SLOPE('Raw touched'!$E136:$U136,$E$5:$U$5))+INTERCEPT('Raw touched'!$E136:$U136,$E$5:$U$5)),'Raw touched'!K136)</f>
        <v>59</v>
      </c>
      <c r="L136" s="4">
        <f>IF(ISBLANK('Raw touched'!L136),((L$5*SLOPE('Raw touched'!$E136:$U136,$E$5:$U$5))+INTERCEPT('Raw touched'!$E136:$U136,$E$5:$U$5)),'Raw touched'!L136)</f>
        <v>59.107223603293278</v>
      </c>
      <c r="M136" s="4">
        <f>IF(ISBLANK('Raw touched'!M136),((M$5*SLOPE('Raw touched'!$E136:$U136,$E$5:$U$5))+INTERCEPT('Raw touched'!$E136:$U136,$E$5:$U$5)),'Raw touched'!M136)</f>
        <v>60</v>
      </c>
      <c r="N136" s="4">
        <f>IF(ISBLANK('Raw touched'!N136),((N$5*SLOPE('Raw touched'!$E136:$U136,$E$5:$U$5))+INTERCEPT('Raw touched'!$E136:$U136,$E$5:$U$5)),'Raw touched'!N136)</f>
        <v>64.699996949999999</v>
      </c>
      <c r="O136" s="4">
        <f>IF(ISBLANK('Raw touched'!O136),((O$5*SLOPE('Raw touched'!$E136:$U136,$E$5:$U$5))+INTERCEPT('Raw touched'!$E136:$U136,$E$5:$U$5)),'Raw touched'!O136)</f>
        <v>65.537517226569435</v>
      </c>
      <c r="P136" s="4">
        <f>IF(ISBLANK('Raw touched'!P136),((P$5*SLOPE('Raw touched'!$E136:$U136,$E$5:$U$5))+INTERCEPT('Raw touched'!$E136:$U136,$E$5:$U$5)),'Raw touched'!P136)</f>
        <v>65.360183719999995</v>
      </c>
      <c r="Q136" s="4">
        <f>IF(ISBLANK('Raw touched'!Q136),((Q$5*SLOPE('Raw touched'!$E136:$U136,$E$5:$U$5))+INTERCEPT('Raw touched'!$E136:$U136,$E$5:$U$5)),'Raw touched'!Q136)</f>
        <v>69.824379642086569</v>
      </c>
      <c r="R136" s="4">
        <f>IF(ISBLANK('Raw touched'!R136),((R$5*SLOPE('Raw touched'!$E136:$U136,$E$5:$U$5))+INTERCEPT('Raw touched'!$E136:$U136,$E$5:$U$5)),'Raw touched'!R136)</f>
        <v>71.967810849845591</v>
      </c>
      <c r="S136" s="4">
        <f>IF(ISBLANK('Raw touched'!S136),((S$5*SLOPE('Raw touched'!$E136:$U136,$E$5:$U$5))+INTERCEPT('Raw touched'!$E136:$U136,$E$5:$U$5)),'Raw touched'!S136)</f>
        <v>74.111242057604613</v>
      </c>
      <c r="T136" s="4">
        <f>IF(ISBLANK('Raw touched'!T136),((T$5*SLOPE('Raw touched'!$E136:$U136,$E$5:$U$5))+INTERCEPT('Raw touched'!$E136:$U136,$E$5:$U$5)),'Raw touched'!T136)</f>
        <v>76.254673265363635</v>
      </c>
      <c r="U136" s="4">
        <f>IF(ISBLANK('Raw touched'!U136),((U$5*SLOPE('Raw touched'!$E136:$U136,$E$5:$U$5))+INTERCEPT('Raw touched'!$E136:$U136,$E$5:$U$5)),'Raw touched'!U136)</f>
        <v>78.398104473121748</v>
      </c>
    </row>
    <row r="137" spans="3:21" ht="13">
      <c r="C137" s="1" t="s">
        <v>72</v>
      </c>
      <c r="D137" s="1" t="s">
        <v>374</v>
      </c>
      <c r="E137" s="4" t="e">
        <f>IF(ISBLANK('Raw touched'!E137),((E$5*SLOPE('Raw touched'!$E137:$U137,$E$5:$U$5))+INTERCEPT('Raw touched'!$E137:$U137,$E$5:$U$5)),'Raw touched'!E137)</f>
        <v>#DIV/0!</v>
      </c>
      <c r="F137" s="4" t="e">
        <f>IF(ISBLANK('Raw touched'!F137),((F$5*SLOPE('Raw touched'!$E137:$U137,$E$5:$U$5))+INTERCEPT('Raw touched'!$E137:$U137,$E$5:$U$5)),'Raw touched'!F137)</f>
        <v>#DIV/0!</v>
      </c>
      <c r="G137" s="4" t="e">
        <f>IF(ISBLANK('Raw touched'!G137),((G$5*SLOPE('Raw touched'!$E137:$U137,$E$5:$U$5))+INTERCEPT('Raw touched'!$E137:$U137,$E$5:$U$5)),'Raw touched'!G137)</f>
        <v>#DIV/0!</v>
      </c>
      <c r="H137" s="4" t="e">
        <f>IF(ISBLANK('Raw touched'!H137),((H$5*SLOPE('Raw touched'!$E137:$U137,$E$5:$U$5))+INTERCEPT('Raw touched'!$E137:$U137,$E$5:$U$5)),'Raw touched'!H137)</f>
        <v>#DIV/0!</v>
      </c>
      <c r="I137" s="4" t="e">
        <f>IF(ISBLANK('Raw touched'!I137),((I$5*SLOPE('Raw touched'!$E137:$U137,$E$5:$U$5))+INTERCEPT('Raw touched'!$E137:$U137,$E$5:$U$5)),'Raw touched'!I137)</f>
        <v>#DIV/0!</v>
      </c>
      <c r="J137" s="4" t="e">
        <f>IF(ISBLANK('Raw touched'!J137),((J$5*SLOPE('Raw touched'!$E137:$U137,$E$5:$U$5))+INTERCEPT('Raw touched'!$E137:$U137,$E$5:$U$5)),'Raw touched'!J137)</f>
        <v>#DIV/0!</v>
      </c>
      <c r="K137" s="4" t="e">
        <f>IF(ISBLANK('Raw touched'!K137),((K$5*SLOPE('Raw touched'!$E137:$U137,$E$5:$U$5))+INTERCEPT('Raw touched'!$E137:$U137,$E$5:$U$5)),'Raw touched'!K137)</f>
        <v>#DIV/0!</v>
      </c>
      <c r="L137" s="4" t="e">
        <f>IF(ISBLANK('Raw touched'!L137),((L$5*SLOPE('Raw touched'!$E137:$U137,$E$5:$U$5))+INTERCEPT('Raw touched'!$E137:$U137,$E$5:$U$5)),'Raw touched'!L137)</f>
        <v>#DIV/0!</v>
      </c>
      <c r="M137" s="4" t="e">
        <f>IF(ISBLANK('Raw touched'!M137),((M$5*SLOPE('Raw touched'!$E137:$U137,$E$5:$U$5))+INTERCEPT('Raw touched'!$E137:$U137,$E$5:$U$5)),'Raw touched'!M137)</f>
        <v>#DIV/0!</v>
      </c>
      <c r="N137" s="4" t="e">
        <f>IF(ISBLANK('Raw touched'!N137),((N$5*SLOPE('Raw touched'!$E137:$U137,$E$5:$U$5))+INTERCEPT('Raw touched'!$E137:$U137,$E$5:$U$5)),'Raw touched'!N137)</f>
        <v>#DIV/0!</v>
      </c>
      <c r="O137" s="4" t="e">
        <f>IF(ISBLANK('Raw touched'!O137),((O$5*SLOPE('Raw touched'!$E137:$U137,$E$5:$U$5))+INTERCEPT('Raw touched'!$E137:$U137,$E$5:$U$5)),'Raw touched'!O137)</f>
        <v>#DIV/0!</v>
      </c>
      <c r="P137" s="4" t="e">
        <f>IF(ISBLANK('Raw touched'!P137),((P$5*SLOPE('Raw touched'!$E137:$U137,$E$5:$U$5))+INTERCEPT('Raw touched'!$E137:$U137,$E$5:$U$5)),'Raw touched'!P137)</f>
        <v>#DIV/0!</v>
      </c>
      <c r="Q137" s="4" t="e">
        <f>IF(ISBLANK('Raw touched'!Q137),((Q$5*SLOPE('Raw touched'!$E137:$U137,$E$5:$U$5))+INTERCEPT('Raw touched'!$E137:$U137,$E$5:$U$5)),'Raw touched'!Q137)</f>
        <v>#DIV/0!</v>
      </c>
      <c r="R137" s="4" t="e">
        <f>IF(ISBLANK('Raw touched'!R137),((R$5*SLOPE('Raw touched'!$E137:$U137,$E$5:$U$5))+INTERCEPT('Raw touched'!$E137:$U137,$E$5:$U$5)),'Raw touched'!R137)</f>
        <v>#DIV/0!</v>
      </c>
      <c r="S137" s="4" t="e">
        <f>IF(ISBLANK('Raw touched'!S137),((S$5*SLOPE('Raw touched'!$E137:$U137,$E$5:$U$5))+INTERCEPT('Raw touched'!$E137:$U137,$E$5:$U$5)),'Raw touched'!S137)</f>
        <v>#DIV/0!</v>
      </c>
      <c r="T137" s="4" t="e">
        <f>IF(ISBLANK('Raw touched'!T137),((T$5*SLOPE('Raw touched'!$E137:$U137,$E$5:$U$5))+INTERCEPT('Raw touched'!$E137:$U137,$E$5:$U$5)),'Raw touched'!T137)</f>
        <v>#DIV/0!</v>
      </c>
      <c r="U137" s="4" t="e">
        <f>IF(ISBLANK('Raw touched'!U137),((U$5*SLOPE('Raw touched'!$E137:$U137,$E$5:$U$5))+INTERCEPT('Raw touched'!$E137:$U137,$E$5:$U$5)),'Raw touched'!U137)</f>
        <v>#DIV/0!</v>
      </c>
    </row>
    <row r="138" spans="3:21" ht="13">
      <c r="C138" s="1" t="s">
        <v>94</v>
      </c>
      <c r="D138" s="1" t="s">
        <v>187</v>
      </c>
      <c r="E138" s="4">
        <f>IF(ISBLANK('Raw touched'!E138),((E$5*SLOPE('Raw touched'!$E138:$U138,$E$5:$U$5))+INTERCEPT('Raw touched'!$E138:$U138,$E$5:$U$5)),'Raw touched'!E138)</f>
        <v>33.5</v>
      </c>
      <c r="F138" s="4">
        <f>IF(ISBLANK('Raw touched'!F138),((F$5*SLOPE('Raw touched'!$E138:$U138,$E$5:$U$5))+INTERCEPT('Raw touched'!$E138:$U138,$E$5:$U$5)),'Raw touched'!F138)</f>
        <v>33.599998470000003</v>
      </c>
      <c r="G138" s="4">
        <f>IF(ISBLANK('Raw touched'!G138),((G$5*SLOPE('Raw touched'!$E138:$U138,$E$5:$U$5))+INTERCEPT('Raw touched'!$E138:$U138,$E$5:$U$5)),'Raw touched'!G138)</f>
        <v>29.399999619999999</v>
      </c>
      <c r="H138" s="4">
        <f>IF(ISBLANK('Raw touched'!H138),((H$5*SLOPE('Raw touched'!$E138:$U138,$E$5:$U$5))+INTERCEPT('Raw touched'!$E138:$U138,$E$5:$U$5)),'Raw touched'!H138)</f>
        <v>28.100000380000001</v>
      </c>
      <c r="I138" s="4">
        <f>IF(ISBLANK('Raw touched'!I138),((I$5*SLOPE('Raw touched'!$E138:$U138,$E$5:$U$5))+INTERCEPT('Raw touched'!$E138:$U138,$E$5:$U$5)),'Raw touched'!I138)</f>
        <v>34.599998470000003</v>
      </c>
      <c r="J138" s="4">
        <f>IF(ISBLANK('Raw touched'!J138),((J$5*SLOPE('Raw touched'!$E138:$U138,$E$5:$U$5))+INTERCEPT('Raw touched'!$E138:$U138,$E$5:$U$5)),'Raw touched'!J138)</f>
        <v>34.599998470000003</v>
      </c>
      <c r="K138" s="4">
        <f>IF(ISBLANK('Raw touched'!K138),((K$5*SLOPE('Raw touched'!$E138:$U138,$E$5:$U$5))+INTERCEPT('Raw touched'!$E138:$U138,$E$5:$U$5)),'Raw touched'!K138)</f>
        <v>34.599998470000003</v>
      </c>
      <c r="L138" s="4">
        <f>IF(ISBLANK('Raw touched'!L138),((L$5*SLOPE('Raw touched'!$E138:$U138,$E$5:$U$5))+INTERCEPT('Raw touched'!$E138:$U138,$E$5:$U$5)),'Raw touched'!L138)</f>
        <v>34.276905341334214</v>
      </c>
      <c r="M138" s="4">
        <f>IF(ISBLANK('Raw touched'!M138),((M$5*SLOPE('Raw touched'!$E138:$U138,$E$5:$U$5))+INTERCEPT('Raw touched'!$E138:$U138,$E$5:$U$5)),'Raw touched'!M138)</f>
        <v>34.696630346206803</v>
      </c>
      <c r="N138" s="4">
        <f>IF(ISBLANK('Raw touched'!N138),((N$5*SLOPE('Raw touched'!$E138:$U138,$E$5:$U$5))+INTERCEPT('Raw touched'!$E138:$U138,$E$5:$U$5)),'Raw touched'!N138)</f>
        <v>35.116355351079392</v>
      </c>
      <c r="O138" s="4">
        <f>IF(ISBLANK('Raw touched'!O138),((O$5*SLOPE('Raw touched'!$E138:$U138,$E$5:$U$5))+INTERCEPT('Raw touched'!$E138:$U138,$E$5:$U$5)),'Raw touched'!O138)</f>
        <v>35.536080355951981</v>
      </c>
      <c r="P138" s="4">
        <f>IF(ISBLANK('Raw touched'!P138),((P$5*SLOPE('Raw touched'!$E138:$U138,$E$5:$U$5))+INTERCEPT('Raw touched'!$E138:$U138,$E$5:$U$5)),'Raw touched'!P138)</f>
        <v>34.122634470000001</v>
      </c>
      <c r="Q138" s="4">
        <f>IF(ISBLANK('Raw touched'!Q138),((Q$5*SLOPE('Raw touched'!$E138:$U138,$E$5:$U$5))+INTERCEPT('Raw touched'!$E138:$U138,$E$5:$U$5)),'Raw touched'!Q138)</f>
        <v>36.65</v>
      </c>
      <c r="R138" s="4">
        <f>IF(ISBLANK('Raw touched'!R138),((R$5*SLOPE('Raw touched'!$E138:$U138,$E$5:$U$5))+INTERCEPT('Raw touched'!$E138:$U138,$E$5:$U$5)),'Raw touched'!R138)</f>
        <v>38.14</v>
      </c>
      <c r="S138" s="4">
        <f>IF(ISBLANK('Raw touched'!S138),((S$5*SLOPE('Raw touched'!$E138:$U138,$E$5:$U$5))+INTERCEPT('Raw touched'!$E138:$U138,$E$5:$U$5)),'Raw touched'!S138)</f>
        <v>37.214980375442224</v>
      </c>
      <c r="T138" s="4">
        <f>IF(ISBLANK('Raw touched'!T138),((T$5*SLOPE('Raw touched'!$E138:$U138,$E$5:$U$5))+INTERCEPT('Raw touched'!$E138:$U138,$E$5:$U$5)),'Raw touched'!T138)</f>
        <v>37.634705380314813</v>
      </c>
      <c r="U138" s="4">
        <f>IF(ISBLANK('Raw touched'!U138),((U$5*SLOPE('Raw touched'!$E138:$U138,$E$5:$U$5))+INTERCEPT('Raw touched'!$E138:$U138,$E$5:$U$5)),'Raw touched'!U138)</f>
        <v>38.054430385187288</v>
      </c>
    </row>
    <row r="139" spans="3:21" ht="13">
      <c r="C139" s="1" t="s">
        <v>289</v>
      </c>
      <c r="D139" s="1" t="s">
        <v>38</v>
      </c>
      <c r="E139" s="4">
        <f>IF(ISBLANK('Raw touched'!E139),((E$5*SLOPE('Raw touched'!$E139:$U139,$E$5:$U$5))+INTERCEPT('Raw touched'!$E139:$U139,$E$5:$U$5)),'Raw touched'!E139)</f>
        <v>3.4000000950000002</v>
      </c>
      <c r="F139" s="4">
        <f>IF(ISBLANK('Raw touched'!F139),((F$5*SLOPE('Raw touched'!$E139:$U139,$E$5:$U$5))+INTERCEPT('Raw touched'!$E139:$U139,$E$5:$U$5)),'Raw touched'!F139)</f>
        <v>3.5</v>
      </c>
      <c r="G139" s="4">
        <f>IF(ISBLANK('Raw touched'!G139),((G$5*SLOPE('Raw touched'!$E139:$U139,$E$5:$U$5))+INTERCEPT('Raw touched'!$E139:$U139,$E$5:$U$5)),'Raw touched'!G139)</f>
        <v>3.5</v>
      </c>
      <c r="H139" s="4">
        <f>IF(ISBLANK('Raw touched'!H139),((H$5*SLOPE('Raw touched'!$E139:$U139,$E$5:$U$5))+INTERCEPT('Raw touched'!$E139:$U139,$E$5:$U$5)),'Raw touched'!H139)</f>
        <v>3.5</v>
      </c>
      <c r="I139" s="4">
        <f>IF(ISBLANK('Raw touched'!I139),((I$5*SLOPE('Raw touched'!$E139:$U139,$E$5:$U$5))+INTERCEPT('Raw touched'!$E139:$U139,$E$5:$U$5)),'Raw touched'!I139)</f>
        <v>3.5</v>
      </c>
      <c r="J139" s="4">
        <f>IF(ISBLANK('Raw touched'!J139),((J$5*SLOPE('Raw touched'!$E139:$U139,$E$5:$U$5))+INTERCEPT('Raw touched'!$E139:$U139,$E$5:$U$5)),'Raw touched'!J139)</f>
        <v>3.5</v>
      </c>
      <c r="K139" s="4">
        <f>IF(ISBLANK('Raw touched'!K139),((K$5*SLOPE('Raw touched'!$E139:$U139,$E$5:$U$5))+INTERCEPT('Raw touched'!$E139:$U139,$E$5:$U$5)),'Raw touched'!K139)</f>
        <v>3.5</v>
      </c>
      <c r="L139" s="4">
        <f>IF(ISBLANK('Raw touched'!L139),((L$5*SLOPE('Raw touched'!$E139:$U139,$E$5:$U$5))+INTERCEPT('Raw touched'!$E139:$U139,$E$5:$U$5)),'Raw touched'!L139)</f>
        <v>3.5285714014285716</v>
      </c>
      <c r="M139" s="4">
        <f>IF(ISBLANK('Raw touched'!M139),((M$5*SLOPE('Raw touched'!$E139:$U139,$E$5:$U$5))+INTERCEPT('Raw touched'!$E139:$U139,$E$5:$U$5)),'Raw touched'!M139)</f>
        <v>3.5392856769642833</v>
      </c>
      <c r="N139" s="4">
        <f>IF(ISBLANK('Raw touched'!N139),((N$5*SLOPE('Raw touched'!$E139:$U139,$E$5:$U$5))+INTERCEPT('Raw touched'!$E139:$U139,$E$5:$U$5)),'Raw touched'!N139)</f>
        <v>3.5499999524999986</v>
      </c>
      <c r="O139" s="4">
        <f>IF(ISBLANK('Raw touched'!O139),((O$5*SLOPE('Raw touched'!$E139:$U139,$E$5:$U$5))+INTERCEPT('Raw touched'!$E139:$U139,$E$5:$U$5)),'Raw touched'!O139)</f>
        <v>3.5607142280357138</v>
      </c>
      <c r="P139" s="4">
        <f>IF(ISBLANK('Raw touched'!P139),((P$5*SLOPE('Raw touched'!$E139:$U139,$E$5:$U$5))+INTERCEPT('Raw touched'!$E139:$U139,$E$5:$U$5)),'Raw touched'!P139)</f>
        <v>3.571428503571429</v>
      </c>
      <c r="Q139" s="4">
        <f>IF(ISBLANK('Raw touched'!Q139),((Q$5*SLOPE('Raw touched'!$E139:$U139,$E$5:$U$5))+INTERCEPT('Raw touched'!$E139:$U139,$E$5:$U$5)),'Raw touched'!Q139)</f>
        <v>3.5821427791071407</v>
      </c>
      <c r="R139" s="4">
        <f>IF(ISBLANK('Raw touched'!R139),((R$5*SLOPE('Raw touched'!$E139:$U139,$E$5:$U$5))+INTERCEPT('Raw touched'!$E139:$U139,$E$5:$U$5)),'Raw touched'!R139)</f>
        <v>3.592857054642856</v>
      </c>
      <c r="S139" s="4">
        <f>IF(ISBLANK('Raw touched'!S139),((S$5*SLOPE('Raw touched'!$E139:$U139,$E$5:$U$5))+INTERCEPT('Raw touched'!$E139:$U139,$E$5:$U$5)),'Raw touched'!S139)</f>
        <v>3.6035713301785712</v>
      </c>
      <c r="T139" s="4">
        <f>IF(ISBLANK('Raw touched'!T139),((T$5*SLOPE('Raw touched'!$E139:$U139,$E$5:$U$5))+INTERCEPT('Raw touched'!$E139:$U139,$E$5:$U$5)),'Raw touched'!T139)</f>
        <v>3.6142856057142865</v>
      </c>
      <c r="U139" s="4">
        <f>IF(ISBLANK('Raw touched'!U139),((U$5*SLOPE('Raw touched'!$E139:$U139,$E$5:$U$5))+INTERCEPT('Raw touched'!$E139:$U139,$E$5:$U$5)),'Raw touched'!U139)</f>
        <v>3.6249998812499982</v>
      </c>
    </row>
    <row r="140" spans="3:21" ht="13">
      <c r="C140" s="1" t="s">
        <v>338</v>
      </c>
      <c r="D140" s="1" t="s">
        <v>97</v>
      </c>
      <c r="E140" s="4">
        <f>IF(ISBLANK('Raw touched'!E140),((E$5*SLOPE('Raw touched'!$E140:$U140,$E$5:$U$5))+INTERCEPT('Raw touched'!$E140:$U140,$E$5:$U$5)),'Raw touched'!E140)</f>
        <v>50.799999239999998</v>
      </c>
      <c r="F140" s="4">
        <f>IF(ISBLANK('Raw touched'!F140),((F$5*SLOPE('Raw touched'!$E140:$U140,$E$5:$U$5))+INTERCEPT('Raw touched'!$E140:$U140,$E$5:$U$5)),'Raw touched'!F140)</f>
        <v>50.799999239999998</v>
      </c>
      <c r="G140" s="4">
        <f>IF(ISBLANK('Raw touched'!G140),((G$5*SLOPE('Raw touched'!$E140:$U140,$E$5:$U$5))+INTERCEPT('Raw touched'!$E140:$U140,$E$5:$U$5)),'Raw touched'!G140)</f>
        <v>50.799999239999998</v>
      </c>
      <c r="H140" s="4">
        <f>IF(ISBLANK('Raw touched'!H140),((H$5*SLOPE('Raw touched'!$E140:$U140,$E$5:$U$5))+INTERCEPT('Raw touched'!$E140:$U140,$E$5:$U$5)),'Raw touched'!H140)</f>
        <v>50.799999239999998</v>
      </c>
      <c r="I140" s="4">
        <f>IF(ISBLANK('Raw touched'!I140),((I$5*SLOPE('Raw touched'!$E140:$U140,$E$5:$U$5))+INTERCEPT('Raw touched'!$E140:$U140,$E$5:$U$5)),'Raw touched'!I140)</f>
        <v>50.799999239999998</v>
      </c>
      <c r="J140" s="4">
        <f>IF(ISBLANK('Raw touched'!J140),((J$5*SLOPE('Raw touched'!$E140:$U140,$E$5:$U$5))+INTERCEPT('Raw touched'!$E140:$U140,$E$5:$U$5)),'Raw touched'!J140)</f>
        <v>50.799999239999998</v>
      </c>
      <c r="K140" s="4">
        <f>IF(ISBLANK('Raw touched'!K140),((K$5*SLOPE('Raw touched'!$E140:$U140,$E$5:$U$5))+INTERCEPT('Raw touched'!$E140:$U140,$E$5:$U$5)),'Raw touched'!K140)</f>
        <v>50.799999239999998</v>
      </c>
      <c r="L140" s="4">
        <f>IF(ISBLANK('Raw touched'!L140),((L$5*SLOPE('Raw touched'!$E140:$U140,$E$5:$U$5))+INTERCEPT('Raw touched'!$E140:$U140,$E$5:$U$5)),'Raw touched'!L140)</f>
        <v>50.799999239999998</v>
      </c>
      <c r="M140" s="4">
        <f>IF(ISBLANK('Raw touched'!M140),((M$5*SLOPE('Raw touched'!$E140:$U140,$E$5:$U$5))+INTERCEPT('Raw touched'!$E140:$U140,$E$5:$U$5)),'Raw touched'!M140)</f>
        <v>50.799999239999998</v>
      </c>
      <c r="N140" s="4">
        <f>IF(ISBLANK('Raw touched'!N140),((N$5*SLOPE('Raw touched'!$E140:$U140,$E$5:$U$5))+INTERCEPT('Raw touched'!$E140:$U140,$E$5:$U$5)),'Raw touched'!N140)</f>
        <v>50.799999239999998</v>
      </c>
      <c r="O140" s="4">
        <f>IF(ISBLANK('Raw touched'!O140),((O$5*SLOPE('Raw touched'!$E140:$U140,$E$5:$U$5))+INTERCEPT('Raw touched'!$E140:$U140,$E$5:$U$5)),'Raw touched'!O140)</f>
        <v>50.799999239999998</v>
      </c>
      <c r="P140" s="4">
        <f>IF(ISBLANK('Raw touched'!P140),((P$5*SLOPE('Raw touched'!$E140:$U140,$E$5:$U$5))+INTERCEPT('Raw touched'!$E140:$U140,$E$5:$U$5)),'Raw touched'!P140)</f>
        <v>50.799999239999998</v>
      </c>
      <c r="Q140" s="4">
        <f>IF(ISBLANK('Raw touched'!Q140),((Q$5*SLOPE('Raw touched'!$E140:$U140,$E$5:$U$5))+INTERCEPT('Raw touched'!$E140:$U140,$E$5:$U$5)),'Raw touched'!Q140)</f>
        <v>50.799999239999998</v>
      </c>
      <c r="R140" s="4">
        <f>IF(ISBLANK('Raw touched'!R140),((R$5*SLOPE('Raw touched'!$E140:$U140,$E$5:$U$5))+INTERCEPT('Raw touched'!$E140:$U140,$E$5:$U$5)),'Raw touched'!R140)</f>
        <v>50.799999239999998</v>
      </c>
      <c r="S140" s="4">
        <f>IF(ISBLANK('Raw touched'!S140),((S$5*SLOPE('Raw touched'!$E140:$U140,$E$5:$U$5))+INTERCEPT('Raw touched'!$E140:$U140,$E$5:$U$5)),'Raw touched'!S140)</f>
        <v>50.799999239999998</v>
      </c>
      <c r="T140" s="4">
        <f>IF(ISBLANK('Raw touched'!T140),((T$5*SLOPE('Raw touched'!$E140:$U140,$E$5:$U$5))+INTERCEPT('Raw touched'!$E140:$U140,$E$5:$U$5)),'Raw touched'!T140)</f>
        <v>50.799999239999998</v>
      </c>
      <c r="U140" s="4">
        <f>IF(ISBLANK('Raw touched'!U140),((U$5*SLOPE('Raw touched'!$E140:$U140,$E$5:$U$5))+INTERCEPT('Raw touched'!$E140:$U140,$E$5:$U$5)),'Raw touched'!U140)</f>
        <v>50.799999239999998</v>
      </c>
    </row>
    <row r="141" spans="3:21" ht="13">
      <c r="C141" s="1" t="s">
        <v>153</v>
      </c>
      <c r="D141" s="1" t="s">
        <v>55</v>
      </c>
      <c r="E141" s="4">
        <f>IF(ISBLANK('Raw touched'!E141),((E$5*SLOPE('Raw touched'!$E141:$U141,$E$5:$U$5))+INTERCEPT('Raw touched'!$E141:$U141,$E$5:$U$5)),'Raw touched'!E141)</f>
        <v>11.399999619999999</v>
      </c>
      <c r="F141" s="4">
        <f>IF(ISBLANK('Raw touched'!F141),((F$5*SLOPE('Raw touched'!$E141:$U141,$E$5:$U$5))+INTERCEPT('Raw touched'!$E141:$U141,$E$5:$U$5)),'Raw touched'!F141)</f>
        <v>11.600000380000001</v>
      </c>
      <c r="G141" s="4">
        <f>IF(ISBLANK('Raw touched'!G141),((G$5*SLOPE('Raw touched'!$E141:$U141,$E$5:$U$5))+INTERCEPT('Raw touched'!$E141:$U141,$E$5:$U$5)),'Raw touched'!G141)</f>
        <v>11.80000019</v>
      </c>
      <c r="H141" s="4">
        <f>IF(ISBLANK('Raw touched'!H141),((H$5*SLOPE('Raw touched'!$E141:$U141,$E$5:$U$5))+INTERCEPT('Raw touched'!$E141:$U141,$E$5:$U$5)),'Raw touched'!H141)</f>
        <v>12.97000027</v>
      </c>
      <c r="I141" s="4">
        <f>IF(ISBLANK('Raw touched'!I141),((I$5*SLOPE('Raw touched'!$E141:$U141,$E$5:$U$5))+INTERCEPT('Raw touched'!$E141:$U141,$E$5:$U$5)),'Raw touched'!I141)</f>
        <v>13.039999959999999</v>
      </c>
      <c r="J141" s="4">
        <f>IF(ISBLANK('Raw touched'!J141),((J$5*SLOPE('Raw touched'!$E141:$U141,$E$5:$U$5))+INTERCEPT('Raw touched'!$E141:$U141,$E$5:$U$5)),'Raw touched'!J141)</f>
        <v>13.350000380000001</v>
      </c>
      <c r="K141" s="4">
        <f>IF(ISBLANK('Raw touched'!K141),((K$5*SLOPE('Raw touched'!$E141:$U141,$E$5:$U$5))+INTERCEPT('Raw touched'!$E141:$U141,$E$5:$U$5)),'Raw touched'!K141)</f>
        <v>13.35999966</v>
      </c>
      <c r="L141" s="4">
        <f>IF(ISBLANK('Raw touched'!L141),((L$5*SLOPE('Raw touched'!$E141:$U141,$E$5:$U$5))+INTERCEPT('Raw touched'!$E141:$U141,$E$5:$U$5)),'Raw touched'!L141)</f>
        <v>14.399999619999999</v>
      </c>
      <c r="M141" s="4">
        <f>IF(ISBLANK('Raw touched'!M141),((M$5*SLOPE('Raw touched'!$E141:$U141,$E$5:$U$5))+INTERCEPT('Raw touched'!$E141:$U141,$E$5:$U$5)),'Raw touched'!M141)</f>
        <v>13.10999966</v>
      </c>
      <c r="N141" s="4">
        <f>IF(ISBLANK('Raw touched'!N141),((N$5*SLOPE('Raw touched'!$E141:$U141,$E$5:$U$5))+INTERCEPT('Raw touched'!$E141:$U141,$E$5:$U$5)),'Raw touched'!N141)</f>
        <v>14.399999619999999</v>
      </c>
      <c r="O141" s="4">
        <f>IF(ISBLANK('Raw touched'!O141),((O$5*SLOPE('Raw touched'!$E141:$U141,$E$5:$U$5))+INTERCEPT('Raw touched'!$E141:$U141,$E$5:$U$5)),'Raw touched'!O141)</f>
        <v>14.309950151233124</v>
      </c>
      <c r="P141" s="4">
        <f>IF(ISBLANK('Raw touched'!P141),((P$5*SLOPE('Raw touched'!$E141:$U141,$E$5:$U$5))+INTERCEPT('Raw touched'!$E141:$U141,$E$5:$U$5)),'Raw touched'!P141)</f>
        <v>13.88094093</v>
      </c>
      <c r="Q141" s="4">
        <f>IF(ISBLANK('Raw touched'!Q141),((Q$5*SLOPE('Raw touched'!$E141:$U141,$E$5:$U$5))+INTERCEPT('Raw touched'!$E141:$U141,$E$5:$U$5)),'Raw touched'!Q141)</f>
        <v>14.832117239142804</v>
      </c>
      <c r="R141" s="4">
        <f>IF(ISBLANK('Raw touched'!R141),((R$5*SLOPE('Raw touched'!$E141:$U141,$E$5:$U$5))+INTERCEPT('Raw touched'!$E141:$U141,$E$5:$U$5)),'Raw touched'!R141)</f>
        <v>15.0932007830977</v>
      </c>
      <c r="S141" s="4">
        <f>IF(ISBLANK('Raw touched'!S141),((S$5*SLOPE('Raw touched'!$E141:$U141,$E$5:$U$5))+INTERCEPT('Raw touched'!$E141:$U141,$E$5:$U$5)),'Raw touched'!S141)</f>
        <v>15.354284327052596</v>
      </c>
      <c r="T141" s="4">
        <f>IF(ISBLANK('Raw touched'!T141),((T$5*SLOPE('Raw touched'!$E141:$U141,$E$5:$U$5))+INTERCEPT('Raw touched'!$E141:$U141,$E$5:$U$5)),'Raw touched'!T141)</f>
        <v>15.615367871007493</v>
      </c>
      <c r="U141" s="4">
        <f>IF(ISBLANK('Raw touched'!U141),((U$5*SLOPE('Raw touched'!$E141:$U141,$E$5:$U$5))+INTERCEPT('Raw touched'!$E141:$U141,$E$5:$U$5)),'Raw touched'!U141)</f>
        <v>15.876451414962389</v>
      </c>
    </row>
    <row r="142" spans="3:21" ht="13">
      <c r="C142" s="1" t="s">
        <v>28</v>
      </c>
      <c r="D142" s="1" t="s">
        <v>171</v>
      </c>
      <c r="E142" s="4">
        <f>IF(ISBLANK('Raw touched'!E142),((E$5*SLOPE('Raw touched'!$E142:$U142,$E$5:$U$5))+INTERCEPT('Raw touched'!$E142:$U142,$E$5:$U$5)),'Raw touched'!E142)</f>
        <v>16.700000760000002</v>
      </c>
      <c r="F142" s="4">
        <f>IF(ISBLANK('Raw touched'!F142),((F$5*SLOPE('Raw touched'!$E142:$U142,$E$5:$U$5))+INTERCEPT('Raw touched'!$E142:$U142,$E$5:$U$5)),'Raw touched'!F142)</f>
        <v>17.399999619999999</v>
      </c>
      <c r="G142" s="4">
        <f>IF(ISBLANK('Raw touched'!G142),((G$5*SLOPE('Raw touched'!$E142:$U142,$E$5:$U$5))+INTERCEPT('Raw touched'!$E142:$U142,$E$5:$U$5)),'Raw touched'!G142)</f>
        <v>17.700000760000002</v>
      </c>
      <c r="H142" s="4">
        <f>IF(ISBLANK('Raw touched'!H142),((H$5*SLOPE('Raw touched'!$E142:$U142,$E$5:$U$5))+INTERCEPT('Raw touched'!$E142:$U142,$E$5:$U$5)),'Raw touched'!H142)</f>
        <v>19.799999239999998</v>
      </c>
      <c r="I142" s="4">
        <f>IF(ISBLANK('Raw touched'!I142),((I$5*SLOPE('Raw touched'!$E142:$U142,$E$5:$U$5))+INTERCEPT('Raw touched'!$E142:$U142,$E$5:$U$5)),'Raw touched'!I142)</f>
        <v>20</v>
      </c>
      <c r="J142" s="4">
        <f>IF(ISBLANK('Raw touched'!J142),((J$5*SLOPE('Raw touched'!$E142:$U142,$E$5:$U$5))+INTERCEPT('Raw touched'!$E142:$U142,$E$5:$U$5)),'Raw touched'!J142)</f>
        <v>14.300531803462945</v>
      </c>
      <c r="K142" s="4">
        <f>IF(ISBLANK('Raw touched'!K142),((K$5*SLOPE('Raw touched'!$E142:$U142,$E$5:$U$5))+INTERCEPT('Raw touched'!$E142:$U142,$E$5:$U$5)),'Raw touched'!K142)</f>
        <v>13.210904065987052</v>
      </c>
      <c r="L142" s="4">
        <f>IF(ISBLANK('Raw touched'!L142),((L$5*SLOPE('Raw touched'!$E142:$U142,$E$5:$U$5))+INTERCEPT('Raw touched'!$E142:$U142,$E$5:$U$5)),'Raw touched'!L142)</f>
        <v>9.5</v>
      </c>
      <c r="M142" s="4">
        <f>IF(ISBLANK('Raw touched'!M142),((M$5*SLOPE('Raw touched'!$E142:$U142,$E$5:$U$5))+INTERCEPT('Raw touched'!$E142:$U142,$E$5:$U$5)),'Raw touched'!M142)</f>
        <v>9.8999996190000008</v>
      </c>
      <c r="N142" s="4">
        <f>IF(ISBLANK('Raw touched'!N142),((N$5*SLOPE('Raw touched'!$E142:$U142,$E$5:$U$5))+INTERCEPT('Raw touched'!$E142:$U142,$E$5:$U$5)),'Raw touched'!N142)</f>
        <v>9.9420208535584607</v>
      </c>
      <c r="O142" s="4">
        <f>IF(ISBLANK('Raw touched'!O142),((O$5*SLOPE('Raw touched'!$E142:$U142,$E$5:$U$5))+INTERCEPT('Raw touched'!$E142:$U142,$E$5:$U$5)),'Raw touched'!O142)</f>
        <v>8.8523931160825668</v>
      </c>
      <c r="P142" s="4">
        <f>IF(ISBLANK('Raw touched'!P142),((P$5*SLOPE('Raw touched'!$E142:$U142,$E$5:$U$5))+INTERCEPT('Raw touched'!$E142:$U142,$E$5:$U$5)),'Raw touched'!P142)</f>
        <v>7.762765378606673</v>
      </c>
      <c r="Q142" s="4">
        <f>IF(ISBLANK('Raw touched'!Q142),((Q$5*SLOPE('Raw touched'!$E142:$U142,$E$5:$U$5))+INTERCEPT('Raw touched'!$E142:$U142,$E$5:$U$5)),'Raw touched'!Q142)</f>
        <v>6.6731376411303245</v>
      </c>
      <c r="R142" s="4">
        <f>IF(ISBLANK('Raw touched'!R142),((R$5*SLOPE('Raw touched'!$E142:$U142,$E$5:$U$5))+INTERCEPT('Raw touched'!$E142:$U142,$E$5:$U$5)),'Raw touched'!R142)</f>
        <v>5.5835099036544307</v>
      </c>
      <c r="S142" s="4">
        <f>IF(ISBLANK('Raw touched'!S142),((S$5*SLOPE('Raw touched'!$E142:$U142,$E$5:$U$5))+INTERCEPT('Raw touched'!$E142:$U142,$E$5:$U$5)),'Raw touched'!S142)</f>
        <v>4.4938821661785369</v>
      </c>
      <c r="T142" s="4">
        <f>IF(ISBLANK('Raw touched'!T142),((T$5*SLOPE('Raw touched'!$E142:$U142,$E$5:$U$5))+INTERCEPT('Raw touched'!$E142:$U142,$E$5:$U$5)),'Raw touched'!T142)</f>
        <v>3.4042544287021883</v>
      </c>
      <c r="U142" s="4">
        <f>IF(ISBLANK('Raw touched'!U142),((U$5*SLOPE('Raw touched'!$E142:$U142,$E$5:$U$5))+INTERCEPT('Raw touched'!$E142:$U142,$E$5:$U$5)),'Raw touched'!U142)</f>
        <v>2.3146266912262945</v>
      </c>
    </row>
    <row r="143" spans="3:21" ht="13">
      <c r="C143" s="1" t="s">
        <v>302</v>
      </c>
      <c r="D143" s="1" t="s">
        <v>119</v>
      </c>
      <c r="E143" s="4">
        <f>IF(ISBLANK('Raw touched'!E143),((E$5*SLOPE('Raw touched'!$E143:$U143,$E$5:$U$5))+INTERCEPT('Raw touched'!$E143:$U143,$E$5:$U$5)),'Raw touched'!E143)</f>
        <v>65.300003050000001</v>
      </c>
      <c r="F143" s="4">
        <f>IF(ISBLANK('Raw touched'!F143),((F$5*SLOPE('Raw touched'!$E143:$U143,$E$5:$U$5))+INTERCEPT('Raw touched'!$E143:$U143,$E$5:$U$5)),'Raw touched'!F143)</f>
        <v>65.400001529999997</v>
      </c>
      <c r="G143" s="4">
        <f>IF(ISBLANK('Raw touched'!G143),((G$5*SLOPE('Raw touched'!$E143:$U143,$E$5:$U$5))+INTERCEPT('Raw touched'!$E143:$U143,$E$5:$U$5)),'Raw touched'!G143)</f>
        <v>65.699996949999999</v>
      </c>
      <c r="H143" s="4">
        <f>IF(ISBLANK('Raw touched'!H143),((H$5*SLOPE('Raw touched'!$E143:$U143,$E$5:$U$5))+INTERCEPT('Raw touched'!$E143:$U143,$E$5:$U$5)),'Raw touched'!H143)</f>
        <v>65.599998470000003</v>
      </c>
      <c r="I143" s="4">
        <f>IF(ISBLANK('Raw touched'!I143),((I$5*SLOPE('Raw touched'!$E143:$U143,$E$5:$U$5))+INTERCEPT('Raw touched'!$E143:$U143,$E$5:$U$5)),'Raw touched'!I143)</f>
        <v>65.599998470000003</v>
      </c>
      <c r="J143" s="4">
        <f>IF(ISBLANK('Raw touched'!J143),((J$5*SLOPE('Raw touched'!$E143:$U143,$E$5:$U$5))+INTERCEPT('Raw touched'!$E143:$U143,$E$5:$U$5)),'Raw touched'!J143)</f>
        <v>68.300003050000001</v>
      </c>
      <c r="K143" s="4">
        <f>IF(ISBLANK('Raw touched'!K143),((K$5*SLOPE('Raw touched'!$E143:$U143,$E$5:$U$5))+INTERCEPT('Raw touched'!$E143:$U143,$E$5:$U$5)),'Raw touched'!K143)</f>
        <v>68.300003050000001</v>
      </c>
      <c r="L143" s="4">
        <f>IF(ISBLANK('Raw touched'!L143),((L$5*SLOPE('Raw touched'!$E143:$U143,$E$5:$U$5))+INTERCEPT('Raw touched'!$E143:$U143,$E$5:$U$5)),'Raw touched'!L143)</f>
        <v>67.057554189318921</v>
      </c>
      <c r="M143" s="4">
        <f>IF(ISBLANK('Raw touched'!M143),((M$5*SLOPE('Raw touched'!$E143:$U143,$E$5:$U$5))+INTERCEPT('Raw touched'!$E143:$U143,$E$5:$U$5)),'Raw touched'!M143)</f>
        <v>69.660003660000001</v>
      </c>
      <c r="N143" s="4">
        <f>IF(ISBLANK('Raw touched'!N143),((N$5*SLOPE('Raw touched'!$E143:$U143,$E$5:$U$5))+INTERCEPT('Raw touched'!$E143:$U143,$E$5:$U$5)),'Raw touched'!N143)</f>
        <v>67.451209887502841</v>
      </c>
      <c r="O143" s="4">
        <f>IF(ISBLANK('Raw touched'!O143),((O$5*SLOPE('Raw touched'!$E143:$U143,$E$5:$U$5))+INTERCEPT('Raw touched'!$E143:$U143,$E$5:$U$5)),'Raw touched'!O143)</f>
        <v>66.528479320000002</v>
      </c>
      <c r="P143" s="4">
        <f>IF(ISBLANK('Raw touched'!P143),((P$5*SLOPE('Raw touched'!$E143:$U143,$E$5:$U$5))+INTERCEPT('Raw touched'!$E143:$U143,$E$5:$U$5)),'Raw touched'!P143)</f>
        <v>66.788346730000001</v>
      </c>
      <c r="Q143" s="4">
        <f>IF(ISBLANK('Raw touched'!Q143),((Q$5*SLOPE('Raw touched'!$E143:$U143,$E$5:$U$5))+INTERCEPT('Raw touched'!$E143:$U143,$E$5:$U$5)),'Raw touched'!Q143)</f>
        <v>67.591072879999999</v>
      </c>
      <c r="R143" s="4">
        <f>IF(ISBLANK('Raw touched'!R143),((R$5*SLOPE('Raw touched'!$E143:$U143,$E$5:$U$5))+INTERCEPT('Raw touched'!$E143:$U143,$E$5:$U$5)),'Raw touched'!R143)</f>
        <v>68.151292470000001</v>
      </c>
      <c r="S143" s="4">
        <f>IF(ISBLANK('Raw touched'!S143),((S$5*SLOPE('Raw touched'!$E143:$U143,$E$5:$U$5))+INTERCEPT('Raw touched'!$E143:$U143,$E$5:$U$5)),'Raw touched'!S143)</f>
        <v>68.435349132962529</v>
      </c>
      <c r="T143" s="4">
        <f>IF(ISBLANK('Raw touched'!T143),((T$5*SLOPE('Raw touched'!$E143:$U143,$E$5:$U$5))+INTERCEPT('Raw touched'!$E143:$U143,$E$5:$U$5)),'Raw touched'!T143)</f>
        <v>68.632176982054489</v>
      </c>
      <c r="U143" s="4">
        <f>IF(ISBLANK('Raw touched'!U143),((U$5*SLOPE('Raw touched'!$E143:$U143,$E$5:$U$5))+INTERCEPT('Raw touched'!$E143:$U143,$E$5:$U$5)),'Raw touched'!U143)</f>
        <v>68.829004831146392</v>
      </c>
    </row>
    <row r="144" spans="3:21" ht="13">
      <c r="C144" s="1" t="s">
        <v>340</v>
      </c>
      <c r="D144" s="1" t="s">
        <v>73</v>
      </c>
      <c r="E144" s="4">
        <f>IF(ISBLANK('Raw touched'!E144),((E$5*SLOPE('Raw touched'!$E144:$U144,$E$5:$U$5))+INTERCEPT('Raw touched'!$E144:$U144,$E$5:$U$5)),'Raw touched'!E144)</f>
        <v>86</v>
      </c>
      <c r="F144" s="4">
        <f>IF(ISBLANK('Raw touched'!F144),((F$5*SLOPE('Raw touched'!$E144:$U144,$E$5:$U$5))+INTERCEPT('Raw touched'!$E144:$U144,$E$5:$U$5)),'Raw touched'!F144)</f>
        <v>86</v>
      </c>
      <c r="G144" s="4">
        <f>IF(ISBLANK('Raw touched'!G144),((G$5*SLOPE('Raw touched'!$E144:$U144,$E$5:$U$5))+INTERCEPT('Raw touched'!$E144:$U144,$E$5:$U$5)),'Raw touched'!G144)</f>
        <v>86</v>
      </c>
      <c r="H144" s="4">
        <f>IF(ISBLANK('Raw touched'!H144),((H$5*SLOPE('Raw touched'!$E144:$U144,$E$5:$U$5))+INTERCEPT('Raw touched'!$E144:$U144,$E$5:$U$5)),'Raw touched'!H144)</f>
        <v>86</v>
      </c>
      <c r="I144" s="4">
        <f>IF(ISBLANK('Raw touched'!I144),((I$5*SLOPE('Raw touched'!$E144:$U144,$E$5:$U$5))+INTERCEPT('Raw touched'!$E144:$U144,$E$5:$U$5)),'Raw touched'!I144)</f>
        <v>86</v>
      </c>
      <c r="J144" s="4">
        <f>IF(ISBLANK('Raw touched'!J144),((J$5*SLOPE('Raw touched'!$E144:$U144,$E$5:$U$5))+INTERCEPT('Raw touched'!$E144:$U144,$E$5:$U$5)),'Raw touched'!J144)</f>
        <v>86</v>
      </c>
      <c r="K144" s="4">
        <f>IF(ISBLANK('Raw touched'!K144),((K$5*SLOPE('Raw touched'!$E144:$U144,$E$5:$U$5))+INTERCEPT('Raw touched'!$E144:$U144,$E$5:$U$5)),'Raw touched'!K144)</f>
        <v>86</v>
      </c>
      <c r="L144" s="4">
        <f>IF(ISBLANK('Raw touched'!L144),((L$5*SLOPE('Raw touched'!$E144:$U144,$E$5:$U$5))+INTERCEPT('Raw touched'!$E144:$U144,$E$5:$U$5)),'Raw touched'!L144)</f>
        <v>86</v>
      </c>
      <c r="M144" s="4">
        <f>IF(ISBLANK('Raw touched'!M144),((M$5*SLOPE('Raw touched'!$E144:$U144,$E$5:$U$5))+INTERCEPT('Raw touched'!$E144:$U144,$E$5:$U$5)),'Raw touched'!M144)</f>
        <v>86</v>
      </c>
      <c r="N144" s="4">
        <f>IF(ISBLANK('Raw touched'!N144),((N$5*SLOPE('Raw touched'!$E144:$U144,$E$5:$U$5))+INTERCEPT('Raw touched'!$E144:$U144,$E$5:$U$5)),'Raw touched'!N144)</f>
        <v>86</v>
      </c>
      <c r="O144" s="4">
        <f>IF(ISBLANK('Raw touched'!O144),((O$5*SLOPE('Raw touched'!$E144:$U144,$E$5:$U$5))+INTERCEPT('Raw touched'!$E144:$U144,$E$5:$U$5)),'Raw touched'!O144)</f>
        <v>86</v>
      </c>
      <c r="P144" s="4">
        <f>IF(ISBLANK('Raw touched'!P144),((P$5*SLOPE('Raw touched'!$E144:$U144,$E$5:$U$5))+INTERCEPT('Raw touched'!$E144:$U144,$E$5:$U$5)),'Raw touched'!P144)</f>
        <v>86</v>
      </c>
      <c r="Q144" s="4">
        <f>IF(ISBLANK('Raw touched'!Q144),((Q$5*SLOPE('Raw touched'!$E144:$U144,$E$5:$U$5))+INTERCEPT('Raw touched'!$E144:$U144,$E$5:$U$5)),'Raw touched'!Q144)</f>
        <v>86</v>
      </c>
      <c r="R144" s="4">
        <f>IF(ISBLANK('Raw touched'!R144),((R$5*SLOPE('Raw touched'!$E144:$U144,$E$5:$U$5))+INTERCEPT('Raw touched'!$E144:$U144,$E$5:$U$5)),'Raw touched'!R144)</f>
        <v>86</v>
      </c>
      <c r="S144" s="4">
        <f>IF(ISBLANK('Raw touched'!S144),((S$5*SLOPE('Raw touched'!$E144:$U144,$E$5:$U$5))+INTERCEPT('Raw touched'!$E144:$U144,$E$5:$U$5)),'Raw touched'!S144)</f>
        <v>86</v>
      </c>
      <c r="T144" s="4">
        <f>IF(ISBLANK('Raw touched'!T144),((T$5*SLOPE('Raw touched'!$E144:$U144,$E$5:$U$5))+INTERCEPT('Raw touched'!$E144:$U144,$E$5:$U$5)),'Raw touched'!T144)</f>
        <v>86</v>
      </c>
      <c r="U144" s="4">
        <f>IF(ISBLANK('Raw touched'!U144),((U$5*SLOPE('Raw touched'!$E144:$U144,$E$5:$U$5))+INTERCEPT('Raw touched'!$E144:$U144,$E$5:$U$5)),'Raw touched'!U144)</f>
        <v>86</v>
      </c>
    </row>
    <row r="145" spans="3:21" ht="13">
      <c r="C145" s="1" t="s">
        <v>142</v>
      </c>
      <c r="D145" s="1" t="s">
        <v>372</v>
      </c>
      <c r="E145" s="4">
        <f>IF(ISBLANK('Raw touched'!E145),((E$5*SLOPE('Raw touched'!$E145:$U145,$E$5:$U$5))+INTERCEPT('Raw touched'!$E145:$U145,$E$5:$U$5)),'Raw touched'!E145)</f>
        <v>90</v>
      </c>
      <c r="F145" s="4">
        <f>IF(ISBLANK('Raw touched'!F145),((F$5*SLOPE('Raw touched'!$E145:$U145,$E$5:$U$5))+INTERCEPT('Raw touched'!$E145:$U145,$E$5:$U$5)),'Raw touched'!F145)</f>
        <v>90</v>
      </c>
      <c r="G145" s="4">
        <f>IF(ISBLANK('Raw touched'!G145),((G$5*SLOPE('Raw touched'!$E145:$U145,$E$5:$U$5))+INTERCEPT('Raw touched'!$E145:$U145,$E$5:$U$5)),'Raw touched'!G145)</f>
        <v>90</v>
      </c>
      <c r="H145" s="4">
        <f>IF(ISBLANK('Raw touched'!H145),((H$5*SLOPE('Raw touched'!$E145:$U145,$E$5:$U$5))+INTERCEPT('Raw touched'!$E145:$U145,$E$5:$U$5)),'Raw touched'!H145)</f>
        <v>90</v>
      </c>
      <c r="I145" s="4">
        <f>IF(ISBLANK('Raw touched'!I145),((I$5*SLOPE('Raw touched'!$E145:$U145,$E$5:$U$5))+INTERCEPT('Raw touched'!$E145:$U145,$E$5:$U$5)),'Raw touched'!I145)</f>
        <v>90</v>
      </c>
      <c r="J145" s="4">
        <f>IF(ISBLANK('Raw touched'!J145),((J$5*SLOPE('Raw touched'!$E145:$U145,$E$5:$U$5))+INTERCEPT('Raw touched'!$E145:$U145,$E$5:$U$5)),'Raw touched'!J145)</f>
        <v>90</v>
      </c>
      <c r="K145" s="4">
        <f>IF(ISBLANK('Raw touched'!K145),((K$5*SLOPE('Raw touched'!$E145:$U145,$E$5:$U$5))+INTERCEPT('Raw touched'!$E145:$U145,$E$5:$U$5)),'Raw touched'!K145)</f>
        <v>90</v>
      </c>
      <c r="L145" s="4">
        <f>IF(ISBLANK('Raw touched'!L145),((L$5*SLOPE('Raw touched'!$E145:$U145,$E$5:$U$5))+INTERCEPT('Raw touched'!$E145:$U145,$E$5:$U$5)),'Raw touched'!L145)</f>
        <v>90</v>
      </c>
      <c r="M145" s="4">
        <f>IF(ISBLANK('Raw touched'!M145),((M$5*SLOPE('Raw touched'!$E145:$U145,$E$5:$U$5))+INTERCEPT('Raw touched'!$E145:$U145,$E$5:$U$5)),'Raw touched'!M145)</f>
        <v>90</v>
      </c>
      <c r="N145" s="4">
        <f>IF(ISBLANK('Raw touched'!N145),((N$5*SLOPE('Raw touched'!$E145:$U145,$E$5:$U$5))+INTERCEPT('Raw touched'!$E145:$U145,$E$5:$U$5)),'Raw touched'!N145)</f>
        <v>90</v>
      </c>
      <c r="O145" s="4">
        <f>IF(ISBLANK('Raw touched'!O145),((O$5*SLOPE('Raw touched'!$E145:$U145,$E$5:$U$5))+INTERCEPT('Raw touched'!$E145:$U145,$E$5:$U$5)),'Raw touched'!O145)</f>
        <v>90</v>
      </c>
      <c r="P145" s="4">
        <f>IF(ISBLANK('Raw touched'!P145),((P$5*SLOPE('Raw touched'!$E145:$U145,$E$5:$U$5))+INTERCEPT('Raw touched'!$E145:$U145,$E$5:$U$5)),'Raw touched'!P145)</f>
        <v>90</v>
      </c>
      <c r="Q145" s="4">
        <f>IF(ISBLANK('Raw touched'!Q145),((Q$5*SLOPE('Raw touched'!$E145:$U145,$E$5:$U$5))+INTERCEPT('Raw touched'!$E145:$U145,$E$5:$U$5)),'Raw touched'!Q145)</f>
        <v>90</v>
      </c>
      <c r="R145" s="4">
        <f>IF(ISBLANK('Raw touched'!R145),((R$5*SLOPE('Raw touched'!$E145:$U145,$E$5:$U$5))+INTERCEPT('Raw touched'!$E145:$U145,$E$5:$U$5)),'Raw touched'!R145)</f>
        <v>90</v>
      </c>
      <c r="S145" s="4">
        <f>IF(ISBLANK('Raw touched'!S145),((S$5*SLOPE('Raw touched'!$E145:$U145,$E$5:$U$5))+INTERCEPT('Raw touched'!$E145:$U145,$E$5:$U$5)),'Raw touched'!S145)</f>
        <v>90</v>
      </c>
      <c r="T145" s="4">
        <f>IF(ISBLANK('Raw touched'!T145),((T$5*SLOPE('Raw touched'!$E145:$U145,$E$5:$U$5))+INTERCEPT('Raw touched'!$E145:$U145,$E$5:$U$5)),'Raw touched'!T145)</f>
        <v>90</v>
      </c>
      <c r="U145" s="4">
        <f>IF(ISBLANK('Raw touched'!U145),((U$5*SLOPE('Raw touched'!$E145:$U145,$E$5:$U$5))+INTERCEPT('Raw touched'!$E145:$U145,$E$5:$U$5)),'Raw touched'!U145)</f>
        <v>90</v>
      </c>
    </row>
    <row r="146" spans="3:21" ht="13">
      <c r="C146" s="1" t="s">
        <v>1</v>
      </c>
      <c r="D146" s="1" t="s">
        <v>90</v>
      </c>
      <c r="E146" s="4">
        <f>IF(ISBLANK('Raw touched'!E146),((E$5*SLOPE('Raw touched'!$E146:$U146,$E$5:$U$5))+INTERCEPT('Raw touched'!$E146:$U146,$E$5:$U$5)),'Raw touched'!E146)</f>
        <v>51</v>
      </c>
      <c r="F146" s="4">
        <f>IF(ISBLANK('Raw touched'!F146),((F$5*SLOPE('Raw touched'!$E146:$U146,$E$5:$U$5))+INTERCEPT('Raw touched'!$E146:$U146,$E$5:$U$5)),'Raw touched'!F146)</f>
        <v>52.299999239999998</v>
      </c>
      <c r="G146" s="4">
        <f>IF(ISBLANK('Raw touched'!G146),((G$5*SLOPE('Raw touched'!$E146:$U146,$E$5:$U$5))+INTERCEPT('Raw touched'!$E146:$U146,$E$5:$U$5)),'Raw touched'!G146)</f>
        <v>52.799999239999998</v>
      </c>
      <c r="H146" s="4">
        <f>IF(ISBLANK('Raw touched'!H146),((H$5*SLOPE('Raw touched'!$E146:$U146,$E$5:$U$5))+INTERCEPT('Raw touched'!$E146:$U146,$E$5:$U$5)),'Raw touched'!H146)</f>
        <v>53.099998470000003</v>
      </c>
      <c r="I146" s="4">
        <f>IF(ISBLANK('Raw touched'!I146),((I$5*SLOPE('Raw touched'!$E146:$U146,$E$5:$U$5))+INTERCEPT('Raw touched'!$E146:$U146,$E$5:$U$5)),'Raw touched'!I146)</f>
        <v>53</v>
      </c>
      <c r="J146" s="4">
        <f>IF(ISBLANK('Raw touched'!J146),((J$5*SLOPE('Raw touched'!$E146:$U146,$E$5:$U$5))+INTERCEPT('Raw touched'!$E146:$U146,$E$5:$U$5)),'Raw touched'!J146)</f>
        <v>49.5</v>
      </c>
      <c r="K146" s="4">
        <f>IF(ISBLANK('Raw touched'!K146),((K$5*SLOPE('Raw touched'!$E146:$U146,$E$5:$U$5))+INTERCEPT('Raw touched'!$E146:$U146,$E$5:$U$5)),'Raw touched'!K146)</f>
        <v>50.5</v>
      </c>
      <c r="L146" s="4">
        <f>IF(ISBLANK('Raw touched'!L146),((L$5*SLOPE('Raw touched'!$E146:$U146,$E$5:$U$5))+INTERCEPT('Raw touched'!$E146:$U146,$E$5:$U$5)),'Raw touched'!L146)</f>
        <v>50.400001529999997</v>
      </c>
      <c r="M146" s="4">
        <f>IF(ISBLANK('Raw touched'!M146),((M$5*SLOPE('Raw touched'!$E146:$U146,$E$5:$U$5))+INTERCEPT('Raw touched'!$E146:$U146,$E$5:$U$5)),'Raw touched'!M146)</f>
        <v>30.200000760000002</v>
      </c>
      <c r="N146" s="4">
        <f>IF(ISBLANK('Raw touched'!N146),((N$5*SLOPE('Raw touched'!$E146:$U146,$E$5:$U$5))+INTERCEPT('Raw touched'!$E146:$U146,$E$5:$U$5)),'Raw touched'!N146)</f>
        <v>30.200000760000002</v>
      </c>
      <c r="O146" s="4">
        <f>IF(ISBLANK('Raw touched'!O146),((O$5*SLOPE('Raw touched'!$E146:$U146,$E$5:$U$5))+INTERCEPT('Raw touched'!$E146:$U146,$E$5:$U$5)),'Raw touched'!O146)</f>
        <v>35.126667784000347</v>
      </c>
      <c r="P146" s="4">
        <f>IF(ISBLANK('Raw touched'!P146),((P$5*SLOPE('Raw touched'!$E146:$U146,$E$5:$U$5))+INTERCEPT('Raw touched'!$E146:$U146,$E$5:$U$5)),'Raw touched'!P146)</f>
        <v>32.91333465381831</v>
      </c>
      <c r="Q146" s="4">
        <f>IF(ISBLANK('Raw touched'!Q146),((Q$5*SLOPE('Raw touched'!$E146:$U146,$E$5:$U$5))+INTERCEPT('Raw touched'!$E146:$U146,$E$5:$U$5)),'Raw touched'!Q146)</f>
        <v>30.700001523636274</v>
      </c>
      <c r="R146" s="4">
        <f>IF(ISBLANK('Raw touched'!R146),((R$5*SLOPE('Raw touched'!$E146:$U146,$E$5:$U$5))+INTERCEPT('Raw touched'!$E146:$U146,$E$5:$U$5)),'Raw touched'!R146)</f>
        <v>28.486668393454238</v>
      </c>
      <c r="S146" s="4">
        <f>IF(ISBLANK('Raw touched'!S146),((S$5*SLOPE('Raw touched'!$E146:$U146,$E$5:$U$5))+INTERCEPT('Raw touched'!$E146:$U146,$E$5:$U$5)),'Raw touched'!S146)</f>
        <v>26.273335263273111</v>
      </c>
      <c r="T146" s="4">
        <f>IF(ISBLANK('Raw touched'!T146),((T$5*SLOPE('Raw touched'!$E146:$U146,$E$5:$U$5))+INTERCEPT('Raw touched'!$E146:$U146,$E$5:$U$5)),'Raw touched'!T146)</f>
        <v>24.060002133091075</v>
      </c>
      <c r="U146" s="4">
        <f>IF(ISBLANK('Raw touched'!U146),((U$5*SLOPE('Raw touched'!$E146:$U146,$E$5:$U$5))+INTERCEPT('Raw touched'!$E146:$U146,$E$5:$U$5)),'Raw touched'!U146)</f>
        <v>21.846669002909039</v>
      </c>
    </row>
    <row r="147" spans="3:21" ht="13">
      <c r="C147" s="1" t="s">
        <v>398</v>
      </c>
      <c r="D147" s="1" t="s">
        <v>103</v>
      </c>
      <c r="E147" s="4">
        <f>IF(ISBLANK('Raw touched'!E147),((E$5*SLOPE('Raw touched'!$E147:$U147,$E$5:$U$5))+INTERCEPT('Raw touched'!$E147:$U147,$E$5:$U$5)),'Raw touched'!E147)</f>
        <v>61.573141727428265</v>
      </c>
      <c r="F147" s="4">
        <f>IF(ISBLANK('Raw touched'!F147),((F$5*SLOPE('Raw touched'!$E147:$U147,$E$5:$U$5))+INTERCEPT('Raw touched'!$E147:$U147,$E$5:$U$5)),'Raw touched'!F147)</f>
        <v>63.37599896599977</v>
      </c>
      <c r="G147" s="4">
        <f>IF(ISBLANK('Raw touched'!G147),((G$5*SLOPE('Raw touched'!$E147:$U147,$E$5:$U$5))+INTERCEPT('Raw touched'!$E147:$U147,$E$5:$U$5)),'Raw touched'!G147)</f>
        <v>65.178856204571275</v>
      </c>
      <c r="H147" s="4">
        <f>IF(ISBLANK('Raw touched'!H147),((H$5*SLOPE('Raw touched'!$E147:$U147,$E$5:$U$5))+INTERCEPT('Raw touched'!$E147:$U147,$E$5:$U$5)),'Raw touched'!H147)</f>
        <v>67.199996949999999</v>
      </c>
      <c r="I147" s="4">
        <f>IF(ISBLANK('Raw touched'!I147),((I$5*SLOPE('Raw touched'!$E147:$U147,$E$5:$U$5))+INTERCEPT('Raw touched'!$E147:$U147,$E$5:$U$5)),'Raw touched'!I147)</f>
        <v>67.400001529999997</v>
      </c>
      <c r="J147" s="4">
        <f>IF(ISBLANK('Raw touched'!J147),((J$5*SLOPE('Raw touched'!$E147:$U147,$E$5:$U$5))+INTERCEPT('Raw touched'!$E147:$U147,$E$5:$U$5)),'Raw touched'!J147)</f>
        <v>70.587427920285336</v>
      </c>
      <c r="K147" s="4">
        <f>IF(ISBLANK('Raw touched'!K147),((K$5*SLOPE('Raw touched'!$E147:$U147,$E$5:$U$5))+INTERCEPT('Raw touched'!$E147:$U147,$E$5:$U$5)),'Raw touched'!K147)</f>
        <v>72.390285158856841</v>
      </c>
      <c r="L147" s="4">
        <f>IF(ISBLANK('Raw touched'!L147),((L$5*SLOPE('Raw touched'!$E147:$U147,$E$5:$U$5))+INTERCEPT('Raw touched'!$E147:$U147,$E$5:$U$5)),'Raw touched'!L147)</f>
        <v>74.193142397428346</v>
      </c>
      <c r="M147" s="4">
        <f>IF(ISBLANK('Raw touched'!M147),((M$5*SLOPE('Raw touched'!$E147:$U147,$E$5:$U$5))+INTERCEPT('Raw touched'!$E147:$U147,$E$5:$U$5)),'Raw touched'!M147)</f>
        <v>75.995999635999851</v>
      </c>
      <c r="N147" s="4">
        <f>IF(ISBLANK('Raw touched'!N147),((N$5*SLOPE('Raw touched'!$E147:$U147,$E$5:$U$5))+INTERCEPT('Raw touched'!$E147:$U147,$E$5:$U$5)),'Raw touched'!N147)</f>
        <v>77.798856874570902</v>
      </c>
      <c r="O147" s="4">
        <f>IF(ISBLANK('Raw touched'!O147),((O$5*SLOPE('Raw touched'!$E147:$U147,$E$5:$U$5))+INTERCEPT('Raw touched'!$E147:$U147,$E$5:$U$5)),'Raw touched'!O147)</f>
        <v>84.400001529999997</v>
      </c>
      <c r="P147" s="4">
        <f>IF(ISBLANK('Raw touched'!P147),((P$5*SLOPE('Raw touched'!$E147:$U147,$E$5:$U$5))+INTERCEPT('Raw touched'!$E147:$U147,$E$5:$U$5)),'Raw touched'!P147)</f>
        <v>80.91999817</v>
      </c>
      <c r="Q147" s="4">
        <f>IF(ISBLANK('Raw touched'!Q147),((Q$5*SLOPE('Raw touched'!$E147:$U147,$E$5:$U$5))+INTERCEPT('Raw touched'!$E147:$U147,$E$5:$U$5)),'Raw touched'!Q147)</f>
        <v>80.06</v>
      </c>
      <c r="R147" s="4">
        <f>IF(ISBLANK('Raw touched'!R147),((R$5*SLOPE('Raw touched'!$E147:$U147,$E$5:$U$5))+INTERCEPT('Raw touched'!$E147:$U147,$E$5:$U$5)),'Raw touched'!R147)</f>
        <v>85.010285828856922</v>
      </c>
      <c r="S147" s="4">
        <f>IF(ISBLANK('Raw touched'!S147),((S$5*SLOPE('Raw touched'!$E147:$U147,$E$5:$U$5))+INTERCEPT('Raw touched'!$E147:$U147,$E$5:$U$5)),'Raw touched'!S147)</f>
        <v>86.813143067428427</v>
      </c>
      <c r="T147" s="4">
        <f>IF(ISBLANK('Raw touched'!T147),((T$5*SLOPE('Raw touched'!$E147:$U147,$E$5:$U$5))+INTERCEPT('Raw touched'!$E147:$U147,$E$5:$U$5)),'Raw touched'!T147)</f>
        <v>88.616000305999478</v>
      </c>
      <c r="U147" s="4">
        <f>IF(ISBLANK('Raw touched'!U147),((U$5*SLOPE('Raw touched'!$E147:$U147,$E$5:$U$5))+INTERCEPT('Raw touched'!$E147:$U147,$E$5:$U$5)),'Raw touched'!U147)</f>
        <v>90.418857544570983</v>
      </c>
    </row>
    <row r="148" spans="3:21" ht="13">
      <c r="C148" s="1" t="s">
        <v>290</v>
      </c>
      <c r="D148" s="1" t="s">
        <v>363</v>
      </c>
      <c r="E148" s="4">
        <f>IF(ISBLANK('Raw touched'!E148),((E$5*SLOPE('Raw touched'!$E148:$U148,$E$5:$U$5))+INTERCEPT('Raw touched'!$E148:$U148,$E$5:$U$5)),'Raw touched'!E148)</f>
        <v>9.8999996190000008</v>
      </c>
      <c r="F148" s="4">
        <f>IF(ISBLANK('Raw touched'!F148),((F$5*SLOPE('Raw touched'!$E148:$U148,$E$5:$U$5))+INTERCEPT('Raw touched'!$E148:$U148,$E$5:$U$5)),'Raw touched'!F148)</f>
        <v>10.911110772444545</v>
      </c>
      <c r="G148" s="4">
        <f>IF(ISBLANK('Raw touched'!G148),((G$5*SLOPE('Raw touched'!$E148:$U148,$E$5:$U$5))+INTERCEPT('Raw touched'!$E148:$U148,$E$5:$U$5)),'Raw touched'!G148)</f>
        <v>11.922221925888834</v>
      </c>
      <c r="H148" s="4">
        <f>IF(ISBLANK('Raw touched'!H148),((H$5*SLOPE('Raw touched'!$E148:$U148,$E$5:$U$5))+INTERCEPT('Raw touched'!$E148:$U148,$E$5:$U$5)),'Raw touched'!H148)</f>
        <v>12.933333079333352</v>
      </c>
      <c r="I148" s="4">
        <f>IF(ISBLANK('Raw touched'!I148),((I$5*SLOPE('Raw touched'!$E148:$U148,$E$5:$U$5))+INTERCEPT('Raw touched'!$E148:$U148,$E$5:$U$5)),'Raw touched'!I148)</f>
        <v>13.944444232777869</v>
      </c>
      <c r="J148" s="4">
        <f>IF(ISBLANK('Raw touched'!J148),((J$5*SLOPE('Raw touched'!$E148:$U148,$E$5:$U$5))+INTERCEPT('Raw touched'!$E148:$U148,$E$5:$U$5)),'Raw touched'!J148)</f>
        <v>14.955555386222159</v>
      </c>
      <c r="K148" s="4">
        <f>IF(ISBLANK('Raw touched'!K148),((K$5*SLOPE('Raw touched'!$E148:$U148,$E$5:$U$5))+INTERCEPT('Raw touched'!$E148:$U148,$E$5:$U$5)),'Raw touched'!K148)</f>
        <v>15.966666539666676</v>
      </c>
      <c r="L148" s="4">
        <f>IF(ISBLANK('Raw touched'!L148),((L$5*SLOPE('Raw touched'!$E148:$U148,$E$5:$U$5))+INTERCEPT('Raw touched'!$E148:$U148,$E$5:$U$5)),'Raw touched'!L148)</f>
        <v>16.977777693111193</v>
      </c>
      <c r="M148" s="4">
        <f>IF(ISBLANK('Raw touched'!M148),((M$5*SLOPE('Raw touched'!$E148:$U148,$E$5:$U$5))+INTERCEPT('Raw touched'!$E148:$U148,$E$5:$U$5)),'Raw touched'!M148)</f>
        <v>17.988888846555483</v>
      </c>
      <c r="N148" s="4">
        <f>IF(ISBLANK('Raw touched'!N148),((N$5*SLOPE('Raw touched'!$E148:$U148,$E$5:$U$5))+INTERCEPT('Raw touched'!$E148:$U148,$E$5:$U$5)),'Raw touched'!N148)</f>
        <v>19</v>
      </c>
      <c r="O148" s="4">
        <f>IF(ISBLANK('Raw touched'!O148),((O$5*SLOPE('Raw touched'!$E148:$U148,$E$5:$U$5))+INTERCEPT('Raw touched'!$E148:$U148,$E$5:$U$5)),'Raw touched'!O148)</f>
        <v>20.011111153444517</v>
      </c>
      <c r="P148" s="4">
        <f>IF(ISBLANK('Raw touched'!P148),((P$5*SLOPE('Raw touched'!$E148:$U148,$E$5:$U$5))+INTERCEPT('Raw touched'!$E148:$U148,$E$5:$U$5)),'Raw touched'!P148)</f>
        <v>21.022222306888807</v>
      </c>
      <c r="Q148" s="4">
        <f>IF(ISBLANK('Raw touched'!Q148),((Q$5*SLOPE('Raw touched'!$E148:$U148,$E$5:$U$5))+INTERCEPT('Raw touched'!$E148:$U148,$E$5:$U$5)),'Raw touched'!Q148)</f>
        <v>22.033333460333324</v>
      </c>
      <c r="R148" s="4">
        <f>IF(ISBLANK('Raw touched'!R148),((R$5*SLOPE('Raw touched'!$E148:$U148,$E$5:$U$5))+INTERCEPT('Raw touched'!$E148:$U148,$E$5:$U$5)),'Raw touched'!R148)</f>
        <v>23.044444613777841</v>
      </c>
      <c r="S148" s="4">
        <f>IF(ISBLANK('Raw touched'!S148),((S$5*SLOPE('Raw touched'!$E148:$U148,$E$5:$U$5))+INTERCEPT('Raw touched'!$E148:$U148,$E$5:$U$5)),'Raw touched'!S148)</f>
        <v>24.055555767222131</v>
      </c>
      <c r="T148" s="4">
        <f>IF(ISBLANK('Raw touched'!T148),((T$5*SLOPE('Raw touched'!$E148:$U148,$E$5:$U$5))+INTERCEPT('Raw touched'!$E148:$U148,$E$5:$U$5)),'Raw touched'!T148)</f>
        <v>25.066666920666648</v>
      </c>
      <c r="U148" s="4">
        <f>IF(ISBLANK('Raw touched'!U148),((U$5*SLOPE('Raw touched'!$E148:$U148,$E$5:$U$5))+INTERCEPT('Raw touched'!$E148:$U148,$E$5:$U$5)),'Raw touched'!U148)</f>
        <v>26.077778074111166</v>
      </c>
    </row>
    <row r="149" spans="3:21" ht="13">
      <c r="C149" s="1" t="s">
        <v>325</v>
      </c>
      <c r="D149" s="1" t="s">
        <v>364</v>
      </c>
      <c r="E149" s="4">
        <f>IF(ISBLANK('Raw touched'!E149),((E$5*SLOPE('Raw touched'!$E149:$U149,$E$5:$U$5))+INTERCEPT('Raw touched'!$E149:$U149,$E$5:$U$5)),'Raw touched'!E149)</f>
        <v>42.5</v>
      </c>
      <c r="F149" s="4">
        <f>IF(ISBLANK('Raw touched'!F149),((F$5*SLOPE('Raw touched'!$E149:$U149,$E$5:$U$5))+INTERCEPT('Raw touched'!$E149:$U149,$E$5:$U$5)),'Raw touched'!F149)</f>
        <v>42.5</v>
      </c>
      <c r="G149" s="4">
        <f>IF(ISBLANK('Raw touched'!G149),((G$5*SLOPE('Raw touched'!$E149:$U149,$E$5:$U$5))+INTERCEPT('Raw touched'!$E149:$U149,$E$5:$U$5)),'Raw touched'!G149)</f>
        <v>42.5</v>
      </c>
      <c r="H149" s="4">
        <f>IF(ISBLANK('Raw touched'!H149),((H$5*SLOPE('Raw touched'!$E149:$U149,$E$5:$U$5))+INTERCEPT('Raw touched'!$E149:$U149,$E$5:$U$5)),'Raw touched'!H149)</f>
        <v>42.5</v>
      </c>
      <c r="I149" s="4">
        <f>IF(ISBLANK('Raw touched'!I149),((I$5*SLOPE('Raw touched'!$E149:$U149,$E$5:$U$5))+INTERCEPT('Raw touched'!$E149:$U149,$E$5:$U$5)),'Raw touched'!I149)</f>
        <v>42.5</v>
      </c>
      <c r="J149" s="4">
        <f>IF(ISBLANK('Raw touched'!J149),((J$5*SLOPE('Raw touched'!$E149:$U149,$E$5:$U$5))+INTERCEPT('Raw touched'!$E149:$U149,$E$5:$U$5)),'Raw touched'!J149)</f>
        <v>42.5</v>
      </c>
      <c r="K149" s="4">
        <f>IF(ISBLANK('Raw touched'!K149),((K$5*SLOPE('Raw touched'!$E149:$U149,$E$5:$U$5))+INTERCEPT('Raw touched'!$E149:$U149,$E$5:$U$5)),'Raw touched'!K149)</f>
        <v>42.5</v>
      </c>
      <c r="L149" s="4">
        <f>IF(ISBLANK('Raw touched'!L149),((L$5*SLOPE('Raw touched'!$E149:$U149,$E$5:$U$5))+INTERCEPT('Raw touched'!$E149:$U149,$E$5:$U$5)),'Raw touched'!L149)</f>
        <v>42.5</v>
      </c>
      <c r="M149" s="4">
        <f>IF(ISBLANK('Raw touched'!M149),((M$5*SLOPE('Raw touched'!$E149:$U149,$E$5:$U$5))+INTERCEPT('Raw touched'!$E149:$U149,$E$5:$U$5)),'Raw touched'!M149)</f>
        <v>42.5</v>
      </c>
      <c r="N149" s="4">
        <f>IF(ISBLANK('Raw touched'!N149),((N$5*SLOPE('Raw touched'!$E149:$U149,$E$5:$U$5))+INTERCEPT('Raw touched'!$E149:$U149,$E$5:$U$5)),'Raw touched'!N149)</f>
        <v>42.5</v>
      </c>
      <c r="O149" s="4">
        <f>IF(ISBLANK('Raw touched'!O149),((O$5*SLOPE('Raw touched'!$E149:$U149,$E$5:$U$5))+INTERCEPT('Raw touched'!$E149:$U149,$E$5:$U$5)),'Raw touched'!O149)</f>
        <v>42.5</v>
      </c>
      <c r="P149" s="4">
        <f>IF(ISBLANK('Raw touched'!P149),((P$5*SLOPE('Raw touched'!$E149:$U149,$E$5:$U$5))+INTERCEPT('Raw touched'!$E149:$U149,$E$5:$U$5)),'Raw touched'!P149)</f>
        <v>42.5</v>
      </c>
      <c r="Q149" s="4">
        <f>IF(ISBLANK('Raw touched'!Q149),((Q$5*SLOPE('Raw touched'!$E149:$U149,$E$5:$U$5))+INTERCEPT('Raw touched'!$E149:$U149,$E$5:$U$5)),'Raw touched'!Q149)</f>
        <v>42.5</v>
      </c>
      <c r="R149" s="4">
        <f>IF(ISBLANK('Raw touched'!R149),((R$5*SLOPE('Raw touched'!$E149:$U149,$E$5:$U$5))+INTERCEPT('Raw touched'!$E149:$U149,$E$5:$U$5)),'Raw touched'!R149)</f>
        <v>42.5</v>
      </c>
      <c r="S149" s="4">
        <f>IF(ISBLANK('Raw touched'!S149),((S$5*SLOPE('Raw touched'!$E149:$U149,$E$5:$U$5))+INTERCEPT('Raw touched'!$E149:$U149,$E$5:$U$5)),'Raw touched'!S149)</f>
        <v>42.5</v>
      </c>
      <c r="T149" s="4">
        <f>IF(ISBLANK('Raw touched'!T149),((T$5*SLOPE('Raw touched'!$E149:$U149,$E$5:$U$5))+INTERCEPT('Raw touched'!$E149:$U149,$E$5:$U$5)),'Raw touched'!T149)</f>
        <v>42.5</v>
      </c>
      <c r="U149" s="4">
        <f>IF(ISBLANK('Raw touched'!U149),((U$5*SLOPE('Raw touched'!$E149:$U149,$E$5:$U$5))+INTERCEPT('Raw touched'!$E149:$U149,$E$5:$U$5)),'Raw touched'!U149)</f>
        <v>42.5</v>
      </c>
    </row>
    <row r="150" spans="3:21" ht="13">
      <c r="C150" s="1" t="s">
        <v>143</v>
      </c>
      <c r="D150" s="1" t="s">
        <v>147</v>
      </c>
      <c r="E150" s="4" t="e">
        <f>IF(ISBLANK('Raw touched'!E150),((E$5*SLOPE('Raw touched'!$E150:$U150,$E$5:$U$5))+INTERCEPT('Raw touched'!$E150:$U150,$E$5:$U$5)),'Raw touched'!E150)</f>
        <v>#DIV/0!</v>
      </c>
      <c r="F150" s="4" t="e">
        <f>IF(ISBLANK('Raw touched'!F150),((F$5*SLOPE('Raw touched'!$E150:$U150,$E$5:$U$5))+INTERCEPT('Raw touched'!$E150:$U150,$E$5:$U$5)),'Raw touched'!F150)</f>
        <v>#DIV/0!</v>
      </c>
      <c r="G150" s="4" t="e">
        <f>IF(ISBLANK('Raw touched'!G150),((G$5*SLOPE('Raw touched'!$E150:$U150,$E$5:$U$5))+INTERCEPT('Raw touched'!$E150:$U150,$E$5:$U$5)),'Raw touched'!G150)</f>
        <v>#DIV/0!</v>
      </c>
      <c r="H150" s="4" t="e">
        <f>IF(ISBLANK('Raw touched'!H150),((H$5*SLOPE('Raw touched'!$E150:$U150,$E$5:$U$5))+INTERCEPT('Raw touched'!$E150:$U150,$E$5:$U$5)),'Raw touched'!H150)</f>
        <v>#DIV/0!</v>
      </c>
      <c r="I150" s="4" t="e">
        <f>IF(ISBLANK('Raw touched'!I150),((I$5*SLOPE('Raw touched'!$E150:$U150,$E$5:$U$5))+INTERCEPT('Raw touched'!$E150:$U150,$E$5:$U$5)),'Raw touched'!I150)</f>
        <v>#DIV/0!</v>
      </c>
      <c r="J150" s="4" t="e">
        <f>IF(ISBLANK('Raw touched'!J150),((J$5*SLOPE('Raw touched'!$E150:$U150,$E$5:$U$5))+INTERCEPT('Raw touched'!$E150:$U150,$E$5:$U$5)),'Raw touched'!J150)</f>
        <v>#DIV/0!</v>
      </c>
      <c r="K150" s="4" t="e">
        <f>IF(ISBLANK('Raw touched'!K150),((K$5*SLOPE('Raw touched'!$E150:$U150,$E$5:$U$5))+INTERCEPT('Raw touched'!$E150:$U150,$E$5:$U$5)),'Raw touched'!K150)</f>
        <v>#DIV/0!</v>
      </c>
      <c r="L150" s="4" t="e">
        <f>IF(ISBLANK('Raw touched'!L150),((L$5*SLOPE('Raw touched'!$E150:$U150,$E$5:$U$5))+INTERCEPT('Raw touched'!$E150:$U150,$E$5:$U$5)),'Raw touched'!L150)</f>
        <v>#DIV/0!</v>
      </c>
      <c r="M150" s="4" t="e">
        <f>IF(ISBLANK('Raw touched'!M150),((M$5*SLOPE('Raw touched'!$E150:$U150,$E$5:$U$5))+INTERCEPT('Raw touched'!$E150:$U150,$E$5:$U$5)),'Raw touched'!M150)</f>
        <v>#DIV/0!</v>
      </c>
      <c r="N150" s="4" t="e">
        <f>IF(ISBLANK('Raw touched'!N150),((N$5*SLOPE('Raw touched'!$E150:$U150,$E$5:$U$5))+INTERCEPT('Raw touched'!$E150:$U150,$E$5:$U$5)),'Raw touched'!N150)</f>
        <v>#DIV/0!</v>
      </c>
      <c r="O150" s="4" t="e">
        <f>IF(ISBLANK('Raw touched'!O150),((O$5*SLOPE('Raw touched'!$E150:$U150,$E$5:$U$5))+INTERCEPT('Raw touched'!$E150:$U150,$E$5:$U$5)),'Raw touched'!O150)</f>
        <v>#DIV/0!</v>
      </c>
      <c r="P150" s="4" t="e">
        <f>IF(ISBLANK('Raw touched'!P150),((P$5*SLOPE('Raw touched'!$E150:$U150,$E$5:$U$5))+INTERCEPT('Raw touched'!$E150:$U150,$E$5:$U$5)),'Raw touched'!P150)</f>
        <v>#DIV/0!</v>
      </c>
      <c r="Q150" s="4" t="e">
        <f>IF(ISBLANK('Raw touched'!Q150),((Q$5*SLOPE('Raw touched'!$E150:$U150,$E$5:$U$5))+INTERCEPT('Raw touched'!$E150:$U150,$E$5:$U$5)),'Raw touched'!Q150)</f>
        <v>#DIV/0!</v>
      </c>
      <c r="R150" s="4" t="e">
        <f>IF(ISBLANK('Raw touched'!R150),((R$5*SLOPE('Raw touched'!$E150:$U150,$E$5:$U$5))+INTERCEPT('Raw touched'!$E150:$U150,$E$5:$U$5)),'Raw touched'!R150)</f>
        <v>#DIV/0!</v>
      </c>
      <c r="S150" s="4" t="e">
        <f>IF(ISBLANK('Raw touched'!S150),((S$5*SLOPE('Raw touched'!$E150:$U150,$E$5:$U$5))+INTERCEPT('Raw touched'!$E150:$U150,$E$5:$U$5)),'Raw touched'!S150)</f>
        <v>#DIV/0!</v>
      </c>
      <c r="T150" s="4" t="e">
        <f>IF(ISBLANK('Raw touched'!T150),((T$5*SLOPE('Raw touched'!$E150:$U150,$E$5:$U$5))+INTERCEPT('Raw touched'!$E150:$U150,$E$5:$U$5)),'Raw touched'!T150)</f>
        <v>#DIV/0!</v>
      </c>
      <c r="U150" s="4" t="e">
        <f>IF(ISBLANK('Raw touched'!U150),((U$5*SLOPE('Raw touched'!$E150:$U150,$E$5:$U$5))+INTERCEPT('Raw touched'!$E150:$U150,$E$5:$U$5)),'Raw touched'!U150)</f>
        <v>#DIV/0!</v>
      </c>
    </row>
    <row r="151" spans="3:21" ht="13">
      <c r="C151" s="1" t="s">
        <v>115</v>
      </c>
      <c r="D151" s="1" t="s">
        <v>250</v>
      </c>
      <c r="E151" s="4">
        <f>IF(ISBLANK('Raw touched'!E151),((E$5*SLOPE('Raw touched'!$E151:$U151,$E$5:$U$5))+INTERCEPT('Raw touched'!$E151:$U151,$E$5:$U$5)),'Raw touched'!E151)</f>
        <v>59.49523809523771</v>
      </c>
      <c r="F151" s="4">
        <f>IF(ISBLANK('Raw touched'!F151),((F$5*SLOPE('Raw touched'!$E151:$U151,$E$5:$U$5))+INTERCEPT('Raw touched'!$E151:$U151,$E$5:$U$5)),'Raw touched'!F151)</f>
        <v>60.980952380952203</v>
      </c>
      <c r="G151" s="4">
        <f>IF(ISBLANK('Raw touched'!G151),((G$5*SLOPE('Raw touched'!$E151:$U151,$E$5:$U$5))+INTERCEPT('Raw touched'!$E151:$U151,$E$5:$U$5)),'Raw touched'!G151)</f>
        <v>62.466666666666242</v>
      </c>
      <c r="H151" s="4">
        <f>IF(ISBLANK('Raw touched'!H151),((H$5*SLOPE('Raw touched'!$E151:$U151,$E$5:$U$5))+INTERCEPT('Raw touched'!$E151:$U151,$E$5:$U$5)),'Raw touched'!H151)</f>
        <v>63</v>
      </c>
      <c r="I151" s="4">
        <f>IF(ISBLANK('Raw touched'!I151),((I$5*SLOPE('Raw touched'!$E151:$U151,$E$5:$U$5))+INTERCEPT('Raw touched'!$E151:$U151,$E$5:$U$5)),'Raw touched'!I151)</f>
        <v>65</v>
      </c>
      <c r="J151" s="4">
        <f>IF(ISBLANK('Raw touched'!J151),((J$5*SLOPE('Raw touched'!$E151:$U151,$E$5:$U$5))+INTERCEPT('Raw touched'!$E151:$U151,$E$5:$U$5)),'Raw touched'!J151)</f>
        <v>68</v>
      </c>
      <c r="K151" s="4">
        <f>IF(ISBLANK('Raw touched'!K151),((K$5*SLOPE('Raw touched'!$E151:$U151,$E$5:$U$5))+INTERCEPT('Raw touched'!$E151:$U151,$E$5:$U$5)),'Raw touched'!K151)</f>
        <v>70</v>
      </c>
      <c r="L151" s="4">
        <f>IF(ISBLANK('Raw touched'!L151),((L$5*SLOPE('Raw touched'!$E151:$U151,$E$5:$U$5))+INTERCEPT('Raw touched'!$E151:$U151,$E$5:$U$5)),'Raw touched'!L151)</f>
        <v>70</v>
      </c>
      <c r="M151" s="4">
        <f>IF(ISBLANK('Raw touched'!M151),((M$5*SLOPE('Raw touched'!$E151:$U151,$E$5:$U$5))+INTERCEPT('Raw touched'!$E151:$U151,$E$5:$U$5)),'Raw touched'!M151)</f>
        <v>70</v>
      </c>
      <c r="N151" s="4">
        <f>IF(ISBLANK('Raw touched'!N151),((N$5*SLOPE('Raw touched'!$E151:$U151,$E$5:$U$5))+INTERCEPT('Raw touched'!$E151:$U151,$E$5:$U$5)),'Raw touched'!N151)</f>
        <v>72.866666666666333</v>
      </c>
      <c r="O151" s="4">
        <f>IF(ISBLANK('Raw touched'!O151),((O$5*SLOPE('Raw touched'!$E151:$U151,$E$5:$U$5))+INTERCEPT('Raw touched'!$E151:$U151,$E$5:$U$5)),'Raw touched'!O151)</f>
        <v>74.352380952380827</v>
      </c>
      <c r="P151" s="4">
        <f>IF(ISBLANK('Raw touched'!P151),((P$5*SLOPE('Raw touched'!$E151:$U151,$E$5:$U$5))+INTERCEPT('Raw touched'!$E151:$U151,$E$5:$U$5)),'Raw touched'!P151)</f>
        <v>75.838095238094866</v>
      </c>
      <c r="Q151" s="4">
        <f>IF(ISBLANK('Raw touched'!Q151),((Q$5*SLOPE('Raw touched'!$E151:$U151,$E$5:$U$5))+INTERCEPT('Raw touched'!$E151:$U151,$E$5:$U$5)),'Raw touched'!Q151)</f>
        <v>77.323809523809359</v>
      </c>
      <c r="R151" s="4">
        <f>IF(ISBLANK('Raw touched'!R151),((R$5*SLOPE('Raw touched'!$E151:$U151,$E$5:$U$5))+INTERCEPT('Raw touched'!$E151:$U151,$E$5:$U$5)),'Raw touched'!R151)</f>
        <v>78.809523809523398</v>
      </c>
      <c r="S151" s="4">
        <f>IF(ISBLANK('Raw touched'!S151),((S$5*SLOPE('Raw touched'!$E151:$U151,$E$5:$U$5))+INTERCEPT('Raw touched'!$E151:$U151,$E$5:$U$5)),'Raw touched'!S151)</f>
        <v>80.295238095237892</v>
      </c>
      <c r="T151" s="4">
        <f>IF(ISBLANK('Raw touched'!T151),((T$5*SLOPE('Raw touched'!$E151:$U151,$E$5:$U$5))+INTERCEPT('Raw touched'!$E151:$U151,$E$5:$U$5)),'Raw touched'!T151)</f>
        <v>81.780952380951931</v>
      </c>
      <c r="U151" s="4">
        <f>IF(ISBLANK('Raw touched'!U151),((U$5*SLOPE('Raw touched'!$E151:$U151,$E$5:$U$5))+INTERCEPT('Raw touched'!$E151:$U151,$E$5:$U$5)),'Raw touched'!U151)</f>
        <v>83.266666666666424</v>
      </c>
    </row>
    <row r="152" spans="3:21" ht="13">
      <c r="C152" s="1" t="s">
        <v>314</v>
      </c>
      <c r="D152" s="1" t="s">
        <v>85</v>
      </c>
      <c r="E152" s="4">
        <f>IF(ISBLANK('Raw touched'!E152),((E$5*SLOPE('Raw touched'!$E152:$U152,$E$5:$U$5))+INTERCEPT('Raw touched'!$E152:$U152,$E$5:$U$5)),'Raw touched'!E152)</f>
        <v>16.767800047200126</v>
      </c>
      <c r="F152" s="4">
        <f>IF(ISBLANK('Raw touched'!F152),((F$5*SLOPE('Raw touched'!$E152:$U152,$E$5:$U$5))+INTERCEPT('Raw touched'!$E152:$U152,$E$5:$U$5)),'Raw touched'!F152)</f>
        <v>16.341500046000078</v>
      </c>
      <c r="G152" s="4">
        <f>IF(ISBLANK('Raw touched'!G152),((G$5*SLOPE('Raw touched'!$E152:$U152,$E$5:$U$5))+INTERCEPT('Raw touched'!$E152:$U152,$E$5:$U$5)),'Raw touched'!G152)</f>
        <v>15.915200044800144</v>
      </c>
      <c r="H152" s="4">
        <f>IF(ISBLANK('Raw touched'!H152),((H$5*SLOPE('Raw touched'!$E152:$U152,$E$5:$U$5))+INTERCEPT('Raw touched'!$E152:$U152,$E$5:$U$5)),'Raw touched'!H152)</f>
        <v>15.488900043600097</v>
      </c>
      <c r="I152" s="4">
        <f>IF(ISBLANK('Raw touched'!I152),((I$5*SLOPE('Raw touched'!$E152:$U152,$E$5:$U$5))+INTERCEPT('Raw touched'!$E152:$U152,$E$5:$U$5)),'Raw touched'!I152)</f>
        <v>15.062600042400163</v>
      </c>
      <c r="J152" s="4">
        <f>IF(ISBLANK('Raw touched'!J152),((J$5*SLOPE('Raw touched'!$E152:$U152,$E$5:$U$5))+INTERCEPT('Raw touched'!$E152:$U152,$E$5:$U$5)),'Raw touched'!J152)</f>
        <v>14.636300041200116</v>
      </c>
      <c r="K152" s="4">
        <f>IF(ISBLANK('Raw touched'!K152),((K$5*SLOPE('Raw touched'!$E152:$U152,$E$5:$U$5))+INTERCEPT('Raw touched'!$E152:$U152,$E$5:$U$5)),'Raw touched'!K152)</f>
        <v>14.210000040000001</v>
      </c>
      <c r="L152" s="4">
        <f>IF(ISBLANK('Raw touched'!L152),((L$5*SLOPE('Raw touched'!$E152:$U152,$E$5:$U$5))+INTERCEPT('Raw touched'!$E152:$U152,$E$5:$U$5)),'Raw touched'!L152)</f>
        <v>13.783700038800134</v>
      </c>
      <c r="M152" s="4">
        <f>IF(ISBLANK('Raw touched'!M152),((M$5*SLOPE('Raw touched'!$E152:$U152,$E$5:$U$5))+INTERCEPT('Raw touched'!$E152:$U152,$E$5:$U$5)),'Raw touched'!M152)</f>
        <v>13.357400037600087</v>
      </c>
      <c r="N152" s="4">
        <f>IF(ISBLANK('Raw touched'!N152),((N$5*SLOPE('Raw touched'!$E152:$U152,$E$5:$U$5))+INTERCEPT('Raw touched'!$E152:$U152,$E$5:$U$5)),'Raw touched'!N152)</f>
        <v>12.931100036400153</v>
      </c>
      <c r="O152" s="4">
        <f>IF(ISBLANK('Raw touched'!O152),((O$5*SLOPE('Raw touched'!$E152:$U152,$E$5:$U$5))+INTERCEPT('Raw touched'!$E152:$U152,$E$5:$U$5)),'Raw touched'!O152)</f>
        <v>12.504800035200105</v>
      </c>
      <c r="P152" s="4">
        <f>IF(ISBLANK('Raw touched'!P152),((P$5*SLOPE('Raw touched'!$E152:$U152,$E$5:$U$5))+INTERCEPT('Raw touched'!$E152:$U152,$E$5:$U$5)),'Raw touched'!P152)</f>
        <v>12.078500034000058</v>
      </c>
      <c r="Q152" s="4">
        <f>IF(ISBLANK('Raw touched'!Q152),((Q$5*SLOPE('Raw touched'!$E152:$U152,$E$5:$U$5))+INTERCEPT('Raw touched'!$E152:$U152,$E$5:$U$5)),'Raw touched'!Q152)</f>
        <v>11.652200032800124</v>
      </c>
      <c r="R152" s="4">
        <f>IF(ISBLANK('Raw touched'!R152),((R$5*SLOPE('Raw touched'!$E152:$U152,$E$5:$U$5))+INTERCEPT('Raw touched'!$E152:$U152,$E$5:$U$5)),'Raw touched'!R152)</f>
        <v>11.225900031600077</v>
      </c>
      <c r="S152" s="4">
        <f>IF(ISBLANK('Raw touched'!S152),((S$5*SLOPE('Raw touched'!$E152:$U152,$E$5:$U$5))+INTERCEPT('Raw touched'!$E152:$U152,$E$5:$U$5)),'Raw touched'!S152)</f>
        <v>10.799600030400143</v>
      </c>
      <c r="T152" s="4">
        <f>IF(ISBLANK('Raw touched'!T152),((T$5*SLOPE('Raw touched'!$E152:$U152,$E$5:$U$5))+INTERCEPT('Raw touched'!$E152:$U152,$E$5:$U$5)),'Raw touched'!T152)</f>
        <v>10.373300029200095</v>
      </c>
      <c r="U152" s="4">
        <f>IF(ISBLANK('Raw touched'!U152),((U$5*SLOPE('Raw touched'!$E152:$U152,$E$5:$U$5))+INTERCEPT('Raw touched'!$E152:$U152,$E$5:$U$5)),'Raw touched'!U152)</f>
        <v>9.9470000279999997</v>
      </c>
    </row>
    <row r="153" spans="3:21" ht="13">
      <c r="C153" s="1" t="s">
        <v>369</v>
      </c>
      <c r="D153" s="1" t="s">
        <v>110</v>
      </c>
      <c r="E153" s="4" t="e">
        <f>IF(ISBLANK('Raw touched'!E153),((E$5*SLOPE('Raw touched'!$E153:$U153,$E$5:$U$5))+INTERCEPT('Raw touched'!$E153:$U153,$E$5:$U$5)),'Raw touched'!E153)</f>
        <v>#DIV/0!</v>
      </c>
      <c r="F153" s="4" t="e">
        <f>IF(ISBLANK('Raw touched'!F153),((F$5*SLOPE('Raw touched'!$E153:$U153,$E$5:$U$5))+INTERCEPT('Raw touched'!$E153:$U153,$E$5:$U$5)),'Raw touched'!F153)</f>
        <v>#DIV/0!</v>
      </c>
      <c r="G153" s="4" t="e">
        <f>IF(ISBLANK('Raw touched'!G153),((G$5*SLOPE('Raw touched'!$E153:$U153,$E$5:$U$5))+INTERCEPT('Raw touched'!$E153:$U153,$E$5:$U$5)),'Raw touched'!G153)</f>
        <v>#DIV/0!</v>
      </c>
      <c r="H153" s="4" t="e">
        <f>IF(ISBLANK('Raw touched'!H153),((H$5*SLOPE('Raw touched'!$E153:$U153,$E$5:$U$5))+INTERCEPT('Raw touched'!$E153:$U153,$E$5:$U$5)),'Raw touched'!H153)</f>
        <v>#DIV/0!</v>
      </c>
      <c r="I153" s="4" t="e">
        <f>IF(ISBLANK('Raw touched'!I153),((I$5*SLOPE('Raw touched'!$E153:$U153,$E$5:$U$5))+INTERCEPT('Raw touched'!$E153:$U153,$E$5:$U$5)),'Raw touched'!I153)</f>
        <v>#DIV/0!</v>
      </c>
      <c r="J153" s="4" t="e">
        <f>IF(ISBLANK('Raw touched'!J153),((J$5*SLOPE('Raw touched'!$E153:$U153,$E$5:$U$5))+INTERCEPT('Raw touched'!$E153:$U153,$E$5:$U$5)),'Raw touched'!J153)</f>
        <v>#DIV/0!</v>
      </c>
      <c r="K153" s="4" t="e">
        <f>IF(ISBLANK('Raw touched'!K153),((K$5*SLOPE('Raw touched'!$E153:$U153,$E$5:$U$5))+INTERCEPT('Raw touched'!$E153:$U153,$E$5:$U$5)),'Raw touched'!K153)</f>
        <v>#DIV/0!</v>
      </c>
      <c r="L153" s="4" t="e">
        <f>IF(ISBLANK('Raw touched'!L153),((L$5*SLOPE('Raw touched'!$E153:$U153,$E$5:$U$5))+INTERCEPT('Raw touched'!$E153:$U153,$E$5:$U$5)),'Raw touched'!L153)</f>
        <v>#DIV/0!</v>
      </c>
      <c r="M153" s="4" t="e">
        <f>IF(ISBLANK('Raw touched'!M153),((M$5*SLOPE('Raw touched'!$E153:$U153,$E$5:$U$5))+INTERCEPT('Raw touched'!$E153:$U153,$E$5:$U$5)),'Raw touched'!M153)</f>
        <v>#DIV/0!</v>
      </c>
      <c r="N153" s="4" t="e">
        <f>IF(ISBLANK('Raw touched'!N153),((N$5*SLOPE('Raw touched'!$E153:$U153,$E$5:$U$5))+INTERCEPT('Raw touched'!$E153:$U153,$E$5:$U$5)),'Raw touched'!N153)</f>
        <v>#DIV/0!</v>
      </c>
      <c r="O153" s="4" t="e">
        <f>IF(ISBLANK('Raw touched'!O153),((O$5*SLOPE('Raw touched'!$E153:$U153,$E$5:$U$5))+INTERCEPT('Raw touched'!$E153:$U153,$E$5:$U$5)),'Raw touched'!O153)</f>
        <v>#DIV/0!</v>
      </c>
      <c r="P153" s="4" t="e">
        <f>IF(ISBLANK('Raw touched'!P153),((P$5*SLOPE('Raw touched'!$E153:$U153,$E$5:$U$5))+INTERCEPT('Raw touched'!$E153:$U153,$E$5:$U$5)),'Raw touched'!P153)</f>
        <v>#DIV/0!</v>
      </c>
      <c r="Q153" s="4" t="e">
        <f>IF(ISBLANK('Raw touched'!Q153),((Q$5*SLOPE('Raw touched'!$E153:$U153,$E$5:$U$5))+INTERCEPT('Raw touched'!$E153:$U153,$E$5:$U$5)),'Raw touched'!Q153)</f>
        <v>#DIV/0!</v>
      </c>
      <c r="R153" s="4" t="e">
        <f>IF(ISBLANK('Raw touched'!R153),((R$5*SLOPE('Raw touched'!$E153:$U153,$E$5:$U$5))+INTERCEPT('Raw touched'!$E153:$U153,$E$5:$U$5)),'Raw touched'!R153)</f>
        <v>#DIV/0!</v>
      </c>
      <c r="S153" s="4" t="e">
        <f>IF(ISBLANK('Raw touched'!S153),((S$5*SLOPE('Raw touched'!$E153:$U153,$E$5:$U$5))+INTERCEPT('Raw touched'!$E153:$U153,$E$5:$U$5)),'Raw touched'!S153)</f>
        <v>#DIV/0!</v>
      </c>
      <c r="T153" s="4" t="e">
        <f>IF(ISBLANK('Raw touched'!T153),((T$5*SLOPE('Raw touched'!$E153:$U153,$E$5:$U$5))+INTERCEPT('Raw touched'!$E153:$U153,$E$5:$U$5)),'Raw touched'!T153)</f>
        <v>#DIV/0!</v>
      </c>
      <c r="U153" s="4" t="e">
        <f>IF(ISBLANK('Raw touched'!U153),((U$5*SLOPE('Raw touched'!$E153:$U153,$E$5:$U$5))+INTERCEPT('Raw touched'!$E153:$U153,$E$5:$U$5)),'Raw touched'!U153)</f>
        <v>#DIV/0!</v>
      </c>
    </row>
    <row r="154" spans="3:21" ht="13">
      <c r="C154" s="1" t="s">
        <v>48</v>
      </c>
      <c r="D154" s="1" t="s">
        <v>56</v>
      </c>
      <c r="E154" s="4">
        <f>IF(ISBLANK('Raw touched'!E154),((E$5*SLOPE('Raw touched'!$E154:$U154,$E$5:$U$5))+INTERCEPT('Raw touched'!$E154:$U154,$E$5:$U$5)),'Raw touched'!E154)</f>
        <v>68</v>
      </c>
      <c r="F154" s="4">
        <f>IF(ISBLANK('Raw touched'!F154),((F$5*SLOPE('Raw touched'!$E154:$U154,$E$5:$U$5))+INTERCEPT('Raw touched'!$E154:$U154,$E$5:$U$5)),'Raw touched'!F154)</f>
        <v>68.099998470000003</v>
      </c>
      <c r="G154" s="4">
        <f>IF(ISBLANK('Raw touched'!G154),((G$5*SLOPE('Raw touched'!$E154:$U154,$E$5:$U$5))+INTERCEPT('Raw touched'!$E154:$U154,$E$5:$U$5)),'Raw touched'!G154)</f>
        <v>68.099998470000003</v>
      </c>
      <c r="H154" s="4">
        <f>IF(ISBLANK('Raw touched'!H154),((H$5*SLOPE('Raw touched'!$E154:$U154,$E$5:$U$5))+INTERCEPT('Raw touched'!$E154:$U154,$E$5:$U$5)),'Raw touched'!H154)</f>
        <v>68.099998470000003</v>
      </c>
      <c r="I154" s="4">
        <f>IF(ISBLANK('Raw touched'!I154),((I$5*SLOPE('Raw touched'!$E154:$U154,$E$5:$U$5))+INTERCEPT('Raw touched'!$E154:$U154,$E$5:$U$5)),'Raw touched'!I154)</f>
        <v>68.099998470000003</v>
      </c>
      <c r="J154" s="4">
        <f>IF(ISBLANK('Raw touched'!J154),((J$5*SLOPE('Raw touched'!$E154:$U154,$E$5:$U$5))+INTERCEPT('Raw touched'!$E154:$U154,$E$5:$U$5)),'Raw touched'!J154)</f>
        <v>68.099998470000003</v>
      </c>
      <c r="K154" s="4">
        <f>IF(ISBLANK('Raw touched'!K154),((K$5*SLOPE('Raw touched'!$E154:$U154,$E$5:$U$5))+INTERCEPT('Raw touched'!$E154:$U154,$E$5:$U$5)),'Raw touched'!K154)</f>
        <v>68.099998470000003</v>
      </c>
      <c r="L154" s="4">
        <f>IF(ISBLANK('Raw touched'!L154),((L$5*SLOPE('Raw touched'!$E154:$U154,$E$5:$U$5))+INTERCEPT('Raw touched'!$E154:$U154,$E$5:$U$5)),'Raw touched'!L154)</f>
        <v>68.128569461428569</v>
      </c>
      <c r="M154" s="4">
        <f>IF(ISBLANK('Raw touched'!M154),((M$5*SLOPE('Raw touched'!$E154:$U154,$E$5:$U$5))+INTERCEPT('Raw touched'!$E154:$U154,$E$5:$U$5)),'Raw touched'!M154)</f>
        <v>68.139283583214279</v>
      </c>
      <c r="N154" s="4">
        <f>IF(ISBLANK('Raw touched'!N154),((N$5*SLOPE('Raw touched'!$E154:$U154,$E$5:$U$5))+INTERCEPT('Raw touched'!$E154:$U154,$E$5:$U$5)),'Raw touched'!N154)</f>
        <v>68.149997705000004</v>
      </c>
      <c r="O154" s="4">
        <f>IF(ISBLANK('Raw touched'!O154),((O$5*SLOPE('Raw touched'!$E154:$U154,$E$5:$U$5))+INTERCEPT('Raw touched'!$E154:$U154,$E$5:$U$5)),'Raw touched'!O154)</f>
        <v>68.160711826785715</v>
      </c>
      <c r="P154" s="4">
        <f>IF(ISBLANK('Raw touched'!P154),((P$5*SLOPE('Raw touched'!$E154:$U154,$E$5:$U$5))+INTERCEPT('Raw touched'!$E154:$U154,$E$5:$U$5)),'Raw touched'!P154)</f>
        <v>68.171425948571425</v>
      </c>
      <c r="Q154" s="4">
        <f>IF(ISBLANK('Raw touched'!Q154),((Q$5*SLOPE('Raw touched'!$E154:$U154,$E$5:$U$5))+INTERCEPT('Raw touched'!$E154:$U154,$E$5:$U$5)),'Raw touched'!Q154)</f>
        <v>68.18214007035715</v>
      </c>
      <c r="R154" s="4">
        <f>IF(ISBLANK('Raw touched'!R154),((R$5*SLOPE('Raw touched'!$E154:$U154,$E$5:$U$5))+INTERCEPT('Raw touched'!$E154:$U154,$E$5:$U$5)),'Raw touched'!R154)</f>
        <v>68.19285419214286</v>
      </c>
      <c r="S154" s="4">
        <f>IF(ISBLANK('Raw touched'!S154),((S$5*SLOPE('Raw touched'!$E154:$U154,$E$5:$U$5))+INTERCEPT('Raw touched'!$E154:$U154,$E$5:$U$5)),'Raw touched'!S154)</f>
        <v>68.203568313928571</v>
      </c>
      <c r="T154" s="4">
        <f>IF(ISBLANK('Raw touched'!T154),((T$5*SLOPE('Raw touched'!$E154:$U154,$E$5:$U$5))+INTERCEPT('Raw touched'!$E154:$U154,$E$5:$U$5)),'Raw touched'!T154)</f>
        <v>68.214282435714296</v>
      </c>
      <c r="U154" s="4">
        <f>IF(ISBLANK('Raw touched'!U154),((U$5*SLOPE('Raw touched'!$E154:$U154,$E$5:$U$5))+INTERCEPT('Raw touched'!$E154:$U154,$E$5:$U$5)),'Raw touched'!U154)</f>
        <v>68.224996557500006</v>
      </c>
    </row>
    <row r="155" spans="3:21" ht="13">
      <c r="C155" s="1" t="s">
        <v>204</v>
      </c>
      <c r="D155" s="1" t="s">
        <v>96</v>
      </c>
      <c r="E155" s="4">
        <f>IF(ISBLANK('Raw touched'!E155),((E$5*SLOPE('Raw touched'!$E155:$U155,$E$5:$U$5))+INTERCEPT('Raw touched'!$E155:$U155,$E$5:$U$5)),'Raw touched'!E155)</f>
        <v>30.100000380000001</v>
      </c>
      <c r="F155" s="4">
        <f>IF(ISBLANK('Raw touched'!F155),((F$5*SLOPE('Raw touched'!$E155:$U155,$E$5:$U$5))+INTERCEPT('Raw touched'!$E155:$U155,$E$5:$U$5)),'Raw touched'!F155)</f>
        <v>29.799999239999998</v>
      </c>
      <c r="G155" s="4">
        <f>IF(ISBLANK('Raw touched'!G155),((G$5*SLOPE('Raw touched'!$E155:$U155,$E$5:$U$5))+INTERCEPT('Raw touched'!$E155:$U155,$E$5:$U$5)),'Raw touched'!G155)</f>
        <v>30.100000380000001</v>
      </c>
      <c r="H155" s="4">
        <f>IF(ISBLANK('Raw touched'!H155),((H$5*SLOPE('Raw touched'!$E155:$U155,$E$5:$U$5))+INTERCEPT('Raw touched'!$E155:$U155,$E$5:$U$5)),'Raw touched'!H155)</f>
        <v>28.777668543190202</v>
      </c>
      <c r="I155" s="4">
        <f>IF(ISBLANK('Raw touched'!I155),((I$5*SLOPE('Raw touched'!$E155:$U155,$E$5:$U$5))+INTERCEPT('Raw touched'!$E155:$U155,$E$5:$U$5)),'Raw touched'!I155)</f>
        <v>27.938220614539887</v>
      </c>
      <c r="J155" s="4">
        <f>IF(ISBLANK('Raw touched'!J155),((J$5*SLOPE('Raw touched'!$E155:$U155,$E$5:$U$5))+INTERCEPT('Raw touched'!$E155:$U155,$E$5:$U$5)),'Raw touched'!J155)</f>
        <v>29.899999619999999</v>
      </c>
      <c r="K155" s="4">
        <f>IF(ISBLANK('Raw touched'!K155),((K$5*SLOPE('Raw touched'!$E155:$U155,$E$5:$U$5))+INTERCEPT('Raw touched'!$E155:$U155,$E$5:$U$5)),'Raw touched'!K155)</f>
        <v>26.259324757239256</v>
      </c>
      <c r="L155" s="4">
        <f>IF(ISBLANK('Raw touched'!L155),((L$5*SLOPE('Raw touched'!$E155:$U155,$E$5:$U$5))+INTERCEPT('Raw touched'!$E155:$U155,$E$5:$U$5)),'Raw touched'!L155)</f>
        <v>25.41987682858894</v>
      </c>
      <c r="M155" s="4">
        <f>IF(ISBLANK('Raw touched'!M155),((M$5*SLOPE('Raw touched'!$E155:$U155,$E$5:$U$5))+INTERCEPT('Raw touched'!$E155:$U155,$E$5:$U$5)),'Raw touched'!M155)</f>
        <v>24.580428899938624</v>
      </c>
      <c r="N155" s="4">
        <f>IF(ISBLANK('Raw touched'!N155),((N$5*SLOPE('Raw touched'!$E155:$U155,$E$5:$U$5))+INTERCEPT('Raw touched'!$E155:$U155,$E$5:$U$5)),'Raw touched'!N155)</f>
        <v>23.740980971288309</v>
      </c>
      <c r="O155" s="4">
        <f>IF(ISBLANK('Raw touched'!O155),((O$5*SLOPE('Raw touched'!$E155:$U155,$E$5:$U$5))+INTERCEPT('Raw touched'!$E155:$U155,$E$5:$U$5)),'Raw touched'!O155)</f>
        <v>21.469999309999999</v>
      </c>
      <c r="P155" s="4">
        <f>IF(ISBLANK('Raw touched'!P155),((P$5*SLOPE('Raw touched'!$E155:$U155,$E$5:$U$5))+INTERCEPT('Raw touched'!$E155:$U155,$E$5:$U$5)),'Raw touched'!P155)</f>
        <v>22.062085113987678</v>
      </c>
      <c r="Q155" s="4">
        <f>IF(ISBLANK('Raw touched'!Q155),((Q$5*SLOPE('Raw touched'!$E155:$U155,$E$5:$U$5))+INTERCEPT('Raw touched'!$E155:$U155,$E$5:$U$5)),'Raw touched'!Q155)</f>
        <v>21.222637185337362</v>
      </c>
      <c r="R155" s="4">
        <f>IF(ISBLANK('Raw touched'!R155),((R$5*SLOPE('Raw touched'!$E155:$U155,$E$5:$U$5))+INTERCEPT('Raw touched'!$E155:$U155,$E$5:$U$5)),'Raw touched'!R155)</f>
        <v>20.383189256687047</v>
      </c>
      <c r="S155" s="4">
        <f>IF(ISBLANK('Raw touched'!S155),((S$5*SLOPE('Raw touched'!$E155:$U155,$E$5:$U$5))+INTERCEPT('Raw touched'!$E155:$U155,$E$5:$U$5)),'Raw touched'!S155)</f>
        <v>19.543741328036958</v>
      </c>
      <c r="T155" s="4">
        <f>IF(ISBLANK('Raw touched'!T155),((T$5*SLOPE('Raw touched'!$E155:$U155,$E$5:$U$5))+INTERCEPT('Raw touched'!$E155:$U155,$E$5:$U$5)),'Raw touched'!T155)</f>
        <v>18.704293399386643</v>
      </c>
      <c r="U155" s="4">
        <f>IF(ISBLANK('Raw touched'!U155),((U$5*SLOPE('Raw touched'!$E155:$U155,$E$5:$U$5))+INTERCEPT('Raw touched'!$E155:$U155,$E$5:$U$5)),'Raw touched'!U155)</f>
        <v>17.864845470736327</v>
      </c>
    </row>
    <row r="156" spans="3:21" ht="13">
      <c r="C156" s="1" t="s">
        <v>241</v>
      </c>
      <c r="D156" s="1" t="s">
        <v>134</v>
      </c>
      <c r="E156" s="4">
        <f>IF(ISBLANK('Raw touched'!E156),((E$5*SLOPE('Raw touched'!$E156:$U156,$E$5:$U$5))+INTERCEPT('Raw touched'!$E156:$U156,$E$5:$U$5)),'Raw touched'!E156)</f>
        <v>28.5</v>
      </c>
      <c r="F156" s="4">
        <f>IF(ISBLANK('Raw touched'!F156),((F$5*SLOPE('Raw touched'!$E156:$U156,$E$5:$U$5))+INTERCEPT('Raw touched'!$E156:$U156,$E$5:$U$5)),'Raw touched'!F156)</f>
        <v>29.299999239999998</v>
      </c>
      <c r="G156" s="4">
        <f>IF(ISBLANK('Raw touched'!G156),((G$5*SLOPE('Raw touched'!$E156:$U156,$E$5:$U$5))+INTERCEPT('Raw touched'!$E156:$U156,$E$5:$U$5)),'Raw touched'!G156)</f>
        <v>29.299999239999998</v>
      </c>
      <c r="H156" s="4">
        <f>IF(ISBLANK('Raw touched'!H156),((H$5*SLOPE('Raw touched'!$E156:$U156,$E$5:$U$5))+INTERCEPT('Raw touched'!$E156:$U156,$E$5:$U$5)),'Raw touched'!H156)</f>
        <v>29.299999239999998</v>
      </c>
      <c r="I156" s="4">
        <f>IF(ISBLANK('Raw touched'!I156),((I$5*SLOPE('Raw touched'!$E156:$U156,$E$5:$U$5))+INTERCEPT('Raw touched'!$E156:$U156,$E$5:$U$5)),'Raw touched'!I156)</f>
        <v>29.299999239999998</v>
      </c>
      <c r="J156" s="4">
        <f>IF(ISBLANK('Raw touched'!J156),((J$5*SLOPE('Raw touched'!$E156:$U156,$E$5:$U$5))+INTERCEPT('Raw touched'!$E156:$U156,$E$5:$U$5)),'Raw touched'!J156)</f>
        <v>29.299999239999998</v>
      </c>
      <c r="K156" s="4">
        <f>IF(ISBLANK('Raw touched'!K156),((K$5*SLOPE('Raw touched'!$E156:$U156,$E$5:$U$5))+INTERCEPT('Raw touched'!$E156:$U156,$E$5:$U$5)),'Raw touched'!K156)</f>
        <v>29.332499625625005</v>
      </c>
      <c r="L156" s="4">
        <f>IF(ISBLANK('Raw touched'!L156),((L$5*SLOPE('Raw touched'!$E156:$U156,$E$5:$U$5))+INTERCEPT('Raw touched'!$E156:$U156,$E$5:$U$5)),'Raw touched'!L156)</f>
        <v>29.388683886118429</v>
      </c>
      <c r="M156" s="4">
        <f>IF(ISBLANK('Raw touched'!M156),((M$5*SLOPE('Raw touched'!$E156:$U156,$E$5:$U$5))+INTERCEPT('Raw touched'!$E156:$U156,$E$5:$U$5)),'Raw touched'!M156)</f>
        <v>29.260000229999999</v>
      </c>
      <c r="N156" s="4">
        <f>IF(ISBLANK('Raw touched'!N156),((N$5*SLOPE('Raw touched'!$E156:$U156,$E$5:$U$5))+INTERCEPT('Raw touched'!$E156:$U156,$E$5:$U$5)),'Raw touched'!N156)</f>
        <v>29.501052407105277</v>
      </c>
      <c r="O156" s="4">
        <f>IF(ISBLANK('Raw touched'!O156),((O$5*SLOPE('Raw touched'!$E156:$U156,$E$5:$U$5))+INTERCEPT('Raw touched'!$E156:$U156,$E$5:$U$5)),'Raw touched'!O156)</f>
        <v>29.557236667598701</v>
      </c>
      <c r="P156" s="4">
        <f>IF(ISBLANK('Raw touched'!P156),((P$5*SLOPE('Raw touched'!$E156:$U156,$E$5:$U$5))+INTERCEPT('Raw touched'!$E156:$U156,$E$5:$U$5)),'Raw touched'!P156)</f>
        <v>29.613420928092111</v>
      </c>
      <c r="Q156" s="4">
        <f>IF(ISBLANK('Raw touched'!Q156),((Q$5*SLOPE('Raw touched'!$E156:$U156,$E$5:$U$5))+INTERCEPT('Raw touched'!$E156:$U156,$E$5:$U$5)),'Raw touched'!Q156)</f>
        <v>29.669605188585535</v>
      </c>
      <c r="R156" s="4">
        <f>IF(ISBLANK('Raw touched'!R156),((R$5*SLOPE('Raw touched'!$E156:$U156,$E$5:$U$5))+INTERCEPT('Raw touched'!$E156:$U156,$E$5:$U$5)),'Raw touched'!R156)</f>
        <v>29.72578944907896</v>
      </c>
      <c r="S156" s="4">
        <f>IF(ISBLANK('Raw touched'!S156),((S$5*SLOPE('Raw touched'!$E156:$U156,$E$5:$U$5))+INTERCEPT('Raw touched'!$E156:$U156,$E$5:$U$5)),'Raw touched'!S156)</f>
        <v>29.781973709572384</v>
      </c>
      <c r="T156" s="4">
        <f>IF(ISBLANK('Raw touched'!T156),((T$5*SLOPE('Raw touched'!$E156:$U156,$E$5:$U$5))+INTERCEPT('Raw touched'!$E156:$U156,$E$5:$U$5)),'Raw touched'!T156)</f>
        <v>29.838157970065794</v>
      </c>
      <c r="U156" s="4">
        <f>IF(ISBLANK('Raw touched'!U156),((U$5*SLOPE('Raw touched'!$E156:$U156,$E$5:$U$5))+INTERCEPT('Raw touched'!$E156:$U156,$E$5:$U$5)),'Raw touched'!U156)</f>
        <v>29.894342230559218</v>
      </c>
    </row>
    <row r="157" spans="3:21" ht="13">
      <c r="C157" s="1" t="s">
        <v>313</v>
      </c>
      <c r="D157" s="1" t="s">
        <v>246</v>
      </c>
      <c r="E157" s="4">
        <f>IF(ISBLANK('Raw touched'!E157),((E$5*SLOPE('Raw touched'!$E157:$U157,$E$5:$U$5))+INTERCEPT('Raw touched'!$E157:$U157,$E$5:$U$5)),'Raw touched'!E157)</f>
        <v>72.050001234999854</v>
      </c>
      <c r="F157" s="4">
        <f>IF(ISBLANK('Raw touched'!F157),((F$5*SLOPE('Raw touched'!$E157:$U157,$E$5:$U$5))+INTERCEPT('Raw touched'!$E157:$U157,$E$5:$U$5)),'Raw touched'!F157)</f>
        <v>70.180001139999604</v>
      </c>
      <c r="G157" s="4">
        <f>IF(ISBLANK('Raw touched'!G157),((G$5*SLOPE('Raw touched'!$E157:$U157,$E$5:$U$5))+INTERCEPT('Raw touched'!$E157:$U157,$E$5:$U$5)),'Raw touched'!G157)</f>
        <v>68.310001044999808</v>
      </c>
      <c r="H157" s="4">
        <f>IF(ISBLANK('Raw touched'!H157),((H$5*SLOPE('Raw touched'!$E157:$U157,$E$5:$U$5))+INTERCEPT('Raw touched'!$E157:$U157,$E$5:$U$5)),'Raw touched'!H157)</f>
        <v>66.440000949999558</v>
      </c>
      <c r="I157" s="4">
        <f>IF(ISBLANK('Raw touched'!I157),((I$5*SLOPE('Raw touched'!$E157:$U157,$E$5:$U$5))+INTERCEPT('Raw touched'!$E157:$U157,$E$5:$U$5)),'Raw touched'!I157)</f>
        <v>64.570000854999762</v>
      </c>
      <c r="J157" s="4">
        <f>IF(ISBLANK('Raw touched'!J157),((J$5*SLOPE('Raw touched'!$E157:$U157,$E$5:$U$5))+INTERCEPT('Raw touched'!$E157:$U157,$E$5:$U$5)),'Raw touched'!J157)</f>
        <v>62.700000760000002</v>
      </c>
      <c r="K157" s="4">
        <f>IF(ISBLANK('Raw touched'!K157),((K$5*SLOPE('Raw touched'!$E157:$U157,$E$5:$U$5))+INTERCEPT('Raw touched'!$E157:$U157,$E$5:$U$5)),'Raw touched'!K157)</f>
        <v>60.830000664999716</v>
      </c>
      <c r="L157" s="4">
        <f>IF(ISBLANK('Raw touched'!L157),((L$5*SLOPE('Raw touched'!$E157:$U157,$E$5:$U$5))+INTERCEPT('Raw touched'!$E157:$U157,$E$5:$U$5)),'Raw touched'!L157)</f>
        <v>58.96000056999992</v>
      </c>
      <c r="M157" s="4">
        <f>IF(ISBLANK('Raw touched'!M157),((M$5*SLOPE('Raw touched'!$E157:$U157,$E$5:$U$5))+INTERCEPT('Raw touched'!$E157:$U157,$E$5:$U$5)),'Raw touched'!M157)</f>
        <v>57.09000047499967</v>
      </c>
      <c r="N157" s="4">
        <f>IF(ISBLANK('Raw touched'!N157),((N$5*SLOPE('Raw touched'!$E157:$U157,$E$5:$U$5))+INTERCEPT('Raw touched'!$E157:$U157,$E$5:$U$5)),'Raw touched'!N157)</f>
        <v>55.220000379999874</v>
      </c>
      <c r="O157" s="4">
        <f>IF(ISBLANK('Raw touched'!O157),((O$5*SLOPE('Raw touched'!$E157:$U157,$E$5:$U$5))+INTERCEPT('Raw touched'!$E157:$U157,$E$5:$U$5)),'Raw touched'!O157)</f>
        <v>53.350000284999624</v>
      </c>
      <c r="P157" s="4">
        <f>IF(ISBLANK('Raw touched'!P157),((P$5*SLOPE('Raw touched'!$E157:$U157,$E$5:$U$5))+INTERCEPT('Raw touched'!$E157:$U157,$E$5:$U$5)),'Raw touched'!P157)</f>
        <v>51.480000189999828</v>
      </c>
      <c r="Q157" s="4">
        <f>IF(ISBLANK('Raw touched'!Q157),((Q$5*SLOPE('Raw touched'!$E157:$U157,$E$5:$U$5))+INTERCEPT('Raw touched'!$E157:$U157,$E$5:$U$5)),'Raw touched'!Q157)</f>
        <v>49.610000094999577</v>
      </c>
      <c r="R157" s="4">
        <f>IF(ISBLANK('Raw touched'!R157),((R$5*SLOPE('Raw touched'!$E157:$U157,$E$5:$U$5))+INTERCEPT('Raw touched'!$E157:$U157,$E$5:$U$5)),'Raw touched'!R157)</f>
        <v>47.74</v>
      </c>
      <c r="S157" s="4">
        <f>IF(ISBLANK('Raw touched'!S157),((S$5*SLOPE('Raw touched'!$E157:$U157,$E$5:$U$5))+INTERCEPT('Raw touched'!$E157:$U157,$E$5:$U$5)),'Raw touched'!S157)</f>
        <v>45.869999904999986</v>
      </c>
      <c r="T157" s="4">
        <f>IF(ISBLANK('Raw touched'!T157),((T$5*SLOPE('Raw touched'!$E157:$U157,$E$5:$U$5))+INTERCEPT('Raw touched'!$E157:$U157,$E$5:$U$5)),'Raw touched'!T157)</f>
        <v>43.999999809999736</v>
      </c>
      <c r="U157" s="4">
        <f>IF(ISBLANK('Raw touched'!U157),((U$5*SLOPE('Raw touched'!$E157:$U157,$E$5:$U$5))+INTERCEPT('Raw touched'!$E157:$U157,$E$5:$U$5)),'Raw touched'!U157)</f>
        <v>42.12999971499994</v>
      </c>
    </row>
    <row r="158" spans="3:21" ht="13">
      <c r="C158" s="1" t="s">
        <v>9</v>
      </c>
      <c r="D158" s="1" t="s">
        <v>58</v>
      </c>
      <c r="E158" s="4">
        <f>IF(ISBLANK('Raw touched'!E158),((E$5*SLOPE('Raw touched'!$E158:$U158,$E$5:$U$5))+INTERCEPT('Raw touched'!$E158:$U158,$E$5:$U$5)),'Raw touched'!E158)</f>
        <v>62.799999239999998</v>
      </c>
      <c r="F158" s="4">
        <f>IF(ISBLANK('Raw touched'!F158),((F$5*SLOPE('Raw touched'!$E158:$U158,$E$5:$U$5))+INTERCEPT('Raw touched'!$E158:$U158,$E$5:$U$5)),'Raw touched'!F158)</f>
        <v>80.300003050000001</v>
      </c>
      <c r="G158" s="4">
        <f>IF(ISBLANK('Raw touched'!G158),((G$5*SLOPE('Raw touched'!$E158:$U158,$E$5:$U$5))+INTERCEPT('Raw touched'!$E158:$U158,$E$5:$U$5)),'Raw touched'!G158)</f>
        <v>84.5</v>
      </c>
      <c r="H158" s="4">
        <f>IF(ISBLANK('Raw touched'!H158),((H$5*SLOPE('Raw touched'!$E158:$U158,$E$5:$U$5))+INTERCEPT('Raw touched'!$E158:$U158,$E$5:$U$5)),'Raw touched'!H158)</f>
        <v>80.254966957999841</v>
      </c>
      <c r="I158" s="4">
        <f>IF(ISBLANK('Raw touched'!I158),((I$5*SLOPE('Raw touched'!$E158:$U158,$E$5:$U$5))+INTERCEPT('Raw touched'!$E158:$U158,$E$5:$U$5)),'Raw touched'!I158)</f>
        <v>82.269316183333103</v>
      </c>
      <c r="J158" s="4">
        <f>IF(ISBLANK('Raw touched'!J158),((J$5*SLOPE('Raw touched'!$E158:$U158,$E$5:$U$5))+INTERCEPT('Raw touched'!$E158:$U158,$E$5:$U$5)),'Raw touched'!J158)</f>
        <v>84.283665408666366</v>
      </c>
      <c r="K158" s="4">
        <f>IF(ISBLANK('Raw touched'!K158),((K$5*SLOPE('Raw touched'!$E158:$U158,$E$5:$U$5))+INTERCEPT('Raw touched'!$E158:$U158,$E$5:$U$5)),'Raw touched'!K158)</f>
        <v>86.298014634000083</v>
      </c>
      <c r="L158" s="4">
        <f>IF(ISBLANK('Raw touched'!L158),((L$5*SLOPE('Raw touched'!$E158:$U158,$E$5:$U$5))+INTERCEPT('Raw touched'!$E158:$U158,$E$5:$U$5)),'Raw touched'!L158)</f>
        <v>88.312363859333345</v>
      </c>
      <c r="M158" s="4">
        <f>IF(ISBLANK('Raw touched'!M158),((M$5*SLOPE('Raw touched'!$E158:$U158,$E$5:$U$5))+INTERCEPT('Raw touched'!$E158:$U158,$E$5:$U$5)),'Raw touched'!M158)</f>
        <v>96</v>
      </c>
      <c r="N158" s="4">
        <f>IF(ISBLANK('Raw touched'!N158),((N$5*SLOPE('Raw touched'!$E158:$U158,$E$5:$U$5))+INTERCEPT('Raw touched'!$E158:$U158,$E$5:$U$5)),'Raw touched'!N158)</f>
        <v>92.34106230999987</v>
      </c>
      <c r="O158" s="4">
        <f>IF(ISBLANK('Raw touched'!O158),((O$5*SLOPE('Raw touched'!$E158:$U158,$E$5:$U$5))+INTERCEPT('Raw touched'!$E158:$U158,$E$5:$U$5)),'Raw touched'!O158)</f>
        <v>95.983935740000007</v>
      </c>
      <c r="P158" s="4">
        <f>IF(ISBLANK('Raw touched'!P158),((P$5*SLOPE('Raw touched'!$E158:$U158,$E$5:$U$5))+INTERCEPT('Raw touched'!$E158:$U158,$E$5:$U$5)),'Raw touched'!P158)</f>
        <v>96.015936249999996</v>
      </c>
      <c r="Q158" s="4">
        <f>IF(ISBLANK('Raw touched'!Q158),((Q$5*SLOPE('Raw touched'!$E158:$U158,$E$5:$U$5))+INTERCEPT('Raw touched'!$E158:$U158,$E$5:$U$5)),'Raw touched'!Q158)</f>
        <v>96.456692910000001</v>
      </c>
      <c r="R158" s="4">
        <f>IF(ISBLANK('Raw touched'!R158),((R$5*SLOPE('Raw touched'!$E158:$U158,$E$5:$U$5))+INTERCEPT('Raw touched'!$E158:$U158,$E$5:$U$5)),'Raw touched'!R158)</f>
        <v>96.456692910000001</v>
      </c>
      <c r="S158" s="4">
        <f>IF(ISBLANK('Raw touched'!S158),((S$5*SLOPE('Raw touched'!$E158:$U158,$E$5:$U$5))+INTERCEPT('Raw touched'!$E158:$U158,$E$5:$U$5)),'Raw touched'!S158)</f>
        <v>102.41280843666664</v>
      </c>
      <c r="T158" s="4">
        <f>IF(ISBLANK('Raw touched'!T158),((T$5*SLOPE('Raw touched'!$E158:$U158,$E$5:$U$5))+INTERCEPT('Raw touched'!$E158:$U158,$E$5:$U$5)),'Raw touched'!T158)</f>
        <v>104.4271576619999</v>
      </c>
      <c r="U158" s="4">
        <f>IF(ISBLANK('Raw touched'!U158),((U$5*SLOPE('Raw touched'!$E158:$U158,$E$5:$U$5))+INTERCEPT('Raw touched'!$E158:$U158,$E$5:$U$5)),'Raw touched'!U158)</f>
        <v>106.44150688733316</v>
      </c>
    </row>
    <row r="159" spans="3:21" ht="13">
      <c r="C159" s="1" t="s">
        <v>342</v>
      </c>
      <c r="D159" s="1" t="s">
        <v>80</v>
      </c>
      <c r="E159" s="4">
        <f>IF(ISBLANK('Raw touched'!E159),((E$5*SLOPE('Raw touched'!$E159:$U159,$E$5:$U$5))+INTERCEPT('Raw touched'!$E159:$U159,$E$5:$U$5)),'Raw touched'!E159)</f>
        <v>8</v>
      </c>
      <c r="F159" s="4">
        <f>IF(ISBLANK('Raw touched'!F159),((F$5*SLOPE('Raw touched'!$E159:$U159,$E$5:$U$5))+INTERCEPT('Raw touched'!$E159:$U159,$E$5:$U$5)),'Raw touched'!F159)</f>
        <v>8</v>
      </c>
      <c r="G159" s="4">
        <f>IF(ISBLANK('Raw touched'!G159),((G$5*SLOPE('Raw touched'!$E159:$U159,$E$5:$U$5))+INTERCEPT('Raw touched'!$E159:$U159,$E$5:$U$5)),'Raw touched'!G159)</f>
        <v>8</v>
      </c>
      <c r="H159" s="4">
        <f>IF(ISBLANK('Raw touched'!H159),((H$5*SLOPE('Raw touched'!$E159:$U159,$E$5:$U$5))+INTERCEPT('Raw touched'!$E159:$U159,$E$5:$U$5)),'Raw touched'!H159)</f>
        <v>8</v>
      </c>
      <c r="I159" s="4">
        <f>IF(ISBLANK('Raw touched'!I159),((I$5*SLOPE('Raw touched'!$E159:$U159,$E$5:$U$5))+INTERCEPT('Raw touched'!$E159:$U159,$E$5:$U$5)),'Raw touched'!I159)</f>
        <v>7.9000000950000002</v>
      </c>
      <c r="J159" s="4">
        <f>IF(ISBLANK('Raw touched'!J159),((J$5*SLOPE('Raw touched'!$E159:$U159,$E$5:$U$5))+INTERCEPT('Raw touched'!$E159:$U159,$E$5:$U$5)),'Raw touched'!J159)</f>
        <v>7.9000000950000002</v>
      </c>
      <c r="K159" s="4">
        <f>IF(ISBLANK('Raw touched'!K159),((K$5*SLOPE('Raw touched'!$E159:$U159,$E$5:$U$5))+INTERCEPT('Raw touched'!$E159:$U159,$E$5:$U$5)),'Raw touched'!K159)</f>
        <v>7.9491803761475399</v>
      </c>
      <c r="L159" s="4">
        <f>IF(ISBLANK('Raw touched'!L159),((L$5*SLOPE('Raw touched'!$E159:$U159,$E$5:$U$5))+INTERCEPT('Raw touched'!$E159:$U159,$E$5:$U$5)),'Raw touched'!L159)</f>
        <v>8</v>
      </c>
      <c r="M159" s="4">
        <f>IF(ISBLANK('Raw touched'!M159),((M$5*SLOPE('Raw touched'!$E159:$U159,$E$5:$U$5))+INTERCEPT('Raw touched'!$E159:$U159,$E$5:$U$5)),'Raw touched'!M159)</f>
        <v>7.9336066204508189</v>
      </c>
      <c r="N159" s="4">
        <f>IF(ISBLANK('Raw touched'!N159),((N$5*SLOPE('Raw touched'!$E159:$U159,$E$5:$U$5))+INTERCEPT('Raw touched'!$E159:$U159,$E$5:$U$5)),'Raw touched'!N159)</f>
        <v>7.9258197426024584</v>
      </c>
      <c r="O159" s="4">
        <f>IF(ISBLANK('Raw touched'!O159),((O$5*SLOPE('Raw touched'!$E159:$U159,$E$5:$U$5))+INTERCEPT('Raw touched'!$E159:$U159,$E$5:$U$5)),'Raw touched'!O159)</f>
        <v>7.9180328647540978</v>
      </c>
      <c r="P159" s="4">
        <f>IF(ISBLANK('Raw touched'!P159),((P$5*SLOPE('Raw touched'!$E159:$U159,$E$5:$U$5))+INTERCEPT('Raw touched'!$E159:$U159,$E$5:$U$5)),'Raw touched'!P159)</f>
        <v>7.9102459869057373</v>
      </c>
      <c r="Q159" s="4">
        <f>IF(ISBLANK('Raw touched'!Q159),((Q$5*SLOPE('Raw touched'!$E159:$U159,$E$5:$U$5))+INTERCEPT('Raw touched'!$E159:$U159,$E$5:$U$5)),'Raw touched'!Q159)</f>
        <v>7.9024591090573768</v>
      </c>
      <c r="R159" s="4">
        <f>IF(ISBLANK('Raw touched'!R159),((R$5*SLOPE('Raw touched'!$E159:$U159,$E$5:$U$5))+INTERCEPT('Raw touched'!$E159:$U159,$E$5:$U$5)),'Raw touched'!R159)</f>
        <v>7.8946722312090163</v>
      </c>
      <c r="S159" s="4">
        <f>IF(ISBLANK('Raw touched'!S159),((S$5*SLOPE('Raw touched'!$E159:$U159,$E$5:$U$5))+INTERCEPT('Raw touched'!$E159:$U159,$E$5:$U$5)),'Raw touched'!S159)</f>
        <v>7.8868853533606558</v>
      </c>
      <c r="T159" s="4">
        <f>IF(ISBLANK('Raw touched'!T159),((T$5*SLOPE('Raw touched'!$E159:$U159,$E$5:$U$5))+INTERCEPT('Raw touched'!$E159:$U159,$E$5:$U$5)),'Raw touched'!T159)</f>
        <v>7.8790984755122953</v>
      </c>
      <c r="U159" s="4">
        <f>IF(ISBLANK('Raw touched'!U159),((U$5*SLOPE('Raw touched'!$E159:$U159,$E$5:$U$5))+INTERCEPT('Raw touched'!$E159:$U159,$E$5:$U$5)),'Raw touched'!U159)</f>
        <v>7.8713115976639347</v>
      </c>
    </row>
    <row r="160" spans="3:21" ht="13">
      <c r="C160" s="1" t="s">
        <v>271</v>
      </c>
      <c r="D160" s="1" t="s">
        <v>396</v>
      </c>
      <c r="E160" s="4">
        <f>IF(ISBLANK('Raw touched'!E160),((E$5*SLOPE('Raw touched'!$E160:$U160,$E$5:$U$5))+INTERCEPT('Raw touched'!$E160:$U160,$E$5:$U$5)),'Raw touched'!E160)</f>
        <v>97.300003050000001</v>
      </c>
      <c r="F160" s="4">
        <f>IF(ISBLANK('Raw touched'!F160),((F$5*SLOPE('Raw touched'!$E160:$U160,$E$5:$U$5))+INTERCEPT('Raw touched'!$E160:$U160,$E$5:$U$5)),'Raw touched'!F160)</f>
        <v>97.300003050000001</v>
      </c>
      <c r="G160" s="4">
        <f>IF(ISBLANK('Raw touched'!G160),((G$5*SLOPE('Raw touched'!$E160:$U160,$E$5:$U$5))+INTERCEPT('Raw touched'!$E160:$U160,$E$5:$U$5)),'Raw touched'!G160)</f>
        <v>97.300003050000001</v>
      </c>
      <c r="H160" s="4">
        <f>IF(ISBLANK('Raw touched'!H160),((H$5*SLOPE('Raw touched'!$E160:$U160,$E$5:$U$5))+INTERCEPT('Raw touched'!$E160:$U160,$E$5:$U$5)),'Raw touched'!H160)</f>
        <v>100</v>
      </c>
      <c r="I160" s="4">
        <f>IF(ISBLANK('Raw touched'!I160),((I$5*SLOPE('Raw touched'!$E160:$U160,$E$5:$U$5))+INTERCEPT('Raw touched'!$E160:$U160,$E$5:$U$5)),'Raw touched'!I160)</f>
        <v>100</v>
      </c>
      <c r="J160" s="4">
        <f>IF(ISBLANK('Raw touched'!J160),((J$5*SLOPE('Raw touched'!$E160:$U160,$E$5:$U$5))+INTERCEPT('Raw touched'!$E160:$U160,$E$5:$U$5)),'Raw touched'!J160)</f>
        <v>100</v>
      </c>
      <c r="K160" s="4">
        <f>IF(ISBLANK('Raw touched'!K160),((K$5*SLOPE('Raw touched'!$E160:$U160,$E$5:$U$5))+INTERCEPT('Raw touched'!$E160:$U160,$E$5:$U$5)),'Raw touched'!K160)</f>
        <v>100</v>
      </c>
      <c r="L160" s="4">
        <f>IF(ISBLANK('Raw touched'!L160),((L$5*SLOPE('Raw touched'!$E160:$U160,$E$5:$U$5))+INTERCEPT('Raw touched'!$E160:$U160,$E$5:$U$5)),'Raw touched'!L160)</f>
        <v>100</v>
      </c>
      <c r="M160" s="4">
        <f>IF(ISBLANK('Raw touched'!M160),((M$5*SLOPE('Raw touched'!$E160:$U160,$E$5:$U$5))+INTERCEPT('Raw touched'!$E160:$U160,$E$5:$U$5)),'Raw touched'!M160)</f>
        <v>100</v>
      </c>
      <c r="N160" s="4">
        <f>IF(ISBLANK('Raw touched'!N160),((N$5*SLOPE('Raw touched'!$E160:$U160,$E$5:$U$5))+INTERCEPT('Raw touched'!$E160:$U160,$E$5:$U$5)),'Raw touched'!N160)</f>
        <v>100</v>
      </c>
      <c r="O160" s="4">
        <f>IF(ISBLANK('Raw touched'!O160),((O$5*SLOPE('Raw touched'!$E160:$U160,$E$5:$U$5))+INTERCEPT('Raw touched'!$E160:$U160,$E$5:$U$5)),'Raw touched'!O160)</f>
        <v>100</v>
      </c>
      <c r="P160" s="4">
        <f>IF(ISBLANK('Raw touched'!P160),((P$5*SLOPE('Raw touched'!$E160:$U160,$E$5:$U$5))+INTERCEPT('Raw touched'!$E160:$U160,$E$5:$U$5)),'Raw touched'!P160)</f>
        <v>100</v>
      </c>
      <c r="Q160" s="4">
        <f>IF(ISBLANK('Raw touched'!Q160),((Q$5*SLOPE('Raw touched'!$E160:$U160,$E$5:$U$5))+INTERCEPT('Raw touched'!$E160:$U160,$E$5:$U$5)),'Raw touched'!Q160)</f>
        <v>100</v>
      </c>
      <c r="R160" s="4">
        <f>IF(ISBLANK('Raw touched'!R160),((R$5*SLOPE('Raw touched'!$E160:$U160,$E$5:$U$5))+INTERCEPT('Raw touched'!$E160:$U160,$E$5:$U$5)),'Raw touched'!R160)</f>
        <v>100</v>
      </c>
      <c r="S160" s="4">
        <f>IF(ISBLANK('Raw touched'!S160),((S$5*SLOPE('Raw touched'!$E160:$U160,$E$5:$U$5))+INTERCEPT('Raw touched'!$E160:$U160,$E$5:$U$5)),'Raw touched'!S160)</f>
        <v>100.89010888461536</v>
      </c>
      <c r="T160" s="4">
        <f>IF(ISBLANK('Raw touched'!T160),((T$5*SLOPE('Raw touched'!$E160:$U160,$E$5:$U$5))+INTERCEPT('Raw touched'!$E160:$U160,$E$5:$U$5)),'Raw touched'!T160)</f>
        <v>101.08593283923074</v>
      </c>
      <c r="U160" s="4">
        <f>IF(ISBLANK('Raw touched'!U160),((U$5*SLOPE('Raw touched'!$E160:$U160,$E$5:$U$5))+INTERCEPT('Raw touched'!$E160:$U160,$E$5:$U$5)),'Raw touched'!U160)</f>
        <v>101.28175679384617</v>
      </c>
    </row>
    <row r="161" spans="3:21" ht="13">
      <c r="C161" s="1" t="s">
        <v>69</v>
      </c>
      <c r="D161" s="1" t="s">
        <v>223</v>
      </c>
      <c r="E161" s="4">
        <f>IF(ISBLANK('Raw touched'!E161),((E$5*SLOPE('Raw touched'!$E161:$U161,$E$5:$U$5))+INTERCEPT('Raw touched'!$E161:$U161,$E$5:$U$5)),'Raw touched'!E161)</f>
        <v>85.800003050000001</v>
      </c>
      <c r="F161" s="4">
        <f>IF(ISBLANK('Raw touched'!F161),((F$5*SLOPE('Raw touched'!$E161:$U161,$E$5:$U$5))+INTERCEPT('Raw touched'!$E161:$U161,$E$5:$U$5)),'Raw touched'!F161)</f>
        <v>85.800003050000001</v>
      </c>
      <c r="G161" s="4">
        <f>IF(ISBLANK('Raw touched'!G161),((G$5*SLOPE('Raw touched'!$E161:$U161,$E$5:$U$5))+INTERCEPT('Raw touched'!$E161:$U161,$E$5:$U$5)),'Raw touched'!G161)</f>
        <v>86.599998470000003</v>
      </c>
      <c r="H161" s="4">
        <f>IF(ISBLANK('Raw touched'!H161),((H$5*SLOPE('Raw touched'!$E161:$U161,$E$5:$U$5))+INTERCEPT('Raw touched'!$E161:$U161,$E$5:$U$5)),'Raw touched'!H161)</f>
        <v>86.699996949999999</v>
      </c>
      <c r="I161" s="4">
        <f>IF(ISBLANK('Raw touched'!I161),((I$5*SLOPE('Raw touched'!$E161:$U161,$E$5:$U$5))+INTERCEPT('Raw touched'!$E161:$U161,$E$5:$U$5)),'Raw touched'!I161)</f>
        <v>86.608370110090533</v>
      </c>
      <c r="J161" s="4">
        <f>IF(ISBLANK('Raw touched'!J161),((J$5*SLOPE('Raw touched'!$E161:$U161,$E$5:$U$5))+INTERCEPT('Raw touched'!$E161:$U161,$E$5:$U$5)),'Raw touched'!J161)</f>
        <v>87</v>
      </c>
      <c r="K161" s="4">
        <f>IF(ISBLANK('Raw touched'!K161),((K$5*SLOPE('Raw touched'!$E161:$U161,$E$5:$U$5))+INTERCEPT('Raw touched'!$E161:$U161,$E$5:$U$5)),'Raw touched'!K161)</f>
        <v>87</v>
      </c>
      <c r="L161" s="4">
        <f>IF(ISBLANK('Raw touched'!L161),((L$5*SLOPE('Raw touched'!$E161:$U161,$E$5:$U$5))+INTERCEPT('Raw touched'!$E161:$U161,$E$5:$U$5)),'Raw touched'!L161)</f>
        <v>87.300003050000001</v>
      </c>
      <c r="M161" s="4">
        <f>IF(ISBLANK('Raw touched'!M161),((M$5*SLOPE('Raw touched'!$E161:$U161,$E$5:$U$5))+INTERCEPT('Raw touched'!$E161:$U161,$E$5:$U$5)),'Raw touched'!M161)</f>
        <v>87.309997559999999</v>
      </c>
      <c r="N161" s="4">
        <f>IF(ISBLANK('Raw touched'!N161),((N$5*SLOPE('Raw touched'!$E161:$U161,$E$5:$U$5))+INTERCEPT('Raw touched'!$E161:$U161,$E$5:$U$5)),'Raw touched'!N161)</f>
        <v>87.309997559999999</v>
      </c>
      <c r="O161" s="4">
        <f>IF(ISBLANK('Raw touched'!O161),((O$5*SLOPE('Raw touched'!$E161:$U161,$E$5:$U$5))+INTERCEPT('Raw touched'!$E161:$U161,$E$5:$U$5)),'Raw touched'!O161)</f>
        <v>87.019996640000002</v>
      </c>
      <c r="P161" s="4">
        <f>IF(ISBLANK('Raw touched'!P161),((P$5*SLOPE('Raw touched'!$E161:$U161,$E$5:$U$5))+INTERCEPT('Raw touched'!$E161:$U161,$E$5:$U$5)),'Raw touched'!P161)</f>
        <v>87.02999878</v>
      </c>
      <c r="Q161" s="4">
        <f>IF(ISBLANK('Raw touched'!Q161),((Q$5*SLOPE('Raw touched'!$E161:$U161,$E$5:$U$5))+INTERCEPT('Raw touched'!$E161:$U161,$E$5:$U$5)),'Raw touched'!Q161)</f>
        <v>87.57633628742559</v>
      </c>
      <c r="R161" s="4">
        <f>IF(ISBLANK('Raw touched'!R161),((R$5*SLOPE('Raw touched'!$E161:$U161,$E$5:$U$5))+INTERCEPT('Raw touched'!$E161:$U161,$E$5:$U$5)),'Raw touched'!R161)</f>
        <v>87.697332059592469</v>
      </c>
      <c r="S161" s="4">
        <f>IF(ISBLANK('Raw touched'!S161),((S$5*SLOPE('Raw touched'!$E161:$U161,$E$5:$U$5))+INTERCEPT('Raw touched'!$E161:$U161,$E$5:$U$5)),'Raw touched'!S161)</f>
        <v>87.818327831759348</v>
      </c>
      <c r="T161" s="4">
        <f>IF(ISBLANK('Raw touched'!T161),((T$5*SLOPE('Raw touched'!$E161:$U161,$E$5:$U$5))+INTERCEPT('Raw touched'!$E161:$U161,$E$5:$U$5)),'Raw touched'!T161)</f>
        <v>87.939323603926226</v>
      </c>
      <c r="U161" s="4">
        <f>IF(ISBLANK('Raw touched'!U161),((U$5*SLOPE('Raw touched'!$E161:$U161,$E$5:$U$5))+INTERCEPT('Raw touched'!$E161:$U161,$E$5:$U$5)),'Raw touched'!U161)</f>
        <v>88.060319376093105</v>
      </c>
    </row>
    <row r="162" spans="3:21" ht="13">
      <c r="C162" s="1" t="s">
        <v>71</v>
      </c>
      <c r="D162" s="1" t="s">
        <v>207</v>
      </c>
      <c r="E162" s="4">
        <f>IF(ISBLANK('Raw touched'!E162),((E$5*SLOPE('Raw touched'!$E162:$U162,$E$5:$U$5))+INTERCEPT('Raw touched'!$E162:$U162,$E$5:$U$5)),'Raw touched'!E162)</f>
        <v>80.199996949999999</v>
      </c>
      <c r="F162" s="4">
        <f>IF(ISBLANK('Raw touched'!F162),((F$5*SLOPE('Raw touched'!$E162:$U162,$E$5:$U$5))+INTERCEPT('Raw touched'!$E162:$U162,$E$5:$U$5)),'Raw touched'!F162)</f>
        <v>81.199996949999999</v>
      </c>
      <c r="G162" s="4">
        <f>IF(ISBLANK('Raw touched'!G162),((G$5*SLOPE('Raw touched'!$E162:$U162,$E$5:$U$5))+INTERCEPT('Raw touched'!$E162:$U162,$E$5:$U$5)),'Raw touched'!G162)</f>
        <v>81.699996949999999</v>
      </c>
      <c r="H162" s="4">
        <f>IF(ISBLANK('Raw touched'!H162),((H$5*SLOPE('Raw touched'!$E162:$U162,$E$5:$U$5))+INTERCEPT('Raw touched'!$E162:$U162,$E$5:$U$5)),'Raw touched'!H162)</f>
        <v>100</v>
      </c>
      <c r="I162" s="4">
        <f>IF(ISBLANK('Raw touched'!I162),((I$5*SLOPE('Raw touched'!$E162:$U162,$E$5:$U$5))+INTERCEPT('Raw touched'!$E162:$U162,$E$5:$U$5)),'Raw touched'!I162)</f>
        <v>91.654876709756536</v>
      </c>
      <c r="J162" s="4">
        <f>IF(ISBLANK('Raw touched'!J162),((J$5*SLOPE('Raw touched'!$E162:$U162,$E$5:$U$5))+INTERCEPT('Raw touched'!$E162:$U162,$E$5:$U$5)),'Raw touched'!J162)</f>
        <v>100</v>
      </c>
      <c r="K162" s="4">
        <f>IF(ISBLANK('Raw touched'!K162),((K$5*SLOPE('Raw touched'!$E162:$U162,$E$5:$U$5))+INTERCEPT('Raw touched'!$E162:$U162,$E$5:$U$5)),'Raw touched'!K162)</f>
        <v>100</v>
      </c>
      <c r="L162" s="4">
        <f>IF(ISBLANK('Raw touched'!L162),((L$5*SLOPE('Raw touched'!$E162:$U162,$E$5:$U$5))+INTERCEPT('Raw touched'!$E162:$U162,$E$5:$U$5)),'Raw touched'!L162)</f>
        <v>100</v>
      </c>
      <c r="M162" s="4">
        <f>IF(ISBLANK('Raw touched'!M162),((M$5*SLOPE('Raw touched'!$E162:$U162,$E$5:$U$5))+INTERCEPT('Raw touched'!$E162:$U162,$E$5:$U$5)),'Raw touched'!M162)</f>
        <v>100</v>
      </c>
      <c r="N162" s="4">
        <f>IF(ISBLANK('Raw touched'!N162),((N$5*SLOPE('Raw touched'!$E162:$U162,$E$5:$U$5))+INTERCEPT('Raw touched'!$E162:$U162,$E$5:$U$5)),'Raw touched'!N162)</f>
        <v>100</v>
      </c>
      <c r="O162" s="4">
        <f>IF(ISBLANK('Raw touched'!O162),((O$5*SLOPE('Raw touched'!$E162:$U162,$E$5:$U$5))+INTERCEPT('Raw touched'!$E162:$U162,$E$5:$U$5)),'Raw touched'!O162)</f>
        <v>100</v>
      </c>
      <c r="P162" s="4">
        <f>IF(ISBLANK('Raw touched'!P162),((P$5*SLOPE('Raw touched'!$E162:$U162,$E$5:$U$5))+INTERCEPT('Raw touched'!$E162:$U162,$E$5:$U$5)),'Raw touched'!P162)</f>
        <v>100</v>
      </c>
      <c r="Q162" s="4">
        <f>IF(ISBLANK('Raw touched'!Q162),((Q$5*SLOPE('Raw touched'!$E162:$U162,$E$5:$U$5))+INTERCEPT('Raw touched'!$E162:$U162,$E$5:$U$5)),'Raw touched'!Q162)</f>
        <v>100</v>
      </c>
      <c r="R162" s="4">
        <f>IF(ISBLANK('Raw touched'!R162),((R$5*SLOPE('Raw touched'!$E162:$U162,$E$5:$U$5))+INTERCEPT('Raw touched'!$E162:$U162,$E$5:$U$5)),'Raw touched'!R162)</f>
        <v>100</v>
      </c>
      <c r="S162" s="4">
        <f>IF(ISBLANK('Raw touched'!S162),((S$5*SLOPE('Raw touched'!$E162:$U162,$E$5:$U$5))+INTERCEPT('Raw touched'!$E162:$U162,$E$5:$U$5)),'Raw touched'!S162)</f>
        <v>106.39390345923402</v>
      </c>
      <c r="T162" s="4">
        <f>IF(ISBLANK('Raw touched'!T162),((T$5*SLOPE('Raw touched'!$E162:$U162,$E$5:$U$5))+INTERCEPT('Raw touched'!$E162:$U162,$E$5:$U$5)),'Raw touched'!T162)</f>
        <v>107.86780613418159</v>
      </c>
      <c r="U162" s="4">
        <f>IF(ISBLANK('Raw touched'!U162),((U$5*SLOPE('Raw touched'!$E162:$U162,$E$5:$U$5))+INTERCEPT('Raw touched'!$E162:$U162,$E$5:$U$5)),'Raw touched'!U162)</f>
        <v>109.34170880912916</v>
      </c>
    </row>
    <row r="163" spans="3:21" ht="13">
      <c r="C163" s="1" t="s">
        <v>346</v>
      </c>
      <c r="D163" s="1" t="s">
        <v>251</v>
      </c>
      <c r="E163" s="4">
        <f>IF(ISBLANK('Raw touched'!E163),((E$5*SLOPE('Raw touched'!$E163:$U163,$E$5:$U$5))+INTERCEPT('Raw touched'!$E163:$U163,$E$5:$U$5)),'Raw touched'!E163)</f>
        <v>2.4000000950000002</v>
      </c>
      <c r="F163" s="4">
        <f>IF(ISBLANK('Raw touched'!F163),((F$5*SLOPE('Raw touched'!$E163:$U163,$E$5:$U$5))+INTERCEPT('Raw touched'!$E163:$U163,$E$5:$U$5)),'Raw touched'!F163)</f>
        <v>2.5</v>
      </c>
      <c r="G163" s="4">
        <f>IF(ISBLANK('Raw touched'!G163),((G$5*SLOPE('Raw touched'!$E163:$U163,$E$5:$U$5))+INTERCEPT('Raw touched'!$E163:$U163,$E$5:$U$5)),'Raw touched'!G163)</f>
        <v>2.5</v>
      </c>
      <c r="H163" s="4">
        <f>IF(ISBLANK('Raw touched'!H163),((H$5*SLOPE('Raw touched'!$E163:$U163,$E$5:$U$5))+INTERCEPT('Raw touched'!$E163:$U163,$E$5:$U$5)),'Raw touched'!H163)</f>
        <v>2.5</v>
      </c>
      <c r="I163" s="4">
        <f>IF(ISBLANK('Raw touched'!I163),((I$5*SLOPE('Raw touched'!$E163:$U163,$E$5:$U$5))+INTERCEPT('Raw touched'!$E163:$U163,$E$5:$U$5)),'Raw touched'!I163)</f>
        <v>2.4400000570000002</v>
      </c>
      <c r="J163" s="4">
        <f>IF(ISBLANK('Raw touched'!J163),((J$5*SLOPE('Raw touched'!$E163:$U163,$E$5:$U$5))+INTERCEPT('Raw touched'!$E163:$U163,$E$5:$U$5)),'Raw touched'!J163)</f>
        <v>2.4400000570000002</v>
      </c>
      <c r="K163" s="4">
        <f>IF(ISBLANK('Raw touched'!K163),((K$5*SLOPE('Raw touched'!$E163:$U163,$E$5:$U$5))+INTERCEPT('Raw touched'!$E163:$U163,$E$5:$U$5)),'Raw touched'!K163)</f>
        <v>2.4400000570000002</v>
      </c>
      <c r="L163" s="4">
        <f>IF(ISBLANK('Raw touched'!L163),((L$5*SLOPE('Raw touched'!$E163:$U163,$E$5:$U$5))+INTERCEPT('Raw touched'!$E163:$U163,$E$5:$U$5)),'Raw touched'!L163)</f>
        <v>2.4514286175714277</v>
      </c>
      <c r="M163" s="4">
        <f>IF(ISBLANK('Raw touched'!M163),((M$5*SLOPE('Raw touched'!$E163:$U163,$E$5:$U$5))+INTERCEPT('Raw touched'!$E163:$U163,$E$5:$U$5)),'Raw touched'!M163)</f>
        <v>2.4492857624642852</v>
      </c>
      <c r="N163" s="4">
        <f>IF(ISBLANK('Raw touched'!N163),((N$5*SLOPE('Raw touched'!$E163:$U163,$E$5:$U$5))+INTERCEPT('Raw touched'!$E163:$U163,$E$5:$U$5)),'Raw touched'!N163)</f>
        <v>2.4471429073571427</v>
      </c>
      <c r="O163" s="4">
        <f>IF(ISBLANK('Raw touched'!O163),((O$5*SLOPE('Raw touched'!$E163:$U163,$E$5:$U$5))+INTERCEPT('Raw touched'!$E163:$U163,$E$5:$U$5)),'Raw touched'!O163)</f>
        <v>2.4450000522499993</v>
      </c>
      <c r="P163" s="4">
        <f>IF(ISBLANK('Raw touched'!P163),((P$5*SLOPE('Raw touched'!$E163:$U163,$E$5:$U$5))+INTERCEPT('Raw touched'!$E163:$U163,$E$5:$U$5)),'Raw touched'!P163)</f>
        <v>2.4428571971428568</v>
      </c>
      <c r="Q163" s="4">
        <f>IF(ISBLANK('Raw touched'!Q163),((Q$5*SLOPE('Raw touched'!$E163:$U163,$E$5:$U$5))+INTERCEPT('Raw touched'!$E163:$U163,$E$5:$U$5)),'Raw touched'!Q163)</f>
        <v>2.4407143420357142</v>
      </c>
      <c r="R163" s="4">
        <f>IF(ISBLANK('Raw touched'!R163),((R$5*SLOPE('Raw touched'!$E163:$U163,$E$5:$U$5))+INTERCEPT('Raw touched'!$E163:$U163,$E$5:$U$5)),'Raw touched'!R163)</f>
        <v>2.4385714869285708</v>
      </c>
      <c r="S163" s="4">
        <f>IF(ISBLANK('Raw touched'!S163),((S$5*SLOPE('Raw touched'!$E163:$U163,$E$5:$U$5))+INTERCEPT('Raw touched'!$E163:$U163,$E$5:$U$5)),'Raw touched'!S163)</f>
        <v>2.4364286318214283</v>
      </c>
      <c r="T163" s="4">
        <f>IF(ISBLANK('Raw touched'!T163),((T$5*SLOPE('Raw touched'!$E163:$U163,$E$5:$U$5))+INTERCEPT('Raw touched'!$E163:$U163,$E$5:$U$5)),'Raw touched'!T163)</f>
        <v>2.4342857767142858</v>
      </c>
      <c r="U163" s="4">
        <f>IF(ISBLANK('Raw touched'!U163),((U$5*SLOPE('Raw touched'!$E163:$U163,$E$5:$U$5))+INTERCEPT('Raw touched'!$E163:$U163,$E$5:$U$5)),'Raw touched'!U163)</f>
        <v>2.4321429216071424</v>
      </c>
    </row>
    <row r="164" spans="3:21" ht="13">
      <c r="C164" s="1" t="s">
        <v>394</v>
      </c>
      <c r="D164" s="1" t="s">
        <v>161</v>
      </c>
      <c r="E164" s="4">
        <f>IF(ISBLANK('Raw touched'!E164),((E$5*SLOPE('Raw touched'!$E164:$U164,$E$5:$U$5))+INTERCEPT('Raw touched'!$E164:$U164,$E$5:$U$5)),'Raw touched'!E164)</f>
        <v>11.80000019</v>
      </c>
      <c r="F164" s="4">
        <f>IF(ISBLANK('Raw touched'!F164),((F$5*SLOPE('Raw touched'!$E164:$U164,$E$5:$U$5))+INTERCEPT('Raw touched'!$E164:$U164,$E$5:$U$5)),'Raw touched'!F164)</f>
        <v>11.80000019</v>
      </c>
      <c r="G164" s="4">
        <f>IF(ISBLANK('Raw touched'!G164),((G$5*SLOPE('Raw touched'!$E164:$U164,$E$5:$U$5))+INTERCEPT('Raw touched'!$E164:$U164,$E$5:$U$5)),'Raw touched'!G164)</f>
        <v>11.80000019</v>
      </c>
      <c r="H164" s="4">
        <f>IF(ISBLANK('Raw touched'!H164),((H$5*SLOPE('Raw touched'!$E164:$U164,$E$5:$U$5))+INTERCEPT('Raw touched'!$E164:$U164,$E$5:$U$5)),'Raw touched'!H164)</f>
        <v>11.80000019</v>
      </c>
      <c r="I164" s="4">
        <f>IF(ISBLANK('Raw touched'!I164),((I$5*SLOPE('Raw touched'!$E164:$U164,$E$5:$U$5))+INTERCEPT('Raw touched'!$E164:$U164,$E$5:$U$5)),'Raw touched'!I164)</f>
        <v>11.80000019</v>
      </c>
      <c r="J164" s="4">
        <f>IF(ISBLANK('Raw touched'!J164),((J$5*SLOPE('Raw touched'!$E164:$U164,$E$5:$U$5))+INTERCEPT('Raw touched'!$E164:$U164,$E$5:$U$5)),'Raw touched'!J164)</f>
        <v>11.80000019</v>
      </c>
      <c r="K164" s="4">
        <f>IF(ISBLANK('Raw touched'!K164),((K$5*SLOPE('Raw touched'!$E164:$U164,$E$5:$U$5))+INTERCEPT('Raw touched'!$E164:$U164,$E$5:$U$5)),'Raw touched'!K164)</f>
        <v>11.80000019</v>
      </c>
      <c r="L164" s="4">
        <f>IF(ISBLANK('Raw touched'!L164),((L$5*SLOPE('Raw touched'!$E164:$U164,$E$5:$U$5))+INTERCEPT('Raw touched'!$E164:$U164,$E$5:$U$5)),'Raw touched'!L164)</f>
        <v>11.800000190000002</v>
      </c>
      <c r="M164" s="4">
        <f>IF(ISBLANK('Raw touched'!M164),((M$5*SLOPE('Raw touched'!$E164:$U164,$E$5:$U$5))+INTERCEPT('Raw touched'!$E164:$U164,$E$5:$U$5)),'Raw touched'!M164)</f>
        <v>11.800000190000002</v>
      </c>
      <c r="N164" s="4">
        <f>IF(ISBLANK('Raw touched'!N164),((N$5*SLOPE('Raw touched'!$E164:$U164,$E$5:$U$5))+INTERCEPT('Raw touched'!$E164:$U164,$E$5:$U$5)),'Raw touched'!N164)</f>
        <v>11.800000190000002</v>
      </c>
      <c r="O164" s="4">
        <f>IF(ISBLANK('Raw touched'!O164),((O$5*SLOPE('Raw touched'!$E164:$U164,$E$5:$U$5))+INTERCEPT('Raw touched'!$E164:$U164,$E$5:$U$5)),'Raw touched'!O164)</f>
        <v>11.800000190000002</v>
      </c>
      <c r="P164" s="4">
        <f>IF(ISBLANK('Raw touched'!P164),((P$5*SLOPE('Raw touched'!$E164:$U164,$E$5:$U$5))+INTERCEPT('Raw touched'!$E164:$U164,$E$5:$U$5)),'Raw touched'!P164)</f>
        <v>11.800000190000002</v>
      </c>
      <c r="Q164" s="4">
        <f>IF(ISBLANK('Raw touched'!Q164),((Q$5*SLOPE('Raw touched'!$E164:$U164,$E$5:$U$5))+INTERCEPT('Raw touched'!$E164:$U164,$E$5:$U$5)),'Raw touched'!Q164)</f>
        <v>11.800000190000002</v>
      </c>
      <c r="R164" s="4">
        <f>IF(ISBLANK('Raw touched'!R164),((R$5*SLOPE('Raw touched'!$E164:$U164,$E$5:$U$5))+INTERCEPT('Raw touched'!$E164:$U164,$E$5:$U$5)),'Raw touched'!R164)</f>
        <v>11.800000190000002</v>
      </c>
      <c r="S164" s="4">
        <f>IF(ISBLANK('Raw touched'!S164),((S$5*SLOPE('Raw touched'!$E164:$U164,$E$5:$U$5))+INTERCEPT('Raw touched'!$E164:$U164,$E$5:$U$5)),'Raw touched'!S164)</f>
        <v>11.800000190000002</v>
      </c>
      <c r="T164" s="4">
        <f>IF(ISBLANK('Raw touched'!T164),((T$5*SLOPE('Raw touched'!$E164:$U164,$E$5:$U$5))+INTERCEPT('Raw touched'!$E164:$U164,$E$5:$U$5)),'Raw touched'!T164)</f>
        <v>11.800000190000002</v>
      </c>
      <c r="U164" s="4">
        <f>IF(ISBLANK('Raw touched'!U164),((U$5*SLOPE('Raw touched'!$E164:$U164,$E$5:$U$5))+INTERCEPT('Raw touched'!$E164:$U164,$E$5:$U$5)),'Raw touched'!U164)</f>
        <v>11.800000190000002</v>
      </c>
    </row>
    <row r="165" spans="3:21" ht="13">
      <c r="C165" s="1" t="s">
        <v>248</v>
      </c>
      <c r="D165" s="1" t="s">
        <v>109</v>
      </c>
      <c r="E165" s="4">
        <f>IF(ISBLANK('Raw touched'!E165),((E$5*SLOPE('Raw touched'!$E165:$U165,$E$5:$U$5))+INTERCEPT('Raw touched'!$E165:$U165,$E$5:$U$5)),'Raw touched'!E165)</f>
        <v>20.460001368000007</v>
      </c>
      <c r="F165" s="4">
        <f>IF(ISBLANK('Raw touched'!F165),((F$5*SLOPE('Raw touched'!$E165:$U165,$E$5:$U$5))+INTERCEPT('Raw touched'!$E165:$U165,$E$5:$U$5)),'Raw touched'!F165)</f>
        <v>19.700000760000002</v>
      </c>
      <c r="G165" s="4">
        <f>IF(ISBLANK('Raw touched'!G165),((G$5*SLOPE('Raw touched'!$E165:$U165,$E$5:$U$5))+INTERCEPT('Raw touched'!$E165:$U165,$E$5:$U$5)),'Raw touched'!G165)</f>
        <v>19.700000760000002</v>
      </c>
      <c r="H165" s="4">
        <f>IF(ISBLANK('Raw touched'!H165),((H$5*SLOPE('Raw touched'!$E165:$U165,$E$5:$U$5))+INTERCEPT('Raw touched'!$E165:$U165,$E$5:$U$5)),'Raw touched'!H165)</f>
        <v>19.700000760000002</v>
      </c>
      <c r="I165" s="4">
        <f>IF(ISBLANK('Raw touched'!I165),((I$5*SLOPE('Raw touched'!$E165:$U165,$E$5:$U$5))+INTERCEPT('Raw touched'!$E165:$U165,$E$5:$U$5)),'Raw touched'!I165)</f>
        <v>20.299999239999998</v>
      </c>
      <c r="J165" s="4">
        <f>IF(ISBLANK('Raw touched'!J165),((J$5*SLOPE('Raw touched'!$E165:$U165,$E$5:$U$5))+INTERCEPT('Raw touched'!$E165:$U165,$E$5:$U$5)),'Raw touched'!J165)</f>
        <v>20.299999239999998</v>
      </c>
      <c r="K165" s="4">
        <f>IF(ISBLANK('Raw touched'!K165),((K$5*SLOPE('Raw touched'!$E165:$U165,$E$5:$U$5))+INTERCEPT('Raw touched'!$E165:$U165,$E$5:$U$5)),'Raw touched'!K165)</f>
        <v>17.299999239999998</v>
      </c>
      <c r="L165" s="4">
        <f>IF(ISBLANK('Raw touched'!L165),((L$5*SLOPE('Raw touched'!$E165:$U165,$E$5:$U$5))+INTERCEPT('Raw touched'!$E165:$U165,$E$5:$U$5)),'Raw touched'!L165)</f>
        <v>18.539998631999993</v>
      </c>
      <c r="M165" s="4">
        <f>IF(ISBLANK('Raw touched'!M165),((M$5*SLOPE('Raw touched'!$E165:$U165,$E$5:$U$5))+INTERCEPT('Raw touched'!$E165:$U165,$E$5:$U$5)),'Raw touched'!M165)</f>
        <v>18.265712526857214</v>
      </c>
      <c r="N165" s="4">
        <f>IF(ISBLANK('Raw touched'!N165),((N$5*SLOPE('Raw touched'!$E165:$U165,$E$5:$U$5))+INTERCEPT('Raw touched'!$E165:$U165,$E$5:$U$5)),'Raw touched'!N165)</f>
        <v>17.991426421714323</v>
      </c>
      <c r="O165" s="4">
        <f>IF(ISBLANK('Raw touched'!O165),((O$5*SLOPE('Raw touched'!$E165:$U165,$E$5:$U$5))+INTERCEPT('Raw touched'!$E165:$U165,$E$5:$U$5)),'Raw touched'!O165)</f>
        <v>17.717140316571431</v>
      </c>
      <c r="P165" s="4">
        <f>IF(ISBLANK('Raw touched'!P165),((P$5*SLOPE('Raw touched'!$E165:$U165,$E$5:$U$5))+INTERCEPT('Raw touched'!$E165:$U165,$E$5:$U$5)),'Raw touched'!P165)</f>
        <v>17.442854211428653</v>
      </c>
      <c r="Q165" s="4">
        <f>IF(ISBLANK('Raw touched'!Q165),((Q$5*SLOPE('Raw touched'!$E165:$U165,$E$5:$U$5))+INTERCEPT('Raw touched'!$E165:$U165,$E$5:$U$5)),'Raw touched'!Q165)</f>
        <v>17.168568106285761</v>
      </c>
      <c r="R165" s="4">
        <f>IF(ISBLANK('Raw touched'!R165),((R$5*SLOPE('Raw touched'!$E165:$U165,$E$5:$U$5))+INTERCEPT('Raw touched'!$E165:$U165,$E$5:$U$5)),'Raw touched'!R165)</f>
        <v>16.894282001142869</v>
      </c>
      <c r="S165" s="4">
        <f>IF(ISBLANK('Raw touched'!S165),((S$5*SLOPE('Raw touched'!$E165:$U165,$E$5:$U$5))+INTERCEPT('Raw touched'!$E165:$U165,$E$5:$U$5)),'Raw touched'!S165)</f>
        <v>16.619995895999978</v>
      </c>
      <c r="T165" s="4">
        <f>IF(ISBLANK('Raw touched'!T165),((T$5*SLOPE('Raw touched'!$E165:$U165,$E$5:$U$5))+INTERCEPT('Raw touched'!$E165:$U165,$E$5:$U$5)),'Raw touched'!T165)</f>
        <v>16.3457097908572</v>
      </c>
      <c r="U165" s="4">
        <f>IF(ISBLANK('Raw touched'!U165),((U$5*SLOPE('Raw touched'!$E165:$U165,$E$5:$U$5))+INTERCEPT('Raw touched'!$E165:$U165,$E$5:$U$5)),'Raw touched'!U165)</f>
        <v>16.071423685714308</v>
      </c>
    </row>
    <row r="166" spans="3:21" ht="13">
      <c r="C166" s="1" t="s">
        <v>371</v>
      </c>
      <c r="D166" s="1" t="s">
        <v>151</v>
      </c>
      <c r="E166" s="4">
        <f>IF(ISBLANK('Raw touched'!E166),((E$5*SLOPE('Raw touched'!$E166:$U166,$E$5:$U$5))+INTERCEPT('Raw touched'!$E166:$U166,$E$5:$U$5)),'Raw touched'!E166)</f>
        <v>99</v>
      </c>
      <c r="F166" s="4">
        <f>IF(ISBLANK('Raw touched'!F166),((F$5*SLOPE('Raw touched'!$E166:$U166,$E$5:$U$5))+INTERCEPT('Raw touched'!$E166:$U166,$E$5:$U$5)),'Raw touched'!F166)</f>
        <v>99</v>
      </c>
      <c r="G166" s="4">
        <f>IF(ISBLANK('Raw touched'!G166),((G$5*SLOPE('Raw touched'!$E166:$U166,$E$5:$U$5))+INTERCEPT('Raw touched'!$E166:$U166,$E$5:$U$5)),'Raw touched'!G166)</f>
        <v>99</v>
      </c>
      <c r="H166" s="4">
        <f>IF(ISBLANK('Raw touched'!H166),((H$5*SLOPE('Raw touched'!$E166:$U166,$E$5:$U$5))+INTERCEPT('Raw touched'!$E166:$U166,$E$5:$U$5)),'Raw touched'!H166)</f>
        <v>99</v>
      </c>
      <c r="I166" s="4">
        <f>IF(ISBLANK('Raw touched'!I166),((I$5*SLOPE('Raw touched'!$E166:$U166,$E$5:$U$5))+INTERCEPT('Raw touched'!$E166:$U166,$E$5:$U$5)),'Raw touched'!I166)</f>
        <v>99</v>
      </c>
      <c r="J166" s="4">
        <f>IF(ISBLANK('Raw touched'!J166),((J$5*SLOPE('Raw touched'!$E166:$U166,$E$5:$U$5))+INTERCEPT('Raw touched'!$E166:$U166,$E$5:$U$5)),'Raw touched'!J166)</f>
        <v>99</v>
      </c>
      <c r="K166" s="4">
        <f>IF(ISBLANK('Raw touched'!K166),((K$5*SLOPE('Raw touched'!$E166:$U166,$E$5:$U$5))+INTERCEPT('Raw touched'!$E166:$U166,$E$5:$U$5)),'Raw touched'!K166)</f>
        <v>99</v>
      </c>
      <c r="L166" s="4">
        <f>IF(ISBLANK('Raw touched'!L166),((L$5*SLOPE('Raw touched'!$E166:$U166,$E$5:$U$5))+INTERCEPT('Raw touched'!$E166:$U166,$E$5:$U$5)),'Raw touched'!L166)</f>
        <v>99</v>
      </c>
      <c r="M166" s="4">
        <f>IF(ISBLANK('Raw touched'!M166),((M$5*SLOPE('Raw touched'!$E166:$U166,$E$5:$U$5))+INTERCEPT('Raw touched'!$E166:$U166,$E$5:$U$5)),'Raw touched'!M166)</f>
        <v>99</v>
      </c>
      <c r="N166" s="4">
        <f>IF(ISBLANK('Raw touched'!N166),((N$5*SLOPE('Raw touched'!$E166:$U166,$E$5:$U$5))+INTERCEPT('Raw touched'!$E166:$U166,$E$5:$U$5)),'Raw touched'!N166)</f>
        <v>99</v>
      </c>
      <c r="O166" s="4">
        <f>IF(ISBLANK('Raw touched'!O166),((O$5*SLOPE('Raw touched'!$E166:$U166,$E$5:$U$5))+INTERCEPT('Raw touched'!$E166:$U166,$E$5:$U$5)),'Raw touched'!O166)</f>
        <v>99</v>
      </c>
      <c r="P166" s="4">
        <f>IF(ISBLANK('Raw touched'!P166),((P$5*SLOPE('Raw touched'!$E166:$U166,$E$5:$U$5))+INTERCEPT('Raw touched'!$E166:$U166,$E$5:$U$5)),'Raw touched'!P166)</f>
        <v>99</v>
      </c>
      <c r="Q166" s="4">
        <f>IF(ISBLANK('Raw touched'!Q166),((Q$5*SLOPE('Raw touched'!$E166:$U166,$E$5:$U$5))+INTERCEPT('Raw touched'!$E166:$U166,$E$5:$U$5)),'Raw touched'!Q166)</f>
        <v>99</v>
      </c>
      <c r="R166" s="4">
        <f>IF(ISBLANK('Raw touched'!R166),((R$5*SLOPE('Raw touched'!$E166:$U166,$E$5:$U$5))+INTERCEPT('Raw touched'!$E166:$U166,$E$5:$U$5)),'Raw touched'!R166)</f>
        <v>99</v>
      </c>
      <c r="S166" s="4">
        <f>IF(ISBLANK('Raw touched'!S166),((S$5*SLOPE('Raw touched'!$E166:$U166,$E$5:$U$5))+INTERCEPT('Raw touched'!$E166:$U166,$E$5:$U$5)),'Raw touched'!S166)</f>
        <v>99</v>
      </c>
      <c r="T166" s="4">
        <f>IF(ISBLANK('Raw touched'!T166),((T$5*SLOPE('Raw touched'!$E166:$U166,$E$5:$U$5))+INTERCEPT('Raw touched'!$E166:$U166,$E$5:$U$5)),'Raw touched'!T166)</f>
        <v>99</v>
      </c>
      <c r="U166" s="4">
        <f>IF(ISBLANK('Raw touched'!U166),((U$5*SLOPE('Raw touched'!$E166:$U166,$E$5:$U$5))+INTERCEPT('Raw touched'!$E166:$U166,$E$5:$U$5)),'Raw touched'!U166)</f>
        <v>99</v>
      </c>
    </row>
    <row r="167" spans="3:21" ht="13">
      <c r="C167" s="1" t="s">
        <v>233</v>
      </c>
      <c r="D167" s="1" t="s">
        <v>344</v>
      </c>
      <c r="E167" s="4">
        <f>IF(ISBLANK('Raw touched'!E167),((E$5*SLOPE('Raw touched'!$E167:$U167,$E$5:$U$5))+INTERCEPT('Raw touched'!$E167:$U167,$E$5:$U$5)),'Raw touched'!E167)</f>
        <v>119.71997071999976</v>
      </c>
      <c r="F167" s="4">
        <f>IF(ISBLANK('Raw touched'!F167),((F$5*SLOPE('Raw touched'!$E167:$U167,$E$5:$U$5))+INTERCEPT('Raw touched'!$E167:$U167,$E$5:$U$5)),'Raw touched'!F167)</f>
        <v>114.87997437999911</v>
      </c>
      <c r="G167" s="4">
        <f>IF(ISBLANK('Raw touched'!G167),((G$5*SLOPE('Raw touched'!$E167:$U167,$E$5:$U$5))+INTERCEPT('Raw touched'!$E167:$U167,$E$5:$U$5)),'Raw touched'!G167)</f>
        <v>110.03997804000028</v>
      </c>
      <c r="H167" s="4">
        <f>IF(ISBLANK('Raw touched'!H167),((H$5*SLOPE('Raw touched'!$E167:$U167,$E$5:$U$5))+INTERCEPT('Raw touched'!$E167:$U167,$E$5:$U$5)),'Raw touched'!H167)</f>
        <v>105.19998169999963</v>
      </c>
      <c r="I167" s="4">
        <f>IF(ISBLANK('Raw touched'!I167),((I$5*SLOPE('Raw touched'!$E167:$U167,$E$5:$U$5))+INTERCEPT('Raw touched'!$E167:$U167,$E$5:$U$5)),'Raw touched'!I167)</f>
        <v>100.35998535999897</v>
      </c>
      <c r="J167" s="4">
        <f>IF(ISBLANK('Raw touched'!J167),((J$5*SLOPE('Raw touched'!$E167:$U167,$E$5:$U$5))+INTERCEPT('Raw touched'!$E167:$U167,$E$5:$U$5)),'Raw touched'!J167)</f>
        <v>95.519989020000139</v>
      </c>
      <c r="K167" s="4">
        <f>IF(ISBLANK('Raw touched'!K167),((K$5*SLOPE('Raw touched'!$E167:$U167,$E$5:$U$5))+INTERCEPT('Raw touched'!$E167:$U167,$E$5:$U$5)),'Raw touched'!K167)</f>
        <v>90.679992679999486</v>
      </c>
      <c r="L167" s="4">
        <f>IF(ISBLANK('Raw touched'!L167),((L$5*SLOPE('Raw touched'!$E167:$U167,$E$5:$U$5))+INTERCEPT('Raw touched'!$E167:$U167,$E$5:$U$5)),'Raw touched'!L167)</f>
        <v>85.839996339999999</v>
      </c>
      <c r="M167" s="4">
        <f>IF(ISBLANK('Raw touched'!M167),((M$5*SLOPE('Raw touched'!$E167:$U167,$E$5:$U$5))+INTERCEPT('Raw touched'!$E167:$U167,$E$5:$U$5)),'Raw touched'!M167)</f>
        <v>81</v>
      </c>
      <c r="N167" s="4">
        <f>IF(ISBLANK('Raw touched'!N167),((N$5*SLOPE('Raw touched'!$E167:$U167,$E$5:$U$5))+INTERCEPT('Raw touched'!$E167:$U167,$E$5:$U$5)),'Raw touched'!N167)</f>
        <v>76.160003659999347</v>
      </c>
      <c r="O167" s="4">
        <f>IF(ISBLANK('Raw touched'!O167),((O$5*SLOPE('Raw touched'!$E167:$U167,$E$5:$U$5))+INTERCEPT('Raw touched'!$E167:$U167,$E$5:$U$5)),'Raw touched'!O167)</f>
        <v>71.320007320000514</v>
      </c>
      <c r="P167" s="4">
        <f>IF(ISBLANK('Raw touched'!P167),((P$5*SLOPE('Raw touched'!$E167:$U167,$E$5:$U$5))+INTERCEPT('Raw touched'!$E167:$U167,$E$5:$U$5)),'Raw touched'!P167)</f>
        <v>66.480010979999861</v>
      </c>
      <c r="Q167" s="4">
        <f>IF(ISBLANK('Raw touched'!Q167),((Q$5*SLOPE('Raw touched'!$E167:$U167,$E$5:$U$5))+INTERCEPT('Raw touched'!$E167:$U167,$E$5:$U$5)),'Raw touched'!Q167)</f>
        <v>61.640014639999208</v>
      </c>
      <c r="R167" s="4">
        <f>IF(ISBLANK('Raw touched'!R167),((R$5*SLOPE('Raw touched'!$E167:$U167,$E$5:$U$5))+INTERCEPT('Raw touched'!$E167:$U167,$E$5:$U$5)),'Raw touched'!R167)</f>
        <v>56.800018300000374</v>
      </c>
      <c r="S167" s="4">
        <f>IF(ISBLANK('Raw touched'!S167),((S$5*SLOPE('Raw touched'!$E167:$U167,$E$5:$U$5))+INTERCEPT('Raw touched'!$E167:$U167,$E$5:$U$5)),'Raw touched'!S167)</f>
        <v>51.960021959999722</v>
      </c>
      <c r="T167" s="4">
        <f>IF(ISBLANK('Raw touched'!T167),((T$5*SLOPE('Raw touched'!$E167:$U167,$E$5:$U$5))+INTERCEPT('Raw touched'!$E167:$U167,$E$5:$U$5)),'Raw touched'!T167)</f>
        <v>47.120025619999069</v>
      </c>
      <c r="U167" s="4">
        <f>IF(ISBLANK('Raw touched'!U167),((U$5*SLOPE('Raw touched'!$E167:$U167,$E$5:$U$5))+INTERCEPT('Raw touched'!$E167:$U167,$E$5:$U$5)),'Raw touched'!U167)</f>
        <v>42.280029280000235</v>
      </c>
    </row>
    <row r="168" spans="3:21" ht="13">
      <c r="C168" s="1" t="s">
        <v>228</v>
      </c>
      <c r="D168" s="1" t="s">
        <v>61</v>
      </c>
      <c r="E168" s="4">
        <f>IF(ISBLANK('Raw touched'!E168),((E$5*SLOPE('Raw touched'!$E168:$U168,$E$5:$U$5))+INTERCEPT('Raw touched'!$E168:$U168,$E$5:$U$5)),'Raw touched'!E168)</f>
        <v>36.200000760000002</v>
      </c>
      <c r="F168" s="4">
        <f>IF(ISBLANK('Raw touched'!F168),((F$5*SLOPE('Raw touched'!$E168:$U168,$E$5:$U$5))+INTERCEPT('Raw touched'!$E168:$U168,$E$5:$U$5)),'Raw touched'!F168)</f>
        <v>36.299999239999998</v>
      </c>
      <c r="G168" s="4">
        <f>IF(ISBLANK('Raw touched'!G168),((G$5*SLOPE('Raw touched'!$E168:$U168,$E$5:$U$5))+INTERCEPT('Raw touched'!$E168:$U168,$E$5:$U$5)),'Raw touched'!G168)</f>
        <v>36.299999239999998</v>
      </c>
      <c r="H168" s="4">
        <f>IF(ISBLANK('Raw touched'!H168),((H$5*SLOPE('Raw touched'!$E168:$U168,$E$5:$U$5))+INTERCEPT('Raw touched'!$E168:$U168,$E$5:$U$5)),'Raw touched'!H168)</f>
        <v>36.299999239999998</v>
      </c>
      <c r="I168" s="4">
        <f>IF(ISBLANK('Raw touched'!I168),((I$5*SLOPE('Raw touched'!$E168:$U168,$E$5:$U$5))+INTERCEPT('Raw touched'!$E168:$U168,$E$5:$U$5)),'Raw touched'!I168)</f>
        <v>36.299999239999998</v>
      </c>
      <c r="J168" s="4">
        <f>IF(ISBLANK('Raw touched'!J168),((J$5*SLOPE('Raw touched'!$E168:$U168,$E$5:$U$5))+INTERCEPT('Raw touched'!$E168:$U168,$E$5:$U$5)),'Raw touched'!J168)</f>
        <v>36.299999239999998</v>
      </c>
      <c r="K168" s="4">
        <f>IF(ISBLANK('Raw touched'!K168),((K$5*SLOPE('Raw touched'!$E168:$U168,$E$5:$U$5))+INTERCEPT('Raw touched'!$E168:$U168,$E$5:$U$5)),'Raw touched'!K168)</f>
        <v>36.299999239999998</v>
      </c>
      <c r="L168" s="4">
        <f>IF(ISBLANK('Raw touched'!L168),((L$5*SLOPE('Raw touched'!$E168:$U168,$E$5:$U$5))+INTERCEPT('Raw touched'!$E168:$U168,$E$5:$U$5)),'Raw touched'!L168)</f>
        <v>36.328570234285721</v>
      </c>
      <c r="M168" s="4">
        <f>IF(ISBLANK('Raw touched'!M168),((M$5*SLOPE('Raw touched'!$E168:$U168,$E$5:$U$5))+INTERCEPT('Raw touched'!$E168:$U168,$E$5:$U$5)),'Raw touched'!M168)</f>
        <v>36.339284357142859</v>
      </c>
      <c r="N168" s="4">
        <f>IF(ISBLANK('Raw touched'!N168),((N$5*SLOPE('Raw touched'!$E168:$U168,$E$5:$U$5))+INTERCEPT('Raw touched'!$E168:$U168,$E$5:$U$5)),'Raw touched'!N168)</f>
        <v>36.349998479999996</v>
      </c>
      <c r="O168" s="4">
        <f>IF(ISBLANK('Raw touched'!O168),((O$5*SLOPE('Raw touched'!$E168:$U168,$E$5:$U$5))+INTERCEPT('Raw touched'!$E168:$U168,$E$5:$U$5)),'Raw touched'!O168)</f>
        <v>36.360712602857149</v>
      </c>
      <c r="P168" s="4">
        <f>IF(ISBLANK('Raw touched'!P168),((P$5*SLOPE('Raw touched'!$E168:$U168,$E$5:$U$5))+INTERCEPT('Raw touched'!$E168:$U168,$E$5:$U$5)),'Raw touched'!P168)</f>
        <v>36.371426725714286</v>
      </c>
      <c r="Q168" s="4">
        <f>IF(ISBLANK('Raw touched'!Q168),((Q$5*SLOPE('Raw touched'!$E168:$U168,$E$5:$U$5))+INTERCEPT('Raw touched'!$E168:$U168,$E$5:$U$5)),'Raw touched'!Q168)</f>
        <v>36.382140848571424</v>
      </c>
      <c r="R168" s="4">
        <f>IF(ISBLANK('Raw touched'!R168),((R$5*SLOPE('Raw touched'!$E168:$U168,$E$5:$U$5))+INTERCEPT('Raw touched'!$E168:$U168,$E$5:$U$5)),'Raw touched'!R168)</f>
        <v>36.392854971428577</v>
      </c>
      <c r="S168" s="4">
        <f>IF(ISBLANK('Raw touched'!S168),((S$5*SLOPE('Raw touched'!$E168:$U168,$E$5:$U$5))+INTERCEPT('Raw touched'!$E168:$U168,$E$5:$U$5)),'Raw touched'!S168)</f>
        <v>36.403569094285714</v>
      </c>
      <c r="T168" s="4">
        <f>IF(ISBLANK('Raw touched'!T168),((T$5*SLOPE('Raw touched'!$E168:$U168,$E$5:$U$5))+INTERCEPT('Raw touched'!$E168:$U168,$E$5:$U$5)),'Raw touched'!T168)</f>
        <v>36.414283217142852</v>
      </c>
      <c r="U168" s="4">
        <f>IF(ISBLANK('Raw touched'!U168),((U$5*SLOPE('Raw touched'!$E168:$U168,$E$5:$U$5))+INTERCEPT('Raw touched'!$E168:$U168,$E$5:$U$5)),'Raw touched'!U168)</f>
        <v>36.424997339999997</v>
      </c>
    </row>
    <row r="169" spans="3:21" ht="13">
      <c r="C169" s="1" t="s">
        <v>31</v>
      </c>
      <c r="D169" s="1" t="s">
        <v>390</v>
      </c>
      <c r="E169" s="4">
        <f>IF(ISBLANK('Raw touched'!E169),((E$5*SLOPE('Raw touched'!$E169:$U169,$E$5:$U$5))+INTERCEPT('Raw touched'!$E169:$U169,$E$5:$U$5)),'Raw touched'!E169)</f>
        <v>26</v>
      </c>
      <c r="F169" s="4">
        <f>IF(ISBLANK('Raw touched'!F169),((F$5*SLOPE('Raw touched'!$E169:$U169,$E$5:$U$5))+INTERCEPT('Raw touched'!$E169:$U169,$E$5:$U$5)),'Raw touched'!F169)</f>
        <v>26</v>
      </c>
      <c r="G169" s="4">
        <f>IF(ISBLANK('Raw touched'!G169),((G$5*SLOPE('Raw touched'!$E169:$U169,$E$5:$U$5))+INTERCEPT('Raw touched'!$E169:$U169,$E$5:$U$5)),'Raw touched'!G169)</f>
        <v>25.995345744680854</v>
      </c>
      <c r="H169" s="4">
        <f>IF(ISBLANK('Raw touched'!H169),((H$5*SLOPE('Raw touched'!$E169:$U169,$E$5:$U$5))+INTERCEPT('Raw touched'!$E169:$U169,$E$5:$U$5)),'Raw touched'!H169)</f>
        <v>26.011968085106382</v>
      </c>
      <c r="I169" s="4">
        <f>IF(ISBLANK('Raw touched'!I169),((I$5*SLOPE('Raw touched'!$E169:$U169,$E$5:$U$5))+INTERCEPT('Raw touched'!$E169:$U169,$E$5:$U$5)),'Raw touched'!I169)</f>
        <v>26</v>
      </c>
      <c r="J169" s="4">
        <f>IF(ISBLANK('Raw touched'!J169),((J$5*SLOPE('Raw touched'!$E169:$U169,$E$5:$U$5))+INTERCEPT('Raw touched'!$E169:$U169,$E$5:$U$5)),'Raw touched'!J169)</f>
        <v>26</v>
      </c>
      <c r="K169" s="4">
        <f>IF(ISBLANK('Raw touched'!K169),((K$5*SLOPE('Raw touched'!$E169:$U169,$E$5:$U$5))+INTERCEPT('Raw touched'!$E169:$U169,$E$5:$U$5)),'Raw touched'!K169)</f>
        <v>26</v>
      </c>
      <c r="L169" s="4">
        <f>IF(ISBLANK('Raw touched'!L169),((L$5*SLOPE('Raw touched'!$E169:$U169,$E$5:$U$5))+INTERCEPT('Raw touched'!$E169:$U169,$E$5:$U$5)),'Raw touched'!L169)</f>
        <v>26</v>
      </c>
      <c r="M169" s="4">
        <f>IF(ISBLANK('Raw touched'!M169),((M$5*SLOPE('Raw touched'!$E169:$U169,$E$5:$U$5))+INTERCEPT('Raw touched'!$E169:$U169,$E$5:$U$5)),'Raw touched'!M169)</f>
        <v>26.25</v>
      </c>
      <c r="N169" s="4">
        <f>IF(ISBLANK('Raw touched'!N169),((N$5*SLOPE('Raw touched'!$E169:$U169,$E$5:$U$5))+INTERCEPT('Raw touched'!$E169:$U169,$E$5:$U$5)),'Raw touched'!N169)</f>
        <v>26.111702127659576</v>
      </c>
      <c r="O169" s="4">
        <f>IF(ISBLANK('Raw touched'!O169),((O$5*SLOPE('Raw touched'!$E169:$U169,$E$5:$U$5))+INTERCEPT('Raw touched'!$E169:$U169,$E$5:$U$5)),'Raw touched'!O169)</f>
        <v>26.128324468085104</v>
      </c>
      <c r="P169" s="4">
        <f>IF(ISBLANK('Raw touched'!P169),((P$5*SLOPE('Raw touched'!$E169:$U169,$E$5:$U$5))+INTERCEPT('Raw touched'!$E169:$U169,$E$5:$U$5)),'Raw touched'!P169)</f>
        <v>26.144946808510639</v>
      </c>
      <c r="Q169" s="4">
        <f>IF(ISBLANK('Raw touched'!Q169),((Q$5*SLOPE('Raw touched'!$E169:$U169,$E$5:$U$5))+INTERCEPT('Raw touched'!$E169:$U169,$E$5:$U$5)),'Raw touched'!Q169)</f>
        <v>26.161569148936174</v>
      </c>
      <c r="R169" s="4">
        <f>IF(ISBLANK('Raw touched'!R169),((R$5*SLOPE('Raw touched'!$E169:$U169,$E$5:$U$5))+INTERCEPT('Raw touched'!$E169:$U169,$E$5:$U$5)),'Raw touched'!R169)</f>
        <v>26.178191489361701</v>
      </c>
      <c r="S169" s="4">
        <f>IF(ISBLANK('Raw touched'!S169),((S$5*SLOPE('Raw touched'!$E169:$U169,$E$5:$U$5))+INTERCEPT('Raw touched'!$E169:$U169,$E$5:$U$5)),'Raw touched'!S169)</f>
        <v>26.194813829787236</v>
      </c>
      <c r="T169" s="4">
        <f>IF(ISBLANK('Raw touched'!T169),((T$5*SLOPE('Raw touched'!$E169:$U169,$E$5:$U$5))+INTERCEPT('Raw touched'!$E169:$U169,$E$5:$U$5)),'Raw touched'!T169)</f>
        <v>26.211436170212764</v>
      </c>
      <c r="U169" s="4">
        <f>IF(ISBLANK('Raw touched'!U169),((U$5*SLOPE('Raw touched'!$E169:$U169,$E$5:$U$5))+INTERCEPT('Raw touched'!$E169:$U169,$E$5:$U$5)),'Raw touched'!U169)</f>
        <v>26.228058510638299</v>
      </c>
    </row>
    <row r="170" spans="3:21" ht="13">
      <c r="C170" s="1" t="s">
        <v>50</v>
      </c>
      <c r="D170" s="1" t="s">
        <v>366</v>
      </c>
      <c r="E170" s="4">
        <f>IF(ISBLANK('Raw touched'!E170),((E$5*SLOPE('Raw touched'!$E170:$U170,$E$5:$U$5))+INTERCEPT('Raw touched'!$E170:$U170,$E$5:$U$5)),'Raw touched'!E170)</f>
        <v>36.287899721700001</v>
      </c>
      <c r="F170" s="4">
        <f>IF(ISBLANK('Raw touched'!F170),((F$5*SLOPE('Raw touched'!$E170:$U170,$E$5:$U$5))+INTERCEPT('Raw touched'!$E170:$U170,$E$5:$U$5)),'Raw touched'!F170)</f>
        <v>35.38819972859983</v>
      </c>
      <c r="G170" s="4">
        <f>IF(ISBLANK('Raw touched'!G170),((G$5*SLOPE('Raw touched'!$E170:$U170,$E$5:$U$5))+INTERCEPT('Raw touched'!$E170:$U170,$E$5:$U$5)),'Raw touched'!G170)</f>
        <v>34.488499735499772</v>
      </c>
      <c r="H170" s="4">
        <f>IF(ISBLANK('Raw touched'!H170),((H$5*SLOPE('Raw touched'!$E170:$U170,$E$5:$U$5))+INTERCEPT('Raw touched'!$E170:$U170,$E$5:$U$5)),'Raw touched'!H170)</f>
        <v>33.588799742399715</v>
      </c>
      <c r="I170" s="4">
        <f>IF(ISBLANK('Raw touched'!I170),((I$5*SLOPE('Raw touched'!$E170:$U170,$E$5:$U$5))+INTERCEPT('Raw touched'!$E170:$U170,$E$5:$U$5)),'Raw touched'!I170)</f>
        <v>32.689099749299885</v>
      </c>
      <c r="J170" s="4">
        <f>IF(ISBLANK('Raw touched'!J170),((J$5*SLOPE('Raw touched'!$E170:$U170,$E$5:$U$5))+INTERCEPT('Raw touched'!$E170:$U170,$E$5:$U$5)),'Raw touched'!J170)</f>
        <v>31.789399756199828</v>
      </c>
      <c r="K170" s="4">
        <f>IF(ISBLANK('Raw touched'!K170),((K$5*SLOPE('Raw touched'!$E170:$U170,$E$5:$U$5))+INTERCEPT('Raw touched'!$E170:$U170,$E$5:$U$5)),'Raw touched'!K170)</f>
        <v>30.88969976309977</v>
      </c>
      <c r="L170" s="4">
        <f>IF(ISBLANK('Raw touched'!L170),((L$5*SLOPE('Raw touched'!$E170:$U170,$E$5:$U$5))+INTERCEPT('Raw touched'!$E170:$U170,$E$5:$U$5)),'Raw touched'!L170)</f>
        <v>29.989999770000001</v>
      </c>
      <c r="M170" s="4">
        <f>IF(ISBLANK('Raw touched'!M170),((M$5*SLOPE('Raw touched'!$E170:$U170,$E$5:$U$5))+INTERCEPT('Raw touched'!$E170:$U170,$E$5:$U$5)),'Raw touched'!M170)</f>
        <v>29.090299776899883</v>
      </c>
      <c r="N170" s="4">
        <f>IF(ISBLANK('Raw touched'!N170),((N$5*SLOPE('Raw touched'!$E170:$U170,$E$5:$U$5))+INTERCEPT('Raw touched'!$E170:$U170,$E$5:$U$5)),'Raw touched'!N170)</f>
        <v>28.190599783799826</v>
      </c>
      <c r="O170" s="4">
        <f>IF(ISBLANK('Raw touched'!O170),((O$5*SLOPE('Raw touched'!$E170:$U170,$E$5:$U$5))+INTERCEPT('Raw touched'!$E170:$U170,$E$5:$U$5)),'Raw touched'!O170)</f>
        <v>27.290899790699768</v>
      </c>
      <c r="P170" s="4">
        <f>IF(ISBLANK('Raw touched'!P170),((P$5*SLOPE('Raw touched'!$E170:$U170,$E$5:$U$5))+INTERCEPT('Raw touched'!$E170:$U170,$E$5:$U$5)),'Raw touched'!P170)</f>
        <v>26.391199797599711</v>
      </c>
      <c r="Q170" s="4">
        <f>IF(ISBLANK('Raw touched'!Q170),((Q$5*SLOPE('Raw touched'!$E170:$U170,$E$5:$U$5))+INTERCEPT('Raw touched'!$E170:$U170,$E$5:$U$5)),'Raw touched'!Q170)</f>
        <v>25.491499804499881</v>
      </c>
      <c r="R170" s="4">
        <f>IF(ISBLANK('Raw touched'!R170),((R$5*SLOPE('Raw touched'!$E170:$U170,$E$5:$U$5))+INTERCEPT('Raw touched'!$E170:$U170,$E$5:$U$5)),'Raw touched'!R170)</f>
        <v>24.591799811399824</v>
      </c>
      <c r="S170" s="4">
        <f>IF(ISBLANK('Raw touched'!S170),((S$5*SLOPE('Raw touched'!$E170:$U170,$E$5:$U$5))+INTERCEPT('Raw touched'!$E170:$U170,$E$5:$U$5)),'Raw touched'!S170)</f>
        <v>23.692099818299766</v>
      </c>
      <c r="T170" s="4">
        <f>IF(ISBLANK('Raw touched'!T170),((T$5*SLOPE('Raw touched'!$E170:$U170,$E$5:$U$5))+INTERCEPT('Raw touched'!$E170:$U170,$E$5:$U$5)),'Raw touched'!T170)</f>
        <v>22.792399825199709</v>
      </c>
      <c r="U170" s="4">
        <f>IF(ISBLANK('Raw touched'!U170),((U$5*SLOPE('Raw touched'!$E170:$U170,$E$5:$U$5))+INTERCEPT('Raw touched'!$E170:$U170,$E$5:$U$5)),'Raw touched'!U170)</f>
        <v>21.892699832099879</v>
      </c>
    </row>
    <row r="171" spans="3:21" ht="13">
      <c r="C171" s="1" t="s">
        <v>53</v>
      </c>
      <c r="D171" s="1" t="s">
        <v>49</v>
      </c>
      <c r="E171" s="4">
        <f>IF(ISBLANK('Raw touched'!E171),((E$5*SLOPE('Raw touched'!$E171:$U171,$E$5:$U$5))+INTERCEPT('Raw touched'!$E171:$U171,$E$5:$U$5)),'Raw touched'!E171)</f>
        <v>40.301392813999882</v>
      </c>
      <c r="F171" s="4">
        <f>IF(ISBLANK('Raw touched'!F171),((F$5*SLOPE('Raw touched'!$E171:$U171,$E$5:$U$5))+INTERCEPT('Raw touched'!$E171:$U171,$E$5:$U$5)),'Raw touched'!F171)</f>
        <v>39.320901083142644</v>
      </c>
      <c r="G171" s="4">
        <f>IF(ISBLANK('Raw touched'!G171),((G$5*SLOPE('Raw touched'!$E171:$U171,$E$5:$U$5))+INTERCEPT('Raw touched'!$E171:$U171,$E$5:$U$5)),'Raw touched'!G171)</f>
        <v>38.340409352285633</v>
      </c>
      <c r="H171" s="4">
        <f>IF(ISBLANK('Raw touched'!H171),((H$5*SLOPE('Raw touched'!$E171:$U171,$E$5:$U$5))+INTERCEPT('Raw touched'!$E171:$U171,$E$5:$U$5)),'Raw touched'!H171)</f>
        <v>37.359917621428394</v>
      </c>
      <c r="I171" s="4">
        <f>IF(ISBLANK('Raw touched'!I171),((I$5*SLOPE('Raw touched'!$E171:$U171,$E$5:$U$5))+INTERCEPT('Raw touched'!$E171:$U171,$E$5:$U$5)),'Raw touched'!I171)</f>
        <v>36.379425890571156</v>
      </c>
      <c r="J171" s="4">
        <f>IF(ISBLANK('Raw touched'!J171),((J$5*SLOPE('Raw touched'!$E171:$U171,$E$5:$U$5))+INTERCEPT('Raw touched'!$E171:$U171,$E$5:$U$5)),'Raw touched'!J171)</f>
        <v>35.398934159714145</v>
      </c>
      <c r="K171" s="4">
        <f>IF(ISBLANK('Raw touched'!K171),((K$5*SLOPE('Raw touched'!$E171:$U171,$E$5:$U$5))+INTERCEPT('Raw touched'!$E171:$U171,$E$5:$U$5)),'Raw touched'!K171)</f>
        <v>34.418442428856906</v>
      </c>
      <c r="L171" s="4">
        <f>IF(ISBLANK('Raw touched'!L171),((L$5*SLOPE('Raw touched'!$E171:$U171,$E$5:$U$5))+INTERCEPT('Raw touched'!$E171:$U171,$E$5:$U$5)),'Raw touched'!L171)</f>
        <v>33.437950697999895</v>
      </c>
      <c r="M171" s="4">
        <f>IF(ISBLANK('Raw touched'!M171),((M$5*SLOPE('Raw touched'!$E171:$U171,$E$5:$U$5))+INTERCEPT('Raw touched'!$E171:$U171,$E$5:$U$5)),'Raw touched'!M171)</f>
        <v>31.159999849999998</v>
      </c>
      <c r="N171" s="4">
        <f>IF(ISBLANK('Raw touched'!N171),((N$5*SLOPE('Raw touched'!$E171:$U171,$E$5:$U$5))+INTERCEPT('Raw touched'!$E171:$U171,$E$5:$U$5)),'Raw touched'!N171)</f>
        <v>30.510000229999999</v>
      </c>
      <c r="O171" s="4">
        <f>IF(ISBLANK('Raw touched'!O171),((O$5*SLOPE('Raw touched'!$E171:$U171,$E$5:$U$5))+INTERCEPT('Raw touched'!$E171:$U171,$E$5:$U$5)),'Raw touched'!O171)</f>
        <v>31.479999540000001</v>
      </c>
      <c r="P171" s="4">
        <f>IF(ISBLANK('Raw touched'!P171),((P$5*SLOPE('Raw touched'!$E171:$U171,$E$5:$U$5))+INTERCEPT('Raw touched'!$E171:$U171,$E$5:$U$5)),'Raw touched'!P171)</f>
        <v>31.65467288</v>
      </c>
      <c r="Q171" s="4">
        <f>IF(ISBLANK('Raw touched'!Q171),((Q$5*SLOPE('Raw touched'!$E171:$U171,$E$5:$U$5))+INTERCEPT('Raw touched'!$E171:$U171,$E$5:$U$5)),'Raw touched'!Q171)</f>
        <v>31.662705339999999</v>
      </c>
      <c r="R171" s="4">
        <f>IF(ISBLANK('Raw touched'!R171),((R$5*SLOPE('Raw touched'!$E171:$U171,$E$5:$U$5))+INTERCEPT('Raw touched'!$E171:$U171,$E$5:$U$5)),'Raw touched'!R171)</f>
        <v>23.57</v>
      </c>
      <c r="S171" s="4">
        <f>IF(ISBLANK('Raw touched'!S171),((S$5*SLOPE('Raw touched'!$E171:$U171,$E$5:$U$5))+INTERCEPT('Raw touched'!$E171:$U171,$E$5:$U$5)),'Raw touched'!S171)</f>
        <v>26.574508581999908</v>
      </c>
      <c r="T171" s="4">
        <f>IF(ISBLANK('Raw touched'!T171),((T$5*SLOPE('Raw touched'!$E171:$U171,$E$5:$U$5))+INTERCEPT('Raw touched'!$E171:$U171,$E$5:$U$5)),'Raw touched'!T171)</f>
        <v>25.594016851142669</v>
      </c>
      <c r="U171" s="4">
        <f>IF(ISBLANK('Raw touched'!U171),((U$5*SLOPE('Raw touched'!$E171:$U171,$E$5:$U$5))+INTERCEPT('Raw touched'!$E171:$U171,$E$5:$U$5)),'Raw touched'!U171)</f>
        <v>24.613525120285431</v>
      </c>
    </row>
    <row r="172" spans="3:21" ht="13">
      <c r="C172" s="1" t="s">
        <v>254</v>
      </c>
      <c r="D172" s="1" t="s">
        <v>317</v>
      </c>
      <c r="E172" s="4">
        <f>IF(ISBLANK('Raw touched'!E172),((E$5*SLOPE('Raw touched'!$E172:$U172,$E$5:$U$5))+INTERCEPT('Raw touched'!$E172:$U172,$E$5:$U$5)),'Raw touched'!E172)</f>
        <v>100</v>
      </c>
      <c r="F172" s="4">
        <f>IF(ISBLANK('Raw touched'!F172),((F$5*SLOPE('Raw touched'!$E172:$U172,$E$5:$U$5))+INTERCEPT('Raw touched'!$E172:$U172,$E$5:$U$5)),'Raw touched'!F172)</f>
        <v>100</v>
      </c>
      <c r="G172" s="4">
        <f>IF(ISBLANK('Raw touched'!G172),((G$5*SLOPE('Raw touched'!$E172:$U172,$E$5:$U$5))+INTERCEPT('Raw touched'!$E172:$U172,$E$5:$U$5)),'Raw touched'!G172)</f>
        <v>100</v>
      </c>
      <c r="H172" s="4">
        <f>IF(ISBLANK('Raw touched'!H172),((H$5*SLOPE('Raw touched'!$E172:$U172,$E$5:$U$5))+INTERCEPT('Raw touched'!$E172:$U172,$E$5:$U$5)),'Raw touched'!H172)</f>
        <v>100</v>
      </c>
      <c r="I172" s="4">
        <f>IF(ISBLANK('Raw touched'!I172),((I$5*SLOPE('Raw touched'!$E172:$U172,$E$5:$U$5))+INTERCEPT('Raw touched'!$E172:$U172,$E$5:$U$5)),'Raw touched'!I172)</f>
        <v>100</v>
      </c>
      <c r="J172" s="4">
        <f>IF(ISBLANK('Raw touched'!J172),((J$5*SLOPE('Raw touched'!$E172:$U172,$E$5:$U$5))+INTERCEPT('Raw touched'!$E172:$U172,$E$5:$U$5)),'Raw touched'!J172)</f>
        <v>100</v>
      </c>
      <c r="K172" s="4">
        <f>IF(ISBLANK('Raw touched'!K172),((K$5*SLOPE('Raw touched'!$E172:$U172,$E$5:$U$5))+INTERCEPT('Raw touched'!$E172:$U172,$E$5:$U$5)),'Raw touched'!K172)</f>
        <v>100</v>
      </c>
      <c r="L172" s="4">
        <f>IF(ISBLANK('Raw touched'!L172),((L$5*SLOPE('Raw touched'!$E172:$U172,$E$5:$U$5))+INTERCEPT('Raw touched'!$E172:$U172,$E$5:$U$5)),'Raw touched'!L172)</f>
        <v>100</v>
      </c>
      <c r="M172" s="4">
        <f>IF(ISBLANK('Raw touched'!M172),((M$5*SLOPE('Raw touched'!$E172:$U172,$E$5:$U$5))+INTERCEPT('Raw touched'!$E172:$U172,$E$5:$U$5)),'Raw touched'!M172)</f>
        <v>100</v>
      </c>
      <c r="N172" s="4">
        <f>IF(ISBLANK('Raw touched'!N172),((N$5*SLOPE('Raw touched'!$E172:$U172,$E$5:$U$5))+INTERCEPT('Raw touched'!$E172:$U172,$E$5:$U$5)),'Raw touched'!N172)</f>
        <v>100</v>
      </c>
      <c r="O172" s="4">
        <f>IF(ISBLANK('Raw touched'!O172),((O$5*SLOPE('Raw touched'!$E172:$U172,$E$5:$U$5))+INTERCEPT('Raw touched'!$E172:$U172,$E$5:$U$5)),'Raw touched'!O172)</f>
        <v>100</v>
      </c>
      <c r="P172" s="4">
        <f>IF(ISBLANK('Raw touched'!P172),((P$5*SLOPE('Raw touched'!$E172:$U172,$E$5:$U$5))+INTERCEPT('Raw touched'!$E172:$U172,$E$5:$U$5)),'Raw touched'!P172)</f>
        <v>100</v>
      </c>
      <c r="Q172" s="4">
        <f>IF(ISBLANK('Raw touched'!Q172),((Q$5*SLOPE('Raw touched'!$E172:$U172,$E$5:$U$5))+INTERCEPT('Raw touched'!$E172:$U172,$E$5:$U$5)),'Raw touched'!Q172)</f>
        <v>100</v>
      </c>
      <c r="R172" s="4">
        <f>IF(ISBLANK('Raw touched'!R172),((R$5*SLOPE('Raw touched'!$E172:$U172,$E$5:$U$5))+INTERCEPT('Raw touched'!$E172:$U172,$E$5:$U$5)),'Raw touched'!R172)</f>
        <v>100</v>
      </c>
      <c r="S172" s="4">
        <f>IF(ISBLANK('Raw touched'!S172),((S$5*SLOPE('Raw touched'!$E172:$U172,$E$5:$U$5))+INTERCEPT('Raw touched'!$E172:$U172,$E$5:$U$5)),'Raw touched'!S172)</f>
        <v>100</v>
      </c>
      <c r="T172" s="4">
        <f>IF(ISBLANK('Raw touched'!T172),((T$5*SLOPE('Raw touched'!$E172:$U172,$E$5:$U$5))+INTERCEPT('Raw touched'!$E172:$U172,$E$5:$U$5)),'Raw touched'!T172)</f>
        <v>100</v>
      </c>
      <c r="U172" s="4">
        <f>IF(ISBLANK('Raw touched'!U172),((U$5*SLOPE('Raw touched'!$E172:$U172,$E$5:$U$5))+INTERCEPT('Raw touched'!$E172:$U172,$E$5:$U$5)),'Raw touched'!U172)</f>
        <v>100</v>
      </c>
    </row>
    <row r="173" spans="3:21" ht="13">
      <c r="C173" s="1" t="s">
        <v>4</v>
      </c>
      <c r="D173" s="1" t="s">
        <v>188</v>
      </c>
      <c r="E173" s="4">
        <f>IF(ISBLANK('Raw touched'!E173),((E$5*SLOPE('Raw touched'!$E173:$U173,$E$5:$U$5))+INTERCEPT('Raw touched'!$E173:$U173,$E$5:$U$5)),'Raw touched'!E173)</f>
        <v>98.963333333333139</v>
      </c>
      <c r="F173" s="4">
        <f>IF(ISBLANK('Raw touched'!F173),((F$5*SLOPE('Raw touched'!$E173:$U173,$E$5:$U$5))+INTERCEPT('Raw touched'!$E173:$U173,$E$5:$U$5)),'Raw touched'!F173)</f>
        <v>98.476190476190368</v>
      </c>
      <c r="G173" s="4">
        <f>IF(ISBLANK('Raw touched'!G173),((G$5*SLOPE('Raw touched'!$E173:$U173,$E$5:$U$5))+INTERCEPT('Raw touched'!$E173:$U173,$E$5:$U$5)),'Raw touched'!G173)</f>
        <v>97.989047619047483</v>
      </c>
      <c r="H173" s="4">
        <f>IF(ISBLANK('Raw touched'!H173),((H$5*SLOPE('Raw touched'!$E173:$U173,$E$5:$U$5))+INTERCEPT('Raw touched'!$E173:$U173,$E$5:$U$5)),'Raw touched'!H173)</f>
        <v>97.501904761904598</v>
      </c>
      <c r="I173" s="4">
        <f>IF(ISBLANK('Raw touched'!I173),((I$5*SLOPE('Raw touched'!$E173:$U173,$E$5:$U$5))+INTERCEPT('Raw touched'!$E173:$U173,$E$5:$U$5)),'Raw touched'!I173)</f>
        <v>97.014761904761713</v>
      </c>
      <c r="J173" s="4">
        <f>IF(ISBLANK('Raw touched'!J173),((J$5*SLOPE('Raw touched'!$E173:$U173,$E$5:$U$5))+INTERCEPT('Raw touched'!$E173:$U173,$E$5:$U$5)),'Raw touched'!J173)</f>
        <v>96.527619047618941</v>
      </c>
      <c r="K173" s="4">
        <f>IF(ISBLANK('Raw touched'!K173),((K$5*SLOPE('Raw touched'!$E173:$U173,$E$5:$U$5))+INTERCEPT('Raw touched'!$E173:$U173,$E$5:$U$5)),'Raw touched'!K173)</f>
        <v>96.040476190476056</v>
      </c>
      <c r="L173" s="4">
        <f>IF(ISBLANK('Raw touched'!L173),((L$5*SLOPE('Raw touched'!$E173:$U173,$E$5:$U$5))+INTERCEPT('Raw touched'!$E173:$U173,$E$5:$U$5)),'Raw touched'!L173)</f>
        <v>95.553333333333171</v>
      </c>
      <c r="M173" s="4">
        <f>IF(ISBLANK('Raw touched'!M173),((M$5*SLOPE('Raw touched'!$E173:$U173,$E$5:$U$5))+INTERCEPT('Raw touched'!$E173:$U173,$E$5:$U$5)),'Raw touched'!M173)</f>
        <v>93.6</v>
      </c>
      <c r="N173" s="4">
        <f>IF(ISBLANK('Raw touched'!N173),((N$5*SLOPE('Raw touched'!$E173:$U173,$E$5:$U$5))+INTERCEPT('Raw touched'!$E173:$U173,$E$5:$U$5)),'Raw touched'!N173)</f>
        <v>94.58</v>
      </c>
      <c r="O173" s="4">
        <f>IF(ISBLANK('Raw touched'!O173),((O$5*SLOPE('Raw touched'!$E173:$U173,$E$5:$U$5))+INTERCEPT('Raw touched'!$E173:$U173,$E$5:$U$5)),'Raw touched'!O173)</f>
        <v>95.15</v>
      </c>
      <c r="P173" s="4">
        <f>IF(ISBLANK('Raw touched'!P173),((P$5*SLOPE('Raw touched'!$E173:$U173,$E$5:$U$5))+INTERCEPT('Raw touched'!$E173:$U173,$E$5:$U$5)),'Raw touched'!P173)</f>
        <v>95.75</v>
      </c>
      <c r="Q173" s="4">
        <f>IF(ISBLANK('Raw touched'!Q173),((Q$5*SLOPE('Raw touched'!$E173:$U173,$E$5:$U$5))+INTERCEPT('Raw touched'!$E173:$U173,$E$5:$U$5)),'Raw touched'!Q173)</f>
        <v>92.98</v>
      </c>
      <c r="R173" s="4">
        <f>IF(ISBLANK('Raw touched'!R173),((R$5*SLOPE('Raw touched'!$E173:$U173,$E$5:$U$5))+INTERCEPT('Raw touched'!$E173:$U173,$E$5:$U$5)),'Raw touched'!R173)</f>
        <v>91.03</v>
      </c>
      <c r="S173" s="4">
        <f>IF(ISBLANK('Raw touched'!S173),((S$5*SLOPE('Raw touched'!$E173:$U173,$E$5:$U$5))+INTERCEPT('Raw touched'!$E173:$U173,$E$5:$U$5)),'Raw touched'!S173)</f>
        <v>92.143333333333203</v>
      </c>
      <c r="T173" s="4">
        <f>IF(ISBLANK('Raw touched'!T173),((T$5*SLOPE('Raw touched'!$E173:$U173,$E$5:$U$5))+INTERCEPT('Raw touched'!$E173:$U173,$E$5:$U$5)),'Raw touched'!T173)</f>
        <v>91.656190476190318</v>
      </c>
      <c r="U173" s="4">
        <f>IF(ISBLANK('Raw touched'!U173),((U$5*SLOPE('Raw touched'!$E173:$U173,$E$5:$U$5))+INTERCEPT('Raw touched'!$E173:$U173,$E$5:$U$5)),'Raw touched'!U173)</f>
        <v>91.169047619047433</v>
      </c>
    </row>
    <row r="174" spans="3:21" ht="13">
      <c r="C174" s="1" t="s">
        <v>197</v>
      </c>
      <c r="D174" s="1" t="s">
        <v>131</v>
      </c>
      <c r="E174" s="4">
        <f>IF(ISBLANK('Raw touched'!E174),((E$5*SLOPE('Raw touched'!$E174:$U174,$E$5:$U$5))+INTERCEPT('Raw touched'!$E174:$U174,$E$5:$U$5)),'Raw touched'!E174)</f>
        <v>82.699996949999999</v>
      </c>
      <c r="F174" s="4">
        <f>IF(ISBLANK('Raw touched'!F174),((F$5*SLOPE('Raw touched'!$E174:$U174,$E$5:$U$5))+INTERCEPT('Raw touched'!$E174:$U174,$E$5:$U$5)),'Raw touched'!F174)</f>
        <v>80.218997041500188</v>
      </c>
      <c r="G174" s="4">
        <f>IF(ISBLANK('Raw touched'!G174),((G$5*SLOPE('Raw touched'!$E174:$U174,$E$5:$U$5))+INTERCEPT('Raw touched'!$E174:$U174,$E$5:$U$5)),'Raw touched'!G174)</f>
        <v>77.737997133000135</v>
      </c>
      <c r="H174" s="4">
        <f>IF(ISBLANK('Raw touched'!H174),((H$5*SLOPE('Raw touched'!$E174:$U174,$E$5:$U$5))+INTERCEPT('Raw touched'!$E174:$U174,$E$5:$U$5)),'Raw touched'!H174)</f>
        <v>75.256997224500083</v>
      </c>
      <c r="I174" s="4">
        <f>IF(ISBLANK('Raw touched'!I174),((I$5*SLOPE('Raw touched'!$E174:$U174,$E$5:$U$5))+INTERCEPT('Raw touched'!$E174:$U174,$E$5:$U$5)),'Raw touched'!I174)</f>
        <v>72.77599731600003</v>
      </c>
      <c r="J174" s="4">
        <f>IF(ISBLANK('Raw touched'!J174),((J$5*SLOPE('Raw touched'!$E174:$U174,$E$5:$U$5))+INTERCEPT('Raw touched'!$E174:$U174,$E$5:$U$5)),'Raw touched'!J174)</f>
        <v>70.294997407499977</v>
      </c>
      <c r="K174" s="4">
        <f>IF(ISBLANK('Raw touched'!K174),((K$5*SLOPE('Raw touched'!$E174:$U174,$E$5:$U$5))+INTERCEPT('Raw touched'!$E174:$U174,$E$5:$U$5)),'Raw touched'!K174)</f>
        <v>67.813997498999925</v>
      </c>
      <c r="L174" s="4">
        <f>IF(ISBLANK('Raw touched'!L174),((L$5*SLOPE('Raw touched'!$E174:$U174,$E$5:$U$5))+INTERCEPT('Raw touched'!$E174:$U174,$E$5:$U$5)),'Raw touched'!L174)</f>
        <v>65.332997590499872</v>
      </c>
      <c r="M174" s="4">
        <f>IF(ISBLANK('Raw touched'!M174),((M$5*SLOPE('Raw touched'!$E174:$U174,$E$5:$U$5))+INTERCEPT('Raw touched'!$E174:$U174,$E$5:$U$5)),'Raw touched'!M174)</f>
        <v>62.851997681999819</v>
      </c>
      <c r="N174" s="4">
        <f>IF(ISBLANK('Raw touched'!N174),((N$5*SLOPE('Raw touched'!$E174:$U174,$E$5:$U$5))+INTERCEPT('Raw touched'!$E174:$U174,$E$5:$U$5)),'Raw touched'!N174)</f>
        <v>60.370997773499766</v>
      </c>
      <c r="O174" s="4">
        <f>IF(ISBLANK('Raw touched'!O174),((O$5*SLOPE('Raw touched'!$E174:$U174,$E$5:$U$5))+INTERCEPT('Raw touched'!$E174:$U174,$E$5:$U$5)),'Raw touched'!O174)</f>
        <v>57.889997864999998</v>
      </c>
      <c r="P174" s="4">
        <f>IF(ISBLANK('Raw touched'!P174),((P$5*SLOPE('Raw touched'!$E174:$U174,$E$5:$U$5))+INTERCEPT('Raw touched'!$E174:$U174,$E$5:$U$5)),'Raw touched'!P174)</f>
        <v>55.408997956500571</v>
      </c>
      <c r="Q174" s="4">
        <f>IF(ISBLANK('Raw touched'!Q174),((Q$5*SLOPE('Raw touched'!$E174:$U174,$E$5:$U$5))+INTERCEPT('Raw touched'!$E174:$U174,$E$5:$U$5)),'Raw touched'!Q174)</f>
        <v>52.927998048000518</v>
      </c>
      <c r="R174" s="4">
        <f>IF(ISBLANK('Raw touched'!R174),((R$5*SLOPE('Raw touched'!$E174:$U174,$E$5:$U$5))+INTERCEPT('Raw touched'!$E174:$U174,$E$5:$U$5)),'Raw touched'!R174)</f>
        <v>50.446998139500465</v>
      </c>
      <c r="S174" s="4">
        <f>IF(ISBLANK('Raw touched'!S174),((S$5*SLOPE('Raw touched'!$E174:$U174,$E$5:$U$5))+INTERCEPT('Raw touched'!$E174:$U174,$E$5:$U$5)),'Raw touched'!S174)</f>
        <v>47.965998231000412</v>
      </c>
      <c r="T174" s="4">
        <f>IF(ISBLANK('Raw touched'!T174),((T$5*SLOPE('Raw touched'!$E174:$U174,$E$5:$U$5))+INTERCEPT('Raw touched'!$E174:$U174,$E$5:$U$5)),'Raw touched'!T174)</f>
        <v>45.48499832250036</v>
      </c>
      <c r="U174" s="4">
        <f>IF(ISBLANK('Raw touched'!U174),((U$5*SLOPE('Raw touched'!$E174:$U174,$E$5:$U$5))+INTERCEPT('Raw touched'!$E174:$U174,$E$5:$U$5)),'Raw touched'!U174)</f>
        <v>43.003998414000307</v>
      </c>
    </row>
    <row r="175" spans="3:21" ht="13">
      <c r="C175" s="1" t="s">
        <v>34</v>
      </c>
      <c r="D175" s="1" t="s">
        <v>74</v>
      </c>
      <c r="E175" s="4">
        <f>IF(ISBLANK('Raw touched'!E175),((E$5*SLOPE('Raw touched'!$E175:$U175,$E$5:$U$5))+INTERCEPT('Raw touched'!$E175:$U175,$E$5:$U$5)),'Raw touched'!E175)</f>
        <v>10.630000296400056</v>
      </c>
      <c r="F175" s="4">
        <f>IF(ISBLANK('Raw touched'!F175),((F$5*SLOPE('Raw touched'!$E175:$U175,$E$5:$U$5))+INTERCEPT('Raw touched'!$E175:$U175,$E$5:$U$5)),'Raw touched'!F175)</f>
        <v>10.380000273600047</v>
      </c>
      <c r="G175" s="4">
        <f>IF(ISBLANK('Raw touched'!G175),((G$5*SLOPE('Raw touched'!$E175:$U175,$E$5:$U$5))+INTERCEPT('Raw touched'!$E175:$U175,$E$5:$U$5)),'Raw touched'!G175)</f>
        <v>10.130000250800038</v>
      </c>
      <c r="H175" s="4">
        <f>IF(ISBLANK('Raw touched'!H175),((H$5*SLOPE('Raw touched'!$E175:$U175,$E$5:$U$5))+INTERCEPT('Raw touched'!$E175:$U175,$E$5:$U$5)),'Raw touched'!H175)</f>
        <v>9.8800002280000285</v>
      </c>
      <c r="I175" s="4">
        <f>IF(ISBLANK('Raw touched'!I175),((I$5*SLOPE('Raw touched'!$E175:$U175,$E$5:$U$5))+INTERCEPT('Raw touched'!$E175:$U175,$E$5:$U$5)),'Raw touched'!I175)</f>
        <v>9.6300002052000195</v>
      </c>
      <c r="J175" s="4">
        <f>IF(ISBLANK('Raw touched'!J175),((J$5*SLOPE('Raw touched'!$E175:$U175,$E$5:$U$5))+INTERCEPT('Raw touched'!$E175:$U175,$E$5:$U$5)),'Raw touched'!J175)</f>
        <v>9.3800001824000105</v>
      </c>
      <c r="K175" s="4">
        <f>IF(ISBLANK('Raw touched'!K175),((K$5*SLOPE('Raw touched'!$E175:$U175,$E$5:$U$5))+INTERCEPT('Raw touched'!$E175:$U175,$E$5:$U$5)),'Raw touched'!K175)</f>
        <v>9.1300001596000584</v>
      </c>
      <c r="L175" s="4">
        <f>IF(ISBLANK('Raw touched'!L175),((L$5*SLOPE('Raw touched'!$E175:$U175,$E$5:$U$5))+INTERCEPT('Raw touched'!$E175:$U175,$E$5:$U$5)),'Raw touched'!L175)</f>
        <v>8.8800001368000494</v>
      </c>
      <c r="M175" s="4">
        <f>IF(ISBLANK('Raw touched'!M175),((M$5*SLOPE('Raw touched'!$E175:$U175,$E$5:$U$5))+INTERCEPT('Raw touched'!$E175:$U175,$E$5:$U$5)),'Raw touched'!M175)</f>
        <v>8.6300001139999996</v>
      </c>
      <c r="N175" s="4">
        <f>IF(ISBLANK('Raw touched'!N175),((N$5*SLOPE('Raw touched'!$E175:$U175,$E$5:$U$5))+INTERCEPT('Raw touched'!$E175:$U175,$E$5:$U$5)),'Raw touched'!N175)</f>
        <v>8.3800000912000314</v>
      </c>
      <c r="O175" s="4">
        <f>IF(ISBLANK('Raw touched'!O175),((O$5*SLOPE('Raw touched'!$E175:$U175,$E$5:$U$5))+INTERCEPT('Raw touched'!$E175:$U175,$E$5:$U$5)),'Raw touched'!O175)</f>
        <v>8.1300000684000224</v>
      </c>
      <c r="P175" s="4">
        <f>IF(ISBLANK('Raw touched'!P175),((P$5*SLOPE('Raw touched'!$E175:$U175,$E$5:$U$5))+INTERCEPT('Raw touched'!$E175:$U175,$E$5:$U$5)),'Raw touched'!P175)</f>
        <v>7.8800000456000134</v>
      </c>
      <c r="Q175" s="4">
        <f>IF(ISBLANK('Raw touched'!Q175),((Q$5*SLOPE('Raw touched'!$E175:$U175,$E$5:$U$5))+INTERCEPT('Raw touched'!$E175:$U175,$E$5:$U$5)),'Raw touched'!Q175)</f>
        <v>7.6300000228000044</v>
      </c>
      <c r="R175" s="4">
        <f>IF(ISBLANK('Raw touched'!R175),((R$5*SLOPE('Raw touched'!$E175:$U175,$E$5:$U$5))+INTERCEPT('Raw touched'!$E175:$U175,$E$5:$U$5)),'Raw touched'!R175)</f>
        <v>7.38</v>
      </c>
      <c r="S175" s="4">
        <f>IF(ISBLANK('Raw touched'!S175),((S$5*SLOPE('Raw touched'!$E175:$U175,$E$5:$U$5))+INTERCEPT('Raw touched'!$E175:$U175,$E$5:$U$5)),'Raw touched'!S175)</f>
        <v>7.1299999772000433</v>
      </c>
      <c r="T175" s="4">
        <f>IF(ISBLANK('Raw touched'!T175),((T$5*SLOPE('Raw touched'!$E175:$U175,$E$5:$U$5))+INTERCEPT('Raw touched'!$E175:$U175,$E$5:$U$5)),'Raw touched'!T175)</f>
        <v>6.8799999544000343</v>
      </c>
      <c r="U175" s="4">
        <f>IF(ISBLANK('Raw touched'!U175),((U$5*SLOPE('Raw touched'!$E175:$U175,$E$5:$U$5))+INTERCEPT('Raw touched'!$E175:$U175,$E$5:$U$5)),'Raw touched'!U175)</f>
        <v>6.6299999316000253</v>
      </c>
    </row>
    <row r="176" spans="3:21" ht="13">
      <c r="C176" s="1" t="s">
        <v>231</v>
      </c>
      <c r="D176" s="1" t="s">
        <v>226</v>
      </c>
      <c r="E176" s="4">
        <f>IF(ISBLANK('Raw touched'!E176),((E$5*SLOPE('Raw touched'!$E176:$U176,$E$5:$U$5))+INTERCEPT('Raw touched'!$E176:$U176,$E$5:$U$5)),'Raw touched'!E176)</f>
        <v>97.400001529999997</v>
      </c>
      <c r="F176" s="4">
        <f>IF(ISBLANK('Raw touched'!F176),((F$5*SLOPE('Raw touched'!$E176:$U176,$E$5:$U$5))+INTERCEPT('Raw touched'!$E176:$U176,$E$5:$U$5)),'Raw touched'!F176)</f>
        <v>97.5</v>
      </c>
      <c r="G176" s="4">
        <f>IF(ISBLANK('Raw touched'!G176),((G$5*SLOPE('Raw touched'!$E176:$U176,$E$5:$U$5))+INTERCEPT('Raw touched'!$E176:$U176,$E$5:$U$5)),'Raw touched'!G176)</f>
        <v>97.5</v>
      </c>
      <c r="H176" s="4">
        <f>IF(ISBLANK('Raw touched'!H176),((H$5*SLOPE('Raw touched'!$E176:$U176,$E$5:$U$5))+INTERCEPT('Raw touched'!$E176:$U176,$E$5:$U$5)),'Raw touched'!H176)</f>
        <v>97.5</v>
      </c>
      <c r="I176" s="4">
        <f>IF(ISBLANK('Raw touched'!I176),((I$5*SLOPE('Raw touched'!$E176:$U176,$E$5:$U$5))+INTERCEPT('Raw touched'!$E176:$U176,$E$5:$U$5)),'Raw touched'!I176)</f>
        <v>97.5</v>
      </c>
      <c r="J176" s="4">
        <f>IF(ISBLANK('Raw touched'!J176),((J$5*SLOPE('Raw touched'!$E176:$U176,$E$5:$U$5))+INTERCEPT('Raw touched'!$E176:$U176,$E$5:$U$5)),'Raw touched'!J176)</f>
        <v>98.5</v>
      </c>
      <c r="K176" s="4">
        <f>IF(ISBLANK('Raw touched'!K176),((K$5*SLOPE('Raw touched'!$E176:$U176,$E$5:$U$5))+INTERCEPT('Raw touched'!$E176:$U176,$E$5:$U$5)),'Raw touched'!K176)</f>
        <v>98.199999490000039</v>
      </c>
      <c r="L176" s="4">
        <f>IF(ISBLANK('Raw touched'!L176),((L$5*SLOPE('Raw touched'!$E176:$U176,$E$5:$U$5))+INTERCEPT('Raw touched'!$E176:$U176,$E$5:$U$5)),'Raw touched'!L176)</f>
        <v>98.357142128571468</v>
      </c>
      <c r="M176" s="4">
        <f>IF(ISBLANK('Raw touched'!M176),((M$5*SLOPE('Raw touched'!$E176:$U176,$E$5:$U$5))+INTERCEPT('Raw touched'!$E176:$U176,$E$5:$U$5)),'Raw touched'!M176)</f>
        <v>98.514284767142897</v>
      </c>
      <c r="N176" s="4">
        <f>IF(ISBLANK('Raw touched'!N176),((N$5*SLOPE('Raw touched'!$E176:$U176,$E$5:$U$5))+INTERCEPT('Raw touched'!$E176:$U176,$E$5:$U$5)),'Raw touched'!N176)</f>
        <v>98.671427405714326</v>
      </c>
      <c r="O176" s="4">
        <f>IF(ISBLANK('Raw touched'!O176),((O$5*SLOPE('Raw touched'!$E176:$U176,$E$5:$U$5))+INTERCEPT('Raw touched'!$E176:$U176,$E$5:$U$5)),'Raw touched'!O176)</f>
        <v>98.828570044285755</v>
      </c>
      <c r="P176" s="4">
        <f>IF(ISBLANK('Raw touched'!P176),((P$5*SLOPE('Raw touched'!$E176:$U176,$E$5:$U$5))+INTERCEPT('Raw touched'!$E176:$U176,$E$5:$U$5)),'Raw touched'!P176)</f>
        <v>98.985712682857184</v>
      </c>
      <c r="Q176" s="4">
        <f>IF(ISBLANK('Raw touched'!Q176),((Q$5*SLOPE('Raw touched'!$E176:$U176,$E$5:$U$5))+INTERCEPT('Raw touched'!$E176:$U176,$E$5:$U$5)),'Raw touched'!Q176)</f>
        <v>99.142855321428613</v>
      </c>
      <c r="R176" s="4">
        <f>IF(ISBLANK('Raw touched'!R176),((R$5*SLOPE('Raw touched'!$E176:$U176,$E$5:$U$5))+INTERCEPT('Raw touched'!$E176:$U176,$E$5:$U$5)),'Raw touched'!R176)</f>
        <v>99.299997960000042</v>
      </c>
      <c r="S176" s="4">
        <f>IF(ISBLANK('Raw touched'!S176),((S$5*SLOPE('Raw touched'!$E176:$U176,$E$5:$U$5))+INTERCEPT('Raw touched'!$E176:$U176,$E$5:$U$5)),'Raw touched'!S176)</f>
        <v>99.45714059857147</v>
      </c>
      <c r="T176" s="4">
        <f>IF(ISBLANK('Raw touched'!T176),((T$5*SLOPE('Raw touched'!$E176:$U176,$E$5:$U$5))+INTERCEPT('Raw touched'!$E176:$U176,$E$5:$U$5)),'Raw touched'!T176)</f>
        <v>99.614283237142899</v>
      </c>
      <c r="U176" s="4">
        <f>IF(ISBLANK('Raw touched'!U176),((U$5*SLOPE('Raw touched'!$E176:$U176,$E$5:$U$5))+INTERCEPT('Raw touched'!$E176:$U176,$E$5:$U$5)),'Raw touched'!U176)</f>
        <v>99.771425875714328</v>
      </c>
    </row>
    <row r="177" spans="3:21" ht="13">
      <c r="C177" s="1" t="s">
        <v>175</v>
      </c>
      <c r="D177" s="1" t="s">
        <v>215</v>
      </c>
      <c r="E177" s="4" t="e">
        <f>IF(ISBLANK('Raw touched'!E177),((E$5*SLOPE('Raw touched'!$E177:$U177,$E$5:$U$5))+INTERCEPT('Raw touched'!$E177:$U177,$E$5:$U$5)),'Raw touched'!E177)</f>
        <v>#DIV/0!</v>
      </c>
      <c r="F177" s="4" t="e">
        <f>IF(ISBLANK('Raw touched'!F177),((F$5*SLOPE('Raw touched'!$E177:$U177,$E$5:$U$5))+INTERCEPT('Raw touched'!$E177:$U177,$E$5:$U$5)),'Raw touched'!F177)</f>
        <v>#DIV/0!</v>
      </c>
      <c r="G177" s="4" t="e">
        <f>IF(ISBLANK('Raw touched'!G177),((G$5*SLOPE('Raw touched'!$E177:$U177,$E$5:$U$5))+INTERCEPT('Raw touched'!$E177:$U177,$E$5:$U$5)),'Raw touched'!G177)</f>
        <v>#DIV/0!</v>
      </c>
      <c r="H177" s="4" t="e">
        <f>IF(ISBLANK('Raw touched'!H177),((H$5*SLOPE('Raw touched'!$E177:$U177,$E$5:$U$5))+INTERCEPT('Raw touched'!$E177:$U177,$E$5:$U$5)),'Raw touched'!H177)</f>
        <v>#DIV/0!</v>
      </c>
      <c r="I177" s="4" t="e">
        <f>IF(ISBLANK('Raw touched'!I177),((I$5*SLOPE('Raw touched'!$E177:$U177,$E$5:$U$5))+INTERCEPT('Raw touched'!$E177:$U177,$E$5:$U$5)),'Raw touched'!I177)</f>
        <v>#DIV/0!</v>
      </c>
      <c r="J177" s="4" t="e">
        <f>IF(ISBLANK('Raw touched'!J177),((J$5*SLOPE('Raw touched'!$E177:$U177,$E$5:$U$5))+INTERCEPT('Raw touched'!$E177:$U177,$E$5:$U$5)),'Raw touched'!J177)</f>
        <v>#DIV/0!</v>
      </c>
      <c r="K177" s="4" t="e">
        <f>IF(ISBLANK('Raw touched'!K177),((K$5*SLOPE('Raw touched'!$E177:$U177,$E$5:$U$5))+INTERCEPT('Raw touched'!$E177:$U177,$E$5:$U$5)),'Raw touched'!K177)</f>
        <v>#DIV/0!</v>
      </c>
      <c r="L177" s="4" t="e">
        <f>IF(ISBLANK('Raw touched'!L177),((L$5*SLOPE('Raw touched'!$E177:$U177,$E$5:$U$5))+INTERCEPT('Raw touched'!$E177:$U177,$E$5:$U$5)),'Raw touched'!L177)</f>
        <v>#DIV/0!</v>
      </c>
      <c r="M177" s="4" t="e">
        <f>IF(ISBLANK('Raw touched'!M177),((M$5*SLOPE('Raw touched'!$E177:$U177,$E$5:$U$5))+INTERCEPT('Raw touched'!$E177:$U177,$E$5:$U$5)),'Raw touched'!M177)</f>
        <v>#DIV/0!</v>
      </c>
      <c r="N177" s="4" t="e">
        <f>IF(ISBLANK('Raw touched'!N177),((N$5*SLOPE('Raw touched'!$E177:$U177,$E$5:$U$5))+INTERCEPT('Raw touched'!$E177:$U177,$E$5:$U$5)),'Raw touched'!N177)</f>
        <v>#DIV/0!</v>
      </c>
      <c r="O177" s="4" t="e">
        <f>IF(ISBLANK('Raw touched'!O177),((O$5*SLOPE('Raw touched'!$E177:$U177,$E$5:$U$5))+INTERCEPT('Raw touched'!$E177:$U177,$E$5:$U$5)),'Raw touched'!O177)</f>
        <v>#DIV/0!</v>
      </c>
      <c r="P177" s="4" t="e">
        <f>IF(ISBLANK('Raw touched'!P177),((P$5*SLOPE('Raw touched'!$E177:$U177,$E$5:$U$5))+INTERCEPT('Raw touched'!$E177:$U177,$E$5:$U$5)),'Raw touched'!P177)</f>
        <v>#DIV/0!</v>
      </c>
      <c r="Q177" s="4" t="e">
        <f>IF(ISBLANK('Raw touched'!Q177),((Q$5*SLOPE('Raw touched'!$E177:$U177,$E$5:$U$5))+INTERCEPT('Raw touched'!$E177:$U177,$E$5:$U$5)),'Raw touched'!Q177)</f>
        <v>#DIV/0!</v>
      </c>
      <c r="R177" s="4" t="e">
        <f>IF(ISBLANK('Raw touched'!R177),((R$5*SLOPE('Raw touched'!$E177:$U177,$E$5:$U$5))+INTERCEPT('Raw touched'!$E177:$U177,$E$5:$U$5)),'Raw touched'!R177)</f>
        <v>#DIV/0!</v>
      </c>
      <c r="S177" s="4" t="e">
        <f>IF(ISBLANK('Raw touched'!S177),((S$5*SLOPE('Raw touched'!$E177:$U177,$E$5:$U$5))+INTERCEPT('Raw touched'!$E177:$U177,$E$5:$U$5)),'Raw touched'!S177)</f>
        <v>#DIV/0!</v>
      </c>
      <c r="T177" s="4" t="e">
        <f>IF(ISBLANK('Raw touched'!T177),((T$5*SLOPE('Raw touched'!$E177:$U177,$E$5:$U$5))+INTERCEPT('Raw touched'!$E177:$U177,$E$5:$U$5)),'Raw touched'!T177)</f>
        <v>#DIV/0!</v>
      </c>
      <c r="U177" s="4" t="e">
        <f>IF(ISBLANK('Raw touched'!U177),((U$5*SLOPE('Raw touched'!$E177:$U177,$E$5:$U$5))+INTERCEPT('Raw touched'!$E177:$U177,$E$5:$U$5)),'Raw touched'!U177)</f>
        <v>#DIV/0!</v>
      </c>
    </row>
    <row r="178" spans="3:21" ht="13">
      <c r="C178" s="1" t="s">
        <v>266</v>
      </c>
      <c r="D178" s="1" t="s">
        <v>59</v>
      </c>
      <c r="E178" s="4">
        <f>IF(ISBLANK('Raw touched'!E178),((E$5*SLOPE('Raw touched'!$E178:$U178,$E$5:$U$5))+INTERCEPT('Raw touched'!$E178:$U178,$E$5:$U$5)),'Raw touched'!E178)</f>
        <v>31.600000380000001</v>
      </c>
      <c r="F178" s="4">
        <f>IF(ISBLANK('Raw touched'!F178),((F$5*SLOPE('Raw touched'!$E178:$U178,$E$5:$U$5))+INTERCEPT('Raw touched'!$E178:$U178,$E$5:$U$5)),'Raw touched'!F178)</f>
        <v>31.600000380000001</v>
      </c>
      <c r="G178" s="4">
        <f>IF(ISBLANK('Raw touched'!G178),((G$5*SLOPE('Raw touched'!$E178:$U178,$E$5:$U$5))+INTERCEPT('Raw touched'!$E178:$U178,$E$5:$U$5)),'Raw touched'!G178)</f>
        <v>31.600000380000001</v>
      </c>
      <c r="H178" s="4">
        <f>IF(ISBLANK('Raw touched'!H178),((H$5*SLOPE('Raw touched'!$E178:$U178,$E$5:$U$5))+INTERCEPT('Raw touched'!$E178:$U178,$E$5:$U$5)),'Raw touched'!H178)</f>
        <v>31.600000380000001</v>
      </c>
      <c r="I178" s="4">
        <f>IF(ISBLANK('Raw touched'!I178),((I$5*SLOPE('Raw touched'!$E178:$U178,$E$5:$U$5))+INTERCEPT('Raw touched'!$E178:$U178,$E$5:$U$5)),'Raw touched'!I178)</f>
        <v>31.600000380000001</v>
      </c>
      <c r="J178" s="4">
        <f>IF(ISBLANK('Raw touched'!J178),((J$5*SLOPE('Raw touched'!$E178:$U178,$E$5:$U$5))+INTERCEPT('Raw touched'!$E178:$U178,$E$5:$U$5)),'Raw touched'!J178)</f>
        <v>31.600000380000001</v>
      </c>
      <c r="K178" s="4">
        <f>IF(ISBLANK('Raw touched'!K178),((K$5*SLOPE('Raw touched'!$E178:$U178,$E$5:$U$5))+INTERCEPT('Raw touched'!$E178:$U178,$E$5:$U$5)),'Raw touched'!K178)</f>
        <v>31.600000380000001</v>
      </c>
      <c r="L178" s="4">
        <f>IF(ISBLANK('Raw touched'!L178),((L$5*SLOPE('Raw touched'!$E178:$U178,$E$5:$U$5))+INTERCEPT('Raw touched'!$E178:$U178,$E$5:$U$5)),'Raw touched'!L178)</f>
        <v>27.847787856106152</v>
      </c>
      <c r="M178" s="4">
        <f>IF(ISBLANK('Raw touched'!M178),((M$5*SLOPE('Raw touched'!$E178:$U178,$E$5:$U$5))+INTERCEPT('Raw touched'!$E178:$U178,$E$5:$U$5)),'Raw touched'!M178)</f>
        <v>27.003540038230085</v>
      </c>
      <c r="N178" s="4">
        <f>IF(ISBLANK('Raw touched'!N178),((N$5*SLOPE('Raw touched'!$E178:$U178,$E$5:$U$5))+INTERCEPT('Raw touched'!$E178:$U178,$E$5:$U$5)),'Raw touched'!N178)</f>
        <v>26.159292220354018</v>
      </c>
      <c r="O178" s="4">
        <f>IF(ISBLANK('Raw touched'!O178),((O$5*SLOPE('Raw touched'!$E178:$U178,$E$5:$U$5))+INTERCEPT('Raw touched'!$E178:$U178,$E$5:$U$5)),'Raw touched'!O178)</f>
        <v>25.315044402477724</v>
      </c>
      <c r="P178" s="4">
        <f>IF(ISBLANK('Raw touched'!P178),((P$5*SLOPE('Raw touched'!$E178:$U178,$E$5:$U$5))+INTERCEPT('Raw touched'!$E178:$U178,$E$5:$U$5)),'Raw touched'!P178)</f>
        <v>24.470796584601658</v>
      </c>
      <c r="Q178" s="4">
        <f>IF(ISBLANK('Raw touched'!Q178),((Q$5*SLOPE('Raw touched'!$E178:$U178,$E$5:$U$5))+INTERCEPT('Raw touched'!$E178:$U178,$E$5:$U$5)),'Raw touched'!Q178)</f>
        <v>21</v>
      </c>
      <c r="R178" s="4">
        <f>IF(ISBLANK('Raw touched'!R178),((R$5*SLOPE('Raw touched'!$E178:$U178,$E$5:$U$5))+INTERCEPT('Raw touched'!$E178:$U178,$E$5:$U$5)),'Raw touched'!R178)</f>
        <v>22.782300948849525</v>
      </c>
      <c r="S178" s="4">
        <f>IF(ISBLANK('Raw touched'!S178),((S$5*SLOPE('Raw touched'!$E178:$U178,$E$5:$U$5))+INTERCEPT('Raw touched'!$E178:$U178,$E$5:$U$5)),'Raw touched'!S178)</f>
        <v>21.938053130973458</v>
      </c>
      <c r="T178" s="4">
        <f>IF(ISBLANK('Raw touched'!T178),((T$5*SLOPE('Raw touched'!$E178:$U178,$E$5:$U$5))+INTERCEPT('Raw touched'!$E178:$U178,$E$5:$U$5)),'Raw touched'!T178)</f>
        <v>21.093805313097391</v>
      </c>
      <c r="U178" s="4">
        <f>IF(ISBLANK('Raw touched'!U178),((U$5*SLOPE('Raw touched'!$E178:$U178,$E$5:$U$5))+INTERCEPT('Raw touched'!$E178:$U178,$E$5:$U$5)),'Raw touched'!U178)</f>
        <v>20.249557495221097</v>
      </c>
    </row>
    <row r="179" spans="3:21" ht="13">
      <c r="C179" s="1" t="s">
        <v>402</v>
      </c>
      <c r="D179" s="1" t="s">
        <v>230</v>
      </c>
      <c r="E179" s="4">
        <f>IF(ISBLANK('Raw touched'!E179),((E$5*SLOPE('Raw touched'!$E179:$U179,$E$5:$U$5))+INTERCEPT('Raw touched'!$E179:$U179,$E$5:$U$5)),'Raw touched'!E179)</f>
        <v>27</v>
      </c>
      <c r="F179" s="4">
        <f>IF(ISBLANK('Raw touched'!F179),((F$5*SLOPE('Raw touched'!$E179:$U179,$E$5:$U$5))+INTERCEPT('Raw touched'!$E179:$U179,$E$5:$U$5)),'Raw touched'!F179)</f>
        <v>27</v>
      </c>
      <c r="G179" s="4">
        <f>IF(ISBLANK('Raw touched'!G179),((G$5*SLOPE('Raw touched'!$E179:$U179,$E$5:$U$5))+INTERCEPT('Raw touched'!$E179:$U179,$E$5:$U$5)),'Raw touched'!G179)</f>
        <v>27</v>
      </c>
      <c r="H179" s="4">
        <f>IF(ISBLANK('Raw touched'!H179),((H$5*SLOPE('Raw touched'!$E179:$U179,$E$5:$U$5))+INTERCEPT('Raw touched'!$E179:$U179,$E$5:$U$5)),'Raw touched'!H179)</f>
        <v>27</v>
      </c>
      <c r="I179" s="4">
        <f>IF(ISBLANK('Raw touched'!I179),((I$5*SLOPE('Raw touched'!$E179:$U179,$E$5:$U$5))+INTERCEPT('Raw touched'!$E179:$U179,$E$5:$U$5)),'Raw touched'!I179)</f>
        <v>27</v>
      </c>
      <c r="J179" s="4">
        <f>IF(ISBLANK('Raw touched'!J179),((J$5*SLOPE('Raw touched'!$E179:$U179,$E$5:$U$5))+INTERCEPT('Raw touched'!$E179:$U179,$E$5:$U$5)),'Raw touched'!J179)</f>
        <v>27</v>
      </c>
      <c r="K179" s="4">
        <f>IF(ISBLANK('Raw touched'!K179),((K$5*SLOPE('Raw touched'!$E179:$U179,$E$5:$U$5))+INTERCEPT('Raw touched'!$E179:$U179,$E$5:$U$5)),'Raw touched'!K179)</f>
        <v>27</v>
      </c>
      <c r="L179" s="4">
        <f>IF(ISBLANK('Raw touched'!L179),((L$5*SLOPE('Raw touched'!$E179:$U179,$E$5:$U$5))+INTERCEPT('Raw touched'!$E179:$U179,$E$5:$U$5)),'Raw touched'!L179)</f>
        <v>27</v>
      </c>
      <c r="M179" s="4">
        <f>IF(ISBLANK('Raw touched'!M179),((M$5*SLOPE('Raw touched'!$E179:$U179,$E$5:$U$5))+INTERCEPT('Raw touched'!$E179:$U179,$E$5:$U$5)),'Raw touched'!M179)</f>
        <v>27</v>
      </c>
      <c r="N179" s="4">
        <f>IF(ISBLANK('Raw touched'!N179),((N$5*SLOPE('Raw touched'!$E179:$U179,$E$5:$U$5))+INTERCEPT('Raw touched'!$E179:$U179,$E$5:$U$5)),'Raw touched'!N179)</f>
        <v>27</v>
      </c>
      <c r="O179" s="4">
        <f>IF(ISBLANK('Raw touched'!O179),((O$5*SLOPE('Raw touched'!$E179:$U179,$E$5:$U$5))+INTERCEPT('Raw touched'!$E179:$U179,$E$5:$U$5)),'Raw touched'!O179)</f>
        <v>27</v>
      </c>
      <c r="P179" s="4">
        <f>IF(ISBLANK('Raw touched'!P179),((P$5*SLOPE('Raw touched'!$E179:$U179,$E$5:$U$5))+INTERCEPT('Raw touched'!$E179:$U179,$E$5:$U$5)),'Raw touched'!P179)</f>
        <v>27</v>
      </c>
      <c r="Q179" s="4">
        <f>IF(ISBLANK('Raw touched'!Q179),((Q$5*SLOPE('Raw touched'!$E179:$U179,$E$5:$U$5))+INTERCEPT('Raw touched'!$E179:$U179,$E$5:$U$5)),'Raw touched'!Q179)</f>
        <v>27</v>
      </c>
      <c r="R179" s="4">
        <f>IF(ISBLANK('Raw touched'!R179),((R$5*SLOPE('Raw touched'!$E179:$U179,$E$5:$U$5))+INTERCEPT('Raw touched'!$E179:$U179,$E$5:$U$5)),'Raw touched'!R179)</f>
        <v>27</v>
      </c>
      <c r="S179" s="4">
        <f>IF(ISBLANK('Raw touched'!S179),((S$5*SLOPE('Raw touched'!$E179:$U179,$E$5:$U$5))+INTERCEPT('Raw touched'!$E179:$U179,$E$5:$U$5)),'Raw touched'!S179)</f>
        <v>27</v>
      </c>
      <c r="T179" s="4">
        <f>IF(ISBLANK('Raw touched'!T179),((T$5*SLOPE('Raw touched'!$E179:$U179,$E$5:$U$5))+INTERCEPT('Raw touched'!$E179:$U179,$E$5:$U$5)),'Raw touched'!T179)</f>
        <v>27</v>
      </c>
      <c r="U179" s="4">
        <f>IF(ISBLANK('Raw touched'!U179),((U$5*SLOPE('Raw touched'!$E179:$U179,$E$5:$U$5))+INTERCEPT('Raw touched'!$E179:$U179,$E$5:$U$5)),'Raw touched'!U179)</f>
        <v>27</v>
      </c>
    </row>
    <row r="180" spans="3:21" ht="13">
      <c r="C180" s="1" t="s">
        <v>283</v>
      </c>
      <c r="D180" s="1" t="s">
        <v>64</v>
      </c>
      <c r="E180" s="4">
        <f>IF(ISBLANK('Raw touched'!E180),((E$5*SLOPE('Raw touched'!$E180:$U180,$E$5:$U$5))+INTERCEPT('Raw touched'!$E180:$U180,$E$5:$U$5)),'Raw touched'!E180)</f>
        <v>51</v>
      </c>
      <c r="F180" s="4">
        <f>IF(ISBLANK('Raw touched'!F180),((F$5*SLOPE('Raw touched'!$E180:$U180,$E$5:$U$5))+INTERCEPT('Raw touched'!$E180:$U180,$E$5:$U$5)),'Raw touched'!F180)</f>
        <v>51.099998470000003</v>
      </c>
      <c r="G180" s="4">
        <f>IF(ISBLANK('Raw touched'!G180),((G$5*SLOPE('Raw touched'!$E180:$U180,$E$5:$U$5))+INTERCEPT('Raw touched'!$E180:$U180,$E$5:$U$5)),'Raw touched'!G180)</f>
        <v>51.099998470000003</v>
      </c>
      <c r="H180" s="4">
        <f>IF(ISBLANK('Raw touched'!H180),((H$5*SLOPE('Raw touched'!$E180:$U180,$E$5:$U$5))+INTERCEPT('Raw touched'!$E180:$U180,$E$5:$U$5)),'Raw touched'!H180)</f>
        <v>51.099998470000003</v>
      </c>
      <c r="I180" s="4">
        <f>IF(ISBLANK('Raw touched'!I180),((I$5*SLOPE('Raw touched'!$E180:$U180,$E$5:$U$5))+INTERCEPT('Raw touched'!$E180:$U180,$E$5:$U$5)),'Raw touched'!I180)</f>
        <v>51.099998470000003</v>
      </c>
      <c r="J180" s="4">
        <f>IF(ISBLANK('Raw touched'!J180),((J$5*SLOPE('Raw touched'!$E180:$U180,$E$5:$U$5))+INTERCEPT('Raw touched'!$E180:$U180,$E$5:$U$5)),'Raw touched'!J180)</f>
        <v>51.099998470000003</v>
      </c>
      <c r="K180" s="4">
        <f>IF(ISBLANK('Raw touched'!K180),((K$5*SLOPE('Raw touched'!$E180:$U180,$E$5:$U$5))+INTERCEPT('Raw touched'!$E180:$U180,$E$5:$U$5)),'Raw touched'!K180)</f>
        <v>51.099998470000003</v>
      </c>
      <c r="L180" s="4">
        <f>IF(ISBLANK('Raw touched'!L180),((L$5*SLOPE('Raw touched'!$E180:$U180,$E$5:$U$5))+INTERCEPT('Raw touched'!$E180:$U180,$E$5:$U$5)),'Raw touched'!L180)</f>
        <v>51.128569461428576</v>
      </c>
      <c r="M180" s="4">
        <f>IF(ISBLANK('Raw touched'!M180),((M$5*SLOPE('Raw touched'!$E180:$U180,$E$5:$U$5))+INTERCEPT('Raw touched'!$E180:$U180,$E$5:$U$5)),'Raw touched'!M180)</f>
        <v>51.139283583214294</v>
      </c>
      <c r="N180" s="4">
        <f>IF(ISBLANK('Raw touched'!N180),((N$5*SLOPE('Raw touched'!$E180:$U180,$E$5:$U$5))+INTERCEPT('Raw touched'!$E180:$U180,$E$5:$U$5)),'Raw touched'!N180)</f>
        <v>51.149997705000004</v>
      </c>
      <c r="O180" s="4">
        <f>IF(ISBLANK('Raw touched'!O180),((O$5*SLOPE('Raw touched'!$E180:$U180,$E$5:$U$5))+INTERCEPT('Raw touched'!$E180:$U180,$E$5:$U$5)),'Raw touched'!O180)</f>
        <v>51.160711826785722</v>
      </c>
      <c r="P180" s="4">
        <f>IF(ISBLANK('Raw touched'!P180),((P$5*SLOPE('Raw touched'!$E180:$U180,$E$5:$U$5))+INTERCEPT('Raw touched'!$E180:$U180,$E$5:$U$5)),'Raw touched'!P180)</f>
        <v>51.171425948571439</v>
      </c>
      <c r="Q180" s="4">
        <f>IF(ISBLANK('Raw touched'!Q180),((Q$5*SLOPE('Raw touched'!$E180:$U180,$E$5:$U$5))+INTERCEPT('Raw touched'!$E180:$U180,$E$5:$U$5)),'Raw touched'!Q180)</f>
        <v>51.18214007035715</v>
      </c>
      <c r="R180" s="4">
        <f>IF(ISBLANK('Raw touched'!R180),((R$5*SLOPE('Raw touched'!$E180:$U180,$E$5:$U$5))+INTERCEPT('Raw touched'!$E180:$U180,$E$5:$U$5)),'Raw touched'!R180)</f>
        <v>51.19285419214286</v>
      </c>
      <c r="S180" s="4">
        <f>IF(ISBLANK('Raw touched'!S180),((S$5*SLOPE('Raw touched'!$E180:$U180,$E$5:$U$5))+INTERCEPT('Raw touched'!$E180:$U180,$E$5:$U$5)),'Raw touched'!S180)</f>
        <v>51.203568313928578</v>
      </c>
      <c r="T180" s="4">
        <f>IF(ISBLANK('Raw touched'!T180),((T$5*SLOPE('Raw touched'!$E180:$U180,$E$5:$U$5))+INTERCEPT('Raw touched'!$E180:$U180,$E$5:$U$5)),'Raw touched'!T180)</f>
        <v>51.214282435714296</v>
      </c>
      <c r="U180" s="4">
        <f>IF(ISBLANK('Raw touched'!U180),((U$5*SLOPE('Raw touched'!$E180:$U180,$E$5:$U$5))+INTERCEPT('Raw touched'!$E180:$U180,$E$5:$U$5)),'Raw touched'!U180)</f>
        <v>51.224996557500006</v>
      </c>
    </row>
    <row r="181" spans="3:21" ht="13">
      <c r="C181" s="1" t="s">
        <v>298</v>
      </c>
      <c r="D181" s="1" t="s">
        <v>264</v>
      </c>
      <c r="E181" s="4">
        <f>IF(ISBLANK('Raw touched'!E181),((E$5*SLOPE('Raw touched'!$E181:$U181,$E$5:$U$5))+INTERCEPT('Raw touched'!$E181:$U181,$E$5:$U$5)),'Raw touched'!E181)</f>
        <v>78.800003050000001</v>
      </c>
      <c r="F181" s="4">
        <f>IF(ISBLANK('Raw touched'!F181),((F$5*SLOPE('Raw touched'!$E181:$U181,$E$5:$U$5))+INTERCEPT('Raw touched'!$E181:$U181,$E$5:$U$5)),'Raw touched'!F181)</f>
        <v>78.900001529999997</v>
      </c>
      <c r="G181" s="4">
        <f>IF(ISBLANK('Raw touched'!G181),((G$5*SLOPE('Raw touched'!$E181:$U181,$E$5:$U$5))+INTERCEPT('Raw touched'!$E181:$U181,$E$5:$U$5)),'Raw touched'!G181)</f>
        <v>78.900001529999997</v>
      </c>
      <c r="H181" s="4">
        <f>IF(ISBLANK('Raw touched'!H181),((H$5*SLOPE('Raw touched'!$E181:$U181,$E$5:$U$5))+INTERCEPT('Raw touched'!$E181:$U181,$E$5:$U$5)),'Raw touched'!H181)</f>
        <v>63.700000760000002</v>
      </c>
      <c r="I181" s="4">
        <f>IF(ISBLANK('Raw touched'!I181),((I$5*SLOPE('Raw touched'!$E181:$U181,$E$5:$U$5))+INTERCEPT('Raw touched'!$E181:$U181,$E$5:$U$5)),'Raw touched'!I181)</f>
        <v>63.799999239999998</v>
      </c>
      <c r="J181" s="4">
        <f>IF(ISBLANK('Raw touched'!J181),((J$5*SLOPE('Raw touched'!$E181:$U181,$E$5:$U$5))+INTERCEPT('Raw touched'!$E181:$U181,$E$5:$U$5)),'Raw touched'!J181)</f>
        <v>68.400001529999997</v>
      </c>
      <c r="K181" s="4">
        <f>IF(ISBLANK('Raw touched'!K181),((K$5*SLOPE('Raw touched'!$E181:$U181,$E$5:$U$5))+INTERCEPT('Raw touched'!$E181:$U181,$E$5:$U$5)),'Raw touched'!K181)</f>
        <v>65.400001529999997</v>
      </c>
      <c r="L181" s="4">
        <f>IF(ISBLANK('Raw touched'!L181),((L$5*SLOPE('Raw touched'!$E181:$U181,$E$5:$U$5))+INTERCEPT('Raw touched'!$E181:$U181,$E$5:$U$5)),'Raw touched'!L181)</f>
        <v>69.913115943442563</v>
      </c>
      <c r="M181" s="4">
        <f>IF(ISBLANK('Raw touched'!M181),((M$5*SLOPE('Raw touched'!$E181:$U181,$E$5:$U$5))+INTERCEPT('Raw touched'!$E181:$U181,$E$5:$U$5)),'Raw touched'!M181)</f>
        <v>69.430017506991703</v>
      </c>
      <c r="N181" s="4">
        <f>IF(ISBLANK('Raw touched'!N181),((N$5*SLOPE('Raw touched'!$E181:$U181,$E$5:$U$5))+INTERCEPT('Raw touched'!$E181:$U181,$E$5:$U$5)),'Raw touched'!N181)</f>
        <v>65.800003050000001</v>
      </c>
      <c r="O181" s="4">
        <f>IF(ISBLANK('Raw touched'!O181),((O$5*SLOPE('Raw touched'!$E181:$U181,$E$5:$U$5))+INTERCEPT('Raw touched'!$E181:$U181,$E$5:$U$5)),'Raw touched'!O181)</f>
        <v>68.463820634090098</v>
      </c>
      <c r="P181" s="4">
        <f>IF(ISBLANK('Raw touched'!P181),((P$5*SLOPE('Raw touched'!$E181:$U181,$E$5:$U$5))+INTERCEPT('Raw touched'!$E181:$U181,$E$5:$U$5)),'Raw touched'!P181)</f>
        <v>67.980722197639238</v>
      </c>
      <c r="Q181" s="4">
        <f>IF(ISBLANK('Raw touched'!Q181),((Q$5*SLOPE('Raw touched'!$E181:$U181,$E$5:$U$5))+INTERCEPT('Raw touched'!$E181:$U181,$E$5:$U$5)),'Raw touched'!Q181)</f>
        <v>67.497623761188493</v>
      </c>
      <c r="R181" s="4">
        <f>IF(ISBLANK('Raw touched'!R181),((R$5*SLOPE('Raw touched'!$E181:$U181,$E$5:$U$5))+INTERCEPT('Raw touched'!$E181:$U181,$E$5:$U$5)),'Raw touched'!R181)</f>
        <v>75.180000000000007</v>
      </c>
      <c r="S181" s="4">
        <f>IF(ISBLANK('Raw touched'!S181),((S$5*SLOPE('Raw touched'!$E181:$U181,$E$5:$U$5))+INTERCEPT('Raw touched'!$E181:$U181,$E$5:$U$5)),'Raw touched'!S181)</f>
        <v>66.531426888286774</v>
      </c>
      <c r="T181" s="4">
        <f>IF(ISBLANK('Raw touched'!T181),((T$5*SLOPE('Raw touched'!$E181:$U181,$E$5:$U$5))+INTERCEPT('Raw touched'!$E181:$U181,$E$5:$U$5)),'Raw touched'!T181)</f>
        <v>66.048328451836028</v>
      </c>
      <c r="U181" s="4">
        <f>IF(ISBLANK('Raw touched'!U181),((U$5*SLOPE('Raw touched'!$E181:$U181,$E$5:$U$5))+INTERCEPT('Raw touched'!$E181:$U181,$E$5:$U$5)),'Raw touched'!U181)</f>
        <v>65.565230015385168</v>
      </c>
    </row>
    <row r="182" spans="3:21" ht="13">
      <c r="C182" s="1" t="s">
        <v>301</v>
      </c>
      <c r="D182" s="1" t="s">
        <v>86</v>
      </c>
      <c r="E182" s="4">
        <f>IF(ISBLANK('Raw touched'!E182),((E$5*SLOPE('Raw touched'!$E182:$U182,$E$5:$U$5))+INTERCEPT('Raw touched'!$E182:$U182,$E$5:$U$5)),'Raw touched'!E182)</f>
        <v>23</v>
      </c>
      <c r="F182" s="4">
        <f>IF(ISBLANK('Raw touched'!F182),((F$5*SLOPE('Raw touched'!$E182:$U182,$E$5:$U$5))+INTERCEPT('Raw touched'!$E182:$U182,$E$5:$U$5)),'Raw touched'!F182)</f>
        <v>25</v>
      </c>
      <c r="G182" s="4">
        <f>IF(ISBLANK('Raw touched'!G182),((G$5*SLOPE('Raw touched'!$E182:$U182,$E$5:$U$5))+INTERCEPT('Raw touched'!$E182:$U182,$E$5:$U$5)),'Raw touched'!G182)</f>
        <v>25</v>
      </c>
      <c r="H182" s="4">
        <f>IF(ISBLANK('Raw touched'!H182),((H$5*SLOPE('Raw touched'!$E182:$U182,$E$5:$U$5))+INTERCEPT('Raw touched'!$E182:$U182,$E$5:$U$5)),'Raw touched'!H182)</f>
        <v>28</v>
      </c>
      <c r="I182" s="4">
        <f>IF(ISBLANK('Raw touched'!I182),((I$5*SLOPE('Raw touched'!$E182:$U182,$E$5:$U$5))+INTERCEPT('Raw touched'!$E182:$U182,$E$5:$U$5)),'Raw touched'!I182)</f>
        <v>34</v>
      </c>
      <c r="J182" s="4">
        <f>IF(ISBLANK('Raw touched'!J182),((J$5*SLOPE('Raw touched'!$E182:$U182,$E$5:$U$5))+INTERCEPT('Raw touched'!$E182:$U182,$E$5:$U$5)),'Raw touched'!J182)</f>
        <v>34.5</v>
      </c>
      <c r="K182" s="4">
        <f>IF(ISBLANK('Raw touched'!K182),((K$5*SLOPE('Raw touched'!$E182:$U182,$E$5:$U$5))+INTERCEPT('Raw touched'!$E182:$U182,$E$5:$U$5)),'Raw touched'!K182)</f>
        <v>37</v>
      </c>
      <c r="L182" s="4">
        <f>IF(ISBLANK('Raw touched'!L182),((L$5*SLOPE('Raw touched'!$E182:$U182,$E$5:$U$5))+INTERCEPT('Raw touched'!$E182:$U182,$E$5:$U$5)),'Raw touched'!L182)</f>
        <v>39.5</v>
      </c>
      <c r="M182" s="4">
        <f>IF(ISBLANK('Raw touched'!M182),((M$5*SLOPE('Raw touched'!$E182:$U182,$E$5:$U$5))+INTERCEPT('Raw touched'!$E182:$U182,$E$5:$U$5)),'Raw touched'!M182)</f>
        <v>42</v>
      </c>
      <c r="N182" s="4">
        <f>IF(ISBLANK('Raw touched'!N182),((N$5*SLOPE('Raw touched'!$E182:$U182,$E$5:$U$5))+INTERCEPT('Raw touched'!$E182:$U182,$E$5:$U$5)),'Raw touched'!N182)</f>
        <v>44.5</v>
      </c>
      <c r="O182" s="4">
        <f>IF(ISBLANK('Raw touched'!O182),((O$5*SLOPE('Raw touched'!$E182:$U182,$E$5:$U$5))+INTERCEPT('Raw touched'!$E182:$U182,$E$5:$U$5)),'Raw touched'!O182)</f>
        <v>47</v>
      </c>
      <c r="P182" s="4">
        <f>IF(ISBLANK('Raw touched'!P182),((P$5*SLOPE('Raw touched'!$E182:$U182,$E$5:$U$5))+INTERCEPT('Raw touched'!$E182:$U182,$E$5:$U$5)),'Raw touched'!P182)</f>
        <v>49.5</v>
      </c>
      <c r="Q182" s="4">
        <f>IF(ISBLANK('Raw touched'!Q182),((Q$5*SLOPE('Raw touched'!$E182:$U182,$E$5:$U$5))+INTERCEPT('Raw touched'!$E182:$U182,$E$5:$U$5)),'Raw touched'!Q182)</f>
        <v>52</v>
      </c>
      <c r="R182" s="4">
        <f>IF(ISBLANK('Raw touched'!R182),((R$5*SLOPE('Raw touched'!$E182:$U182,$E$5:$U$5))+INTERCEPT('Raw touched'!$E182:$U182,$E$5:$U$5)),'Raw touched'!R182)</f>
        <v>54.5</v>
      </c>
      <c r="S182" s="4">
        <f>IF(ISBLANK('Raw touched'!S182),((S$5*SLOPE('Raw touched'!$E182:$U182,$E$5:$U$5))+INTERCEPT('Raw touched'!$E182:$U182,$E$5:$U$5)),'Raw touched'!S182)</f>
        <v>57</v>
      </c>
      <c r="T182" s="4">
        <f>IF(ISBLANK('Raw touched'!T182),((T$5*SLOPE('Raw touched'!$E182:$U182,$E$5:$U$5))+INTERCEPT('Raw touched'!$E182:$U182,$E$5:$U$5)),'Raw touched'!T182)</f>
        <v>59.5</v>
      </c>
      <c r="U182" s="4">
        <f>IF(ISBLANK('Raw touched'!U182),((U$5*SLOPE('Raw touched'!$E182:$U182,$E$5:$U$5))+INTERCEPT('Raw touched'!$E182:$U182,$E$5:$U$5)),'Raw touched'!U182)</f>
        <v>62</v>
      </c>
    </row>
    <row r="183" spans="3:21" ht="13">
      <c r="C183" s="1" t="s">
        <v>206</v>
      </c>
      <c r="D183" s="1" t="s">
        <v>258</v>
      </c>
      <c r="E183" s="4">
        <f>IF(ISBLANK('Raw touched'!E183),((E$5*SLOPE('Raw touched'!$E183:$U183,$E$5:$U$5))+INTERCEPT('Raw touched'!$E183:$U183,$E$5:$U$5)),'Raw touched'!E183)</f>
        <v>81.199996949999999</v>
      </c>
      <c r="F183" s="4">
        <f>IF(ISBLANK('Raw touched'!F183),((F$5*SLOPE('Raw touched'!$E183:$U183,$E$5:$U$5))+INTERCEPT('Raw touched'!$E183:$U183,$E$5:$U$5)),'Raw touched'!F183)</f>
        <v>81.199996949999999</v>
      </c>
      <c r="G183" s="4">
        <f>IF(ISBLANK('Raw touched'!G183),((G$5*SLOPE('Raw touched'!$E183:$U183,$E$5:$U$5))+INTERCEPT('Raw touched'!$E183:$U183,$E$5:$U$5)),'Raw touched'!G183)</f>
        <v>81.199996949999999</v>
      </c>
      <c r="H183" s="4">
        <f>IF(ISBLANK('Raw touched'!H183),((H$5*SLOPE('Raw touched'!$E183:$U183,$E$5:$U$5))+INTERCEPT('Raw touched'!$E183:$U183,$E$5:$U$5)),'Raw touched'!H183)</f>
        <v>81.199996949999999</v>
      </c>
      <c r="I183" s="4">
        <f>IF(ISBLANK('Raw touched'!I183),((I$5*SLOPE('Raw touched'!$E183:$U183,$E$5:$U$5))+INTERCEPT('Raw touched'!$E183:$U183,$E$5:$U$5)),'Raw touched'!I183)</f>
        <v>81.199996949999999</v>
      </c>
      <c r="J183" s="4">
        <f>IF(ISBLANK('Raw touched'!J183),((J$5*SLOPE('Raw touched'!$E183:$U183,$E$5:$U$5))+INTERCEPT('Raw touched'!$E183:$U183,$E$5:$U$5)),'Raw touched'!J183)</f>
        <v>81.199996949999999</v>
      </c>
      <c r="K183" s="4">
        <f>IF(ISBLANK('Raw touched'!K183),((K$5*SLOPE('Raw touched'!$E183:$U183,$E$5:$U$5))+INTERCEPT('Raw touched'!$E183:$U183,$E$5:$U$5)),'Raw touched'!K183)</f>
        <v>81.199996949999999</v>
      </c>
      <c r="L183" s="4">
        <f>IF(ISBLANK('Raw touched'!L183),((L$5*SLOPE('Raw touched'!$E183:$U183,$E$5:$U$5))+INTERCEPT('Raw touched'!$E183:$U183,$E$5:$U$5)),'Raw touched'!L183)</f>
        <v>81.199996949999999</v>
      </c>
      <c r="M183" s="4">
        <f>IF(ISBLANK('Raw touched'!M183),((M$5*SLOPE('Raw touched'!$E183:$U183,$E$5:$U$5))+INTERCEPT('Raw touched'!$E183:$U183,$E$5:$U$5)),'Raw touched'!M183)</f>
        <v>81.199996949999999</v>
      </c>
      <c r="N183" s="4">
        <f>IF(ISBLANK('Raw touched'!N183),((N$5*SLOPE('Raw touched'!$E183:$U183,$E$5:$U$5))+INTERCEPT('Raw touched'!$E183:$U183,$E$5:$U$5)),'Raw touched'!N183)</f>
        <v>81.199996949999999</v>
      </c>
      <c r="O183" s="4">
        <f>IF(ISBLANK('Raw touched'!O183),((O$5*SLOPE('Raw touched'!$E183:$U183,$E$5:$U$5))+INTERCEPT('Raw touched'!$E183:$U183,$E$5:$U$5)),'Raw touched'!O183)</f>
        <v>81.199996949999999</v>
      </c>
      <c r="P183" s="4">
        <f>IF(ISBLANK('Raw touched'!P183),((P$5*SLOPE('Raw touched'!$E183:$U183,$E$5:$U$5))+INTERCEPT('Raw touched'!$E183:$U183,$E$5:$U$5)),'Raw touched'!P183)</f>
        <v>81.199996949999999</v>
      </c>
      <c r="Q183" s="4">
        <f>IF(ISBLANK('Raw touched'!Q183),((Q$5*SLOPE('Raw touched'!$E183:$U183,$E$5:$U$5))+INTERCEPT('Raw touched'!$E183:$U183,$E$5:$U$5)),'Raw touched'!Q183)</f>
        <v>81.199996949999999</v>
      </c>
      <c r="R183" s="4">
        <f>IF(ISBLANK('Raw touched'!R183),((R$5*SLOPE('Raw touched'!$E183:$U183,$E$5:$U$5))+INTERCEPT('Raw touched'!$E183:$U183,$E$5:$U$5)),'Raw touched'!R183)</f>
        <v>81.199996949999999</v>
      </c>
      <c r="S183" s="4">
        <f>IF(ISBLANK('Raw touched'!S183),((S$5*SLOPE('Raw touched'!$E183:$U183,$E$5:$U$5))+INTERCEPT('Raw touched'!$E183:$U183,$E$5:$U$5)),'Raw touched'!S183)</f>
        <v>81.199996949999999</v>
      </c>
      <c r="T183" s="4">
        <f>IF(ISBLANK('Raw touched'!T183),((T$5*SLOPE('Raw touched'!$E183:$U183,$E$5:$U$5))+INTERCEPT('Raw touched'!$E183:$U183,$E$5:$U$5)),'Raw touched'!T183)</f>
        <v>81.199996949999999</v>
      </c>
      <c r="U183" s="4">
        <f>IF(ISBLANK('Raw touched'!U183),((U$5*SLOPE('Raw touched'!$E183:$U183,$E$5:$U$5))+INTERCEPT('Raw touched'!$E183:$U183,$E$5:$U$5)),'Raw touched'!U183)</f>
        <v>81.199996949999999</v>
      </c>
    </row>
    <row r="184" spans="3:21" ht="13">
      <c r="C184" s="1" t="s">
        <v>304</v>
      </c>
      <c r="D184" s="1" t="s">
        <v>150</v>
      </c>
      <c r="E184" s="4" t="e">
        <f>IF(ISBLANK('Raw touched'!E184),((E$5*SLOPE('Raw touched'!$E184:$U184,$E$5:$U$5))+INTERCEPT('Raw touched'!$E184:$U184,$E$5:$U$5)),'Raw touched'!E184)</f>
        <v>#DIV/0!</v>
      </c>
      <c r="F184" s="4" t="e">
        <f>IF(ISBLANK('Raw touched'!F184),((F$5*SLOPE('Raw touched'!$E184:$U184,$E$5:$U$5))+INTERCEPT('Raw touched'!$E184:$U184,$E$5:$U$5)),'Raw touched'!F184)</f>
        <v>#DIV/0!</v>
      </c>
      <c r="G184" s="4" t="e">
        <f>IF(ISBLANK('Raw touched'!G184),((G$5*SLOPE('Raw touched'!$E184:$U184,$E$5:$U$5))+INTERCEPT('Raw touched'!$E184:$U184,$E$5:$U$5)),'Raw touched'!G184)</f>
        <v>#DIV/0!</v>
      </c>
      <c r="H184" s="4" t="e">
        <f>IF(ISBLANK('Raw touched'!H184),((H$5*SLOPE('Raw touched'!$E184:$U184,$E$5:$U$5))+INTERCEPT('Raw touched'!$E184:$U184,$E$5:$U$5)),'Raw touched'!H184)</f>
        <v>#DIV/0!</v>
      </c>
      <c r="I184" s="4" t="e">
        <f>IF(ISBLANK('Raw touched'!I184),((I$5*SLOPE('Raw touched'!$E184:$U184,$E$5:$U$5))+INTERCEPT('Raw touched'!$E184:$U184,$E$5:$U$5)),'Raw touched'!I184)</f>
        <v>#DIV/0!</v>
      </c>
      <c r="J184" s="4" t="e">
        <f>IF(ISBLANK('Raw touched'!J184),((J$5*SLOPE('Raw touched'!$E184:$U184,$E$5:$U$5))+INTERCEPT('Raw touched'!$E184:$U184,$E$5:$U$5)),'Raw touched'!J184)</f>
        <v>#DIV/0!</v>
      </c>
      <c r="K184" s="4" t="e">
        <f>IF(ISBLANK('Raw touched'!K184),((K$5*SLOPE('Raw touched'!$E184:$U184,$E$5:$U$5))+INTERCEPT('Raw touched'!$E184:$U184,$E$5:$U$5)),'Raw touched'!K184)</f>
        <v>#DIV/0!</v>
      </c>
      <c r="L184" s="4" t="e">
        <f>IF(ISBLANK('Raw touched'!L184),((L$5*SLOPE('Raw touched'!$E184:$U184,$E$5:$U$5))+INTERCEPT('Raw touched'!$E184:$U184,$E$5:$U$5)),'Raw touched'!L184)</f>
        <v>#DIV/0!</v>
      </c>
      <c r="M184" s="4" t="e">
        <f>IF(ISBLANK('Raw touched'!M184),((M$5*SLOPE('Raw touched'!$E184:$U184,$E$5:$U$5))+INTERCEPT('Raw touched'!$E184:$U184,$E$5:$U$5)),'Raw touched'!M184)</f>
        <v>#DIV/0!</v>
      </c>
      <c r="N184" s="4" t="e">
        <f>IF(ISBLANK('Raw touched'!N184),((N$5*SLOPE('Raw touched'!$E184:$U184,$E$5:$U$5))+INTERCEPT('Raw touched'!$E184:$U184,$E$5:$U$5)),'Raw touched'!N184)</f>
        <v>#DIV/0!</v>
      </c>
      <c r="O184" s="4" t="e">
        <f>IF(ISBLANK('Raw touched'!O184),((O$5*SLOPE('Raw touched'!$E184:$U184,$E$5:$U$5))+INTERCEPT('Raw touched'!$E184:$U184,$E$5:$U$5)),'Raw touched'!O184)</f>
        <v>#DIV/0!</v>
      </c>
      <c r="P184" s="4" t="e">
        <f>IF(ISBLANK('Raw touched'!P184),((P$5*SLOPE('Raw touched'!$E184:$U184,$E$5:$U$5))+INTERCEPT('Raw touched'!$E184:$U184,$E$5:$U$5)),'Raw touched'!P184)</f>
        <v>#DIV/0!</v>
      </c>
      <c r="Q184" s="4" t="e">
        <f>IF(ISBLANK('Raw touched'!Q184),((Q$5*SLOPE('Raw touched'!$E184:$U184,$E$5:$U$5))+INTERCEPT('Raw touched'!$E184:$U184,$E$5:$U$5)),'Raw touched'!Q184)</f>
        <v>#DIV/0!</v>
      </c>
      <c r="R184" s="4" t="e">
        <f>IF(ISBLANK('Raw touched'!R184),((R$5*SLOPE('Raw touched'!$E184:$U184,$E$5:$U$5))+INTERCEPT('Raw touched'!$E184:$U184,$E$5:$U$5)),'Raw touched'!R184)</f>
        <v>#DIV/0!</v>
      </c>
      <c r="S184" s="4" t="e">
        <f>IF(ISBLANK('Raw touched'!S184),((S$5*SLOPE('Raw touched'!$E184:$U184,$E$5:$U$5))+INTERCEPT('Raw touched'!$E184:$U184,$E$5:$U$5)),'Raw touched'!S184)</f>
        <v>#DIV/0!</v>
      </c>
      <c r="T184" s="4" t="e">
        <f>IF(ISBLANK('Raw touched'!T184),((T$5*SLOPE('Raw touched'!$E184:$U184,$E$5:$U$5))+INTERCEPT('Raw touched'!$E184:$U184,$E$5:$U$5)),'Raw touched'!T184)</f>
        <v>#DIV/0!</v>
      </c>
      <c r="U184" s="4" t="e">
        <f>IF(ISBLANK('Raw touched'!U184),((U$5*SLOPE('Raw touched'!$E184:$U184,$E$5:$U$5))+INTERCEPT('Raw touched'!$E184:$U184,$E$5:$U$5)),'Raw touched'!U184)</f>
        <v>#DIV/0!</v>
      </c>
    </row>
    <row r="185" spans="3:21" ht="13">
      <c r="C185" s="1" t="s">
        <v>78</v>
      </c>
      <c r="D185" s="1" t="s">
        <v>60</v>
      </c>
      <c r="E185" s="4">
        <f>IF(ISBLANK('Raw touched'!E185),((E$5*SLOPE('Raw touched'!$E185:$U185,$E$5:$U$5))+INTERCEPT('Raw touched'!$E185:$U185,$E$5:$U$5)),'Raw touched'!E185)</f>
        <v>28.52</v>
      </c>
      <c r="F185" s="4">
        <f>IF(ISBLANK('Raw touched'!F185),((F$5*SLOPE('Raw touched'!$E185:$U185,$E$5:$U$5))+INTERCEPT('Raw touched'!$E185:$U185,$E$5:$U$5)),'Raw touched'!F185)</f>
        <v>27.830000000000155</v>
      </c>
      <c r="G185" s="4">
        <f>IF(ISBLANK('Raw touched'!G185),((G$5*SLOPE('Raw touched'!$E185:$U185,$E$5:$U$5))+INTERCEPT('Raw touched'!$E185:$U185,$E$5:$U$5)),'Raw touched'!G185)</f>
        <v>27.1400000000001</v>
      </c>
      <c r="H185" s="4">
        <f>IF(ISBLANK('Raw touched'!H185),((H$5*SLOPE('Raw touched'!$E185:$U185,$E$5:$U$5))+INTERCEPT('Raw touched'!$E185:$U185,$E$5:$U$5)),'Raw touched'!H185)</f>
        <v>26.450000000000045</v>
      </c>
      <c r="I185" s="4">
        <f>IF(ISBLANK('Raw touched'!I185),((I$5*SLOPE('Raw touched'!$E185:$U185,$E$5:$U$5))+INTERCEPT('Raw touched'!$E185:$U185,$E$5:$U$5)),'Raw touched'!I185)</f>
        <v>25.759999999999991</v>
      </c>
      <c r="J185" s="4">
        <f>IF(ISBLANK('Raw touched'!J185),((J$5*SLOPE('Raw touched'!$E185:$U185,$E$5:$U$5))+INTERCEPT('Raw touched'!$E185:$U185,$E$5:$U$5)),'Raw touched'!J185)</f>
        <v>25.069999999999936</v>
      </c>
      <c r="K185" s="4">
        <f>IF(ISBLANK('Raw touched'!K185),((K$5*SLOPE('Raw touched'!$E185:$U185,$E$5:$U$5))+INTERCEPT('Raw touched'!$E185:$U185,$E$5:$U$5)),'Raw touched'!K185)</f>
        <v>24.380000000000109</v>
      </c>
      <c r="L185" s="4">
        <f>IF(ISBLANK('Raw touched'!L185),((L$5*SLOPE('Raw touched'!$E185:$U185,$E$5:$U$5))+INTERCEPT('Raw touched'!$E185:$U185,$E$5:$U$5)),'Raw touched'!L185)</f>
        <v>23.690000000000055</v>
      </c>
      <c r="M185" s="4">
        <f>IF(ISBLANK('Raw touched'!M185),((M$5*SLOPE('Raw touched'!$E185:$U185,$E$5:$U$5))+INTERCEPT('Raw touched'!$E185:$U185,$E$5:$U$5)),'Raw touched'!M185)</f>
        <v>23</v>
      </c>
      <c r="N185" s="4">
        <f>IF(ISBLANK('Raw touched'!N185),((N$5*SLOPE('Raw touched'!$E185:$U185,$E$5:$U$5))+INTERCEPT('Raw touched'!$E185:$U185,$E$5:$U$5)),'Raw touched'!N185)</f>
        <v>22.309999999999945</v>
      </c>
      <c r="O185" s="4">
        <f>IF(ISBLANK('Raw touched'!O185),((O$5*SLOPE('Raw touched'!$E185:$U185,$E$5:$U$5))+INTERCEPT('Raw touched'!$E185:$U185,$E$5:$U$5)),'Raw touched'!O185)</f>
        <v>21.620000000000118</v>
      </c>
      <c r="P185" s="4">
        <f>IF(ISBLANK('Raw touched'!P185),((P$5*SLOPE('Raw touched'!$E185:$U185,$E$5:$U$5))+INTERCEPT('Raw touched'!$E185:$U185,$E$5:$U$5)),'Raw touched'!P185)</f>
        <v>20.930000000000064</v>
      </c>
      <c r="Q185" s="4">
        <f>IF(ISBLANK('Raw touched'!Q185),((Q$5*SLOPE('Raw touched'!$E185:$U185,$E$5:$U$5))+INTERCEPT('Raw touched'!$E185:$U185,$E$5:$U$5)),'Raw touched'!Q185)</f>
        <v>20.240000000000009</v>
      </c>
      <c r="R185" s="4">
        <f>IF(ISBLANK('Raw touched'!R185),((R$5*SLOPE('Raw touched'!$E185:$U185,$E$5:$U$5))+INTERCEPT('Raw touched'!$E185:$U185,$E$5:$U$5)),'Raw touched'!R185)</f>
        <v>19.549999999999955</v>
      </c>
      <c r="S185" s="4">
        <f>IF(ISBLANK('Raw touched'!S185),((S$5*SLOPE('Raw touched'!$E185:$U185,$E$5:$U$5))+INTERCEPT('Raw touched'!$E185:$U185,$E$5:$U$5)),'Raw touched'!S185)</f>
        <v>18.860000000000127</v>
      </c>
      <c r="T185" s="4">
        <f>IF(ISBLANK('Raw touched'!T185),((T$5*SLOPE('Raw touched'!$E185:$U185,$E$5:$U$5))+INTERCEPT('Raw touched'!$E185:$U185,$E$5:$U$5)),'Raw touched'!T185)</f>
        <v>18.170000000000073</v>
      </c>
      <c r="U185" s="4">
        <f>IF(ISBLANK('Raw touched'!U185),((U$5*SLOPE('Raw touched'!$E185:$U185,$E$5:$U$5))+INTERCEPT('Raw touched'!$E185:$U185,$E$5:$U$5)),'Raw touched'!U185)</f>
        <v>17.480000000000018</v>
      </c>
    </row>
    <row r="186" spans="3:21" ht="13">
      <c r="C186" s="1" t="s">
        <v>221</v>
      </c>
      <c r="D186" s="1" t="s">
        <v>35</v>
      </c>
      <c r="E186" s="4">
        <f>IF(ISBLANK('Raw touched'!E186),((E$5*SLOPE('Raw touched'!$E186:$U186,$E$5:$U$5))+INTERCEPT('Raw touched'!$E186:$U186,$E$5:$U$5)),'Raw touched'!E186)</f>
        <v>94.800003050000001</v>
      </c>
      <c r="F186" s="4">
        <f>IF(ISBLANK('Raw touched'!F186),((F$5*SLOPE('Raw touched'!$E186:$U186,$E$5:$U$5))+INTERCEPT('Raw touched'!$E186:$U186,$E$5:$U$5)),'Raw touched'!F186)</f>
        <v>95</v>
      </c>
      <c r="G186" s="4">
        <f>IF(ISBLANK('Raw touched'!G186),((G$5*SLOPE('Raw touched'!$E186:$U186,$E$5:$U$5))+INTERCEPT('Raw touched'!$E186:$U186,$E$5:$U$5)),'Raw touched'!G186)</f>
        <v>95</v>
      </c>
      <c r="H186" s="4">
        <f>IF(ISBLANK('Raw touched'!H186),((H$5*SLOPE('Raw touched'!$E186:$U186,$E$5:$U$5))+INTERCEPT('Raw touched'!$E186:$U186,$E$5:$U$5)),'Raw touched'!H186)</f>
        <v>96.5</v>
      </c>
      <c r="I186" s="4">
        <f>IF(ISBLANK('Raw touched'!I186),((I$5*SLOPE('Raw touched'!$E186:$U186,$E$5:$U$5))+INTERCEPT('Raw touched'!$E186:$U186,$E$5:$U$5)),'Raw touched'!I186)</f>
        <v>96.599998470000003</v>
      </c>
      <c r="J186" s="4">
        <f>IF(ISBLANK('Raw touched'!J186),((J$5*SLOPE('Raw touched'!$E186:$U186,$E$5:$U$5))+INTERCEPT('Raw touched'!$E186:$U186,$E$5:$U$5)),'Raw touched'!J186)</f>
        <v>96.699996949999999</v>
      </c>
      <c r="K186" s="4">
        <f>IF(ISBLANK('Raw touched'!K186),((K$5*SLOPE('Raw touched'!$E186:$U186,$E$5:$U$5))+INTERCEPT('Raw touched'!$E186:$U186,$E$5:$U$5)),'Raw touched'!K186)</f>
        <v>96.699996949999999</v>
      </c>
      <c r="L186" s="4">
        <f>IF(ISBLANK('Raw touched'!L186),((L$5*SLOPE('Raw touched'!$E186:$U186,$E$5:$U$5))+INTERCEPT('Raw touched'!$E186:$U186,$E$5:$U$5)),'Raw touched'!L186)</f>
        <v>96.800003050000001</v>
      </c>
      <c r="M186" s="4">
        <f>IF(ISBLANK('Raw touched'!M186),((M$5*SLOPE('Raw touched'!$E186:$U186,$E$5:$U$5))+INTERCEPT('Raw touched'!$E186:$U186,$E$5:$U$5)),'Raw touched'!M186)</f>
        <v>96.400001529999997</v>
      </c>
      <c r="N186" s="4">
        <f>IF(ISBLANK('Raw touched'!N186),((N$5*SLOPE('Raw touched'!$E186:$U186,$E$5:$U$5))+INTERCEPT('Raw touched'!$E186:$U186,$E$5:$U$5)),'Raw touched'!N186)</f>
        <v>97.199996949999999</v>
      </c>
      <c r="O186" s="4">
        <f>IF(ISBLANK('Raw touched'!O186),((O$5*SLOPE('Raw touched'!$E186:$U186,$E$5:$U$5))+INTERCEPT('Raw touched'!$E186:$U186,$E$5:$U$5)),'Raw touched'!O186)</f>
        <v>97.41999817</v>
      </c>
      <c r="P186" s="4">
        <f>IF(ISBLANK('Raw touched'!P186),((P$5*SLOPE('Raw touched'!$E186:$U186,$E$5:$U$5))+INTERCEPT('Raw touched'!$E186:$U186,$E$5:$U$5)),'Raw touched'!P186)</f>
        <v>97.664750690000005</v>
      </c>
      <c r="Q186" s="4">
        <f>IF(ISBLANK('Raw touched'!Q186),((Q$5*SLOPE('Raw touched'!$E186:$U186,$E$5:$U$5))+INTERCEPT('Raw touched'!$E186:$U186,$E$5:$U$5)),'Raw touched'!Q186)</f>
        <v>97.751177530000007</v>
      </c>
      <c r="R186" s="4">
        <f>IF(ISBLANK('Raw touched'!R186),((R$5*SLOPE('Raw touched'!$E186:$U186,$E$5:$U$5))+INTERCEPT('Raw touched'!$E186:$U186,$E$5:$U$5)),'Raw touched'!R186)</f>
        <v>97.81</v>
      </c>
      <c r="S186" s="4">
        <f>IF(ISBLANK('Raw touched'!S186),((S$5*SLOPE('Raw touched'!$E186:$U186,$E$5:$U$5))+INTERCEPT('Raw touched'!$E186:$U186,$E$5:$U$5)),'Raw touched'!S186)</f>
        <v>98.277714339999989</v>
      </c>
      <c r="T186" s="4">
        <f>IF(ISBLANK('Raw touched'!T186),((T$5*SLOPE('Raw touched'!$E186:$U186,$E$5:$U$5))+INTERCEPT('Raw touched'!$E186:$U186,$E$5:$U$5)),'Raw touched'!T186)</f>
        <v>98.501924601142832</v>
      </c>
      <c r="U186" s="4">
        <f>IF(ISBLANK('Raw touched'!U186),((U$5*SLOPE('Raw touched'!$E186:$U186,$E$5:$U$5))+INTERCEPT('Raw touched'!$E186:$U186,$E$5:$U$5)),'Raw touched'!U186)</f>
        <v>98.726134862285676</v>
      </c>
    </row>
    <row r="187" spans="3:21" ht="13">
      <c r="C187" s="1" t="s">
        <v>10</v>
      </c>
      <c r="D187" s="1" t="s">
        <v>336</v>
      </c>
      <c r="E187" s="4">
        <f>IF(ISBLANK('Raw touched'!E187),((E$5*SLOPE('Raw touched'!$E187:$U187,$E$5:$U$5))+INTERCEPT('Raw touched'!$E187:$U187,$E$5:$U$5)),'Raw touched'!E187)</f>
        <v>100</v>
      </c>
      <c r="F187" s="4">
        <f>IF(ISBLANK('Raw touched'!F187),((F$5*SLOPE('Raw touched'!$E187:$U187,$E$5:$U$5))+INTERCEPT('Raw touched'!$E187:$U187,$E$5:$U$5)),'Raw touched'!F187)</f>
        <v>100</v>
      </c>
      <c r="G187" s="4">
        <f>IF(ISBLANK('Raw touched'!G187),((G$5*SLOPE('Raw touched'!$E187:$U187,$E$5:$U$5))+INTERCEPT('Raw touched'!$E187:$U187,$E$5:$U$5)),'Raw touched'!G187)</f>
        <v>100</v>
      </c>
      <c r="H187" s="4">
        <f>IF(ISBLANK('Raw touched'!H187),((H$5*SLOPE('Raw touched'!$E187:$U187,$E$5:$U$5))+INTERCEPT('Raw touched'!$E187:$U187,$E$5:$U$5)),'Raw touched'!H187)</f>
        <v>100</v>
      </c>
      <c r="I187" s="4">
        <f>IF(ISBLANK('Raw touched'!I187),((I$5*SLOPE('Raw touched'!$E187:$U187,$E$5:$U$5))+INTERCEPT('Raw touched'!$E187:$U187,$E$5:$U$5)),'Raw touched'!I187)</f>
        <v>100</v>
      </c>
      <c r="J187" s="4">
        <f>IF(ISBLANK('Raw touched'!J187),((J$5*SLOPE('Raw touched'!$E187:$U187,$E$5:$U$5))+INTERCEPT('Raw touched'!$E187:$U187,$E$5:$U$5)),'Raw touched'!J187)</f>
        <v>100</v>
      </c>
      <c r="K187" s="4">
        <f>IF(ISBLANK('Raw touched'!K187),((K$5*SLOPE('Raw touched'!$E187:$U187,$E$5:$U$5))+INTERCEPT('Raw touched'!$E187:$U187,$E$5:$U$5)),'Raw touched'!K187)</f>
        <v>100</v>
      </c>
      <c r="L187" s="4">
        <f>IF(ISBLANK('Raw touched'!L187),((L$5*SLOPE('Raw touched'!$E187:$U187,$E$5:$U$5))+INTERCEPT('Raw touched'!$E187:$U187,$E$5:$U$5)),'Raw touched'!L187)</f>
        <v>100</v>
      </c>
      <c r="M187" s="4">
        <f>IF(ISBLANK('Raw touched'!M187),((M$5*SLOPE('Raw touched'!$E187:$U187,$E$5:$U$5))+INTERCEPT('Raw touched'!$E187:$U187,$E$5:$U$5)),'Raw touched'!M187)</f>
        <v>100</v>
      </c>
      <c r="N187" s="4">
        <f>IF(ISBLANK('Raw touched'!N187),((N$5*SLOPE('Raw touched'!$E187:$U187,$E$5:$U$5))+INTERCEPT('Raw touched'!$E187:$U187,$E$5:$U$5)),'Raw touched'!N187)</f>
        <v>100</v>
      </c>
      <c r="O187" s="4">
        <f>IF(ISBLANK('Raw touched'!O187),((O$5*SLOPE('Raw touched'!$E187:$U187,$E$5:$U$5))+INTERCEPT('Raw touched'!$E187:$U187,$E$5:$U$5)),'Raw touched'!O187)</f>
        <v>100</v>
      </c>
      <c r="P187" s="4">
        <f>IF(ISBLANK('Raw touched'!P187),((P$5*SLOPE('Raw touched'!$E187:$U187,$E$5:$U$5))+INTERCEPT('Raw touched'!$E187:$U187,$E$5:$U$5)),'Raw touched'!P187)</f>
        <v>100</v>
      </c>
      <c r="Q187" s="4">
        <f>IF(ISBLANK('Raw touched'!Q187),((Q$5*SLOPE('Raw touched'!$E187:$U187,$E$5:$U$5))+INTERCEPT('Raw touched'!$E187:$U187,$E$5:$U$5)),'Raw touched'!Q187)</f>
        <v>100</v>
      </c>
      <c r="R187" s="4">
        <f>IF(ISBLANK('Raw touched'!R187),((R$5*SLOPE('Raw touched'!$E187:$U187,$E$5:$U$5))+INTERCEPT('Raw touched'!$E187:$U187,$E$5:$U$5)),'Raw touched'!R187)</f>
        <v>100</v>
      </c>
      <c r="S187" s="4">
        <f>IF(ISBLANK('Raw touched'!S187),((S$5*SLOPE('Raw touched'!$E187:$U187,$E$5:$U$5))+INTERCEPT('Raw touched'!$E187:$U187,$E$5:$U$5)),'Raw touched'!S187)</f>
        <v>100</v>
      </c>
      <c r="T187" s="4">
        <f>IF(ISBLANK('Raw touched'!T187),((T$5*SLOPE('Raw touched'!$E187:$U187,$E$5:$U$5))+INTERCEPT('Raw touched'!$E187:$U187,$E$5:$U$5)),'Raw touched'!T187)</f>
        <v>100</v>
      </c>
      <c r="U187" s="4">
        <f>IF(ISBLANK('Raw touched'!U187),((U$5*SLOPE('Raw touched'!$E187:$U187,$E$5:$U$5))+INTERCEPT('Raw touched'!$E187:$U187,$E$5:$U$5)),'Raw touched'!U187)</f>
        <v>100</v>
      </c>
    </row>
    <row r="188" spans="3:21" ht="13">
      <c r="C188" s="1" t="s">
        <v>157</v>
      </c>
      <c r="D188" s="1" t="s">
        <v>166</v>
      </c>
      <c r="E188" s="4">
        <f>IF(ISBLANK('Raw touched'!E188),((E$5*SLOPE('Raw touched'!$E188:$U188,$E$5:$U$5))+INTERCEPT('Raw touched'!$E188:$U188,$E$5:$U$5)),'Raw touched'!E188)</f>
        <v>100</v>
      </c>
      <c r="F188" s="4">
        <f>IF(ISBLANK('Raw touched'!F188),((F$5*SLOPE('Raw touched'!$E188:$U188,$E$5:$U$5))+INTERCEPT('Raw touched'!$E188:$U188,$E$5:$U$5)),'Raw touched'!F188)</f>
        <v>100</v>
      </c>
      <c r="G188" s="4">
        <f>IF(ISBLANK('Raw touched'!G188),((G$5*SLOPE('Raw touched'!$E188:$U188,$E$5:$U$5))+INTERCEPT('Raw touched'!$E188:$U188,$E$5:$U$5)),'Raw touched'!G188)</f>
        <v>100</v>
      </c>
      <c r="H188" s="4">
        <f>IF(ISBLANK('Raw touched'!H188),((H$5*SLOPE('Raw touched'!$E188:$U188,$E$5:$U$5))+INTERCEPT('Raw touched'!$E188:$U188,$E$5:$U$5)),'Raw touched'!H188)</f>
        <v>100</v>
      </c>
      <c r="I188" s="4">
        <f>IF(ISBLANK('Raw touched'!I188),((I$5*SLOPE('Raw touched'!$E188:$U188,$E$5:$U$5))+INTERCEPT('Raw touched'!$E188:$U188,$E$5:$U$5)),'Raw touched'!I188)</f>
        <v>100</v>
      </c>
      <c r="J188" s="4">
        <f>IF(ISBLANK('Raw touched'!J188),((J$5*SLOPE('Raw touched'!$E188:$U188,$E$5:$U$5))+INTERCEPT('Raw touched'!$E188:$U188,$E$5:$U$5)),'Raw touched'!J188)</f>
        <v>100</v>
      </c>
      <c r="K188" s="4">
        <f>IF(ISBLANK('Raw touched'!K188),((K$5*SLOPE('Raw touched'!$E188:$U188,$E$5:$U$5))+INTERCEPT('Raw touched'!$E188:$U188,$E$5:$U$5)),'Raw touched'!K188)</f>
        <v>100</v>
      </c>
      <c r="L188" s="4">
        <f>IF(ISBLANK('Raw touched'!L188),((L$5*SLOPE('Raw touched'!$E188:$U188,$E$5:$U$5))+INTERCEPT('Raw touched'!$E188:$U188,$E$5:$U$5)),'Raw touched'!L188)</f>
        <v>100</v>
      </c>
      <c r="M188" s="4">
        <f>IF(ISBLANK('Raw touched'!M188),((M$5*SLOPE('Raw touched'!$E188:$U188,$E$5:$U$5))+INTERCEPT('Raw touched'!$E188:$U188,$E$5:$U$5)),'Raw touched'!M188)</f>
        <v>100</v>
      </c>
      <c r="N188" s="4">
        <f>IF(ISBLANK('Raw touched'!N188),((N$5*SLOPE('Raw touched'!$E188:$U188,$E$5:$U$5))+INTERCEPT('Raw touched'!$E188:$U188,$E$5:$U$5)),'Raw touched'!N188)</f>
        <v>100</v>
      </c>
      <c r="O188" s="4">
        <f>IF(ISBLANK('Raw touched'!O188),((O$5*SLOPE('Raw touched'!$E188:$U188,$E$5:$U$5))+INTERCEPT('Raw touched'!$E188:$U188,$E$5:$U$5)),'Raw touched'!O188)</f>
        <v>100</v>
      </c>
      <c r="P188" s="4">
        <f>IF(ISBLANK('Raw touched'!P188),((P$5*SLOPE('Raw touched'!$E188:$U188,$E$5:$U$5))+INTERCEPT('Raw touched'!$E188:$U188,$E$5:$U$5)),'Raw touched'!P188)</f>
        <v>100</v>
      </c>
      <c r="Q188" s="4">
        <f>IF(ISBLANK('Raw touched'!Q188),((Q$5*SLOPE('Raw touched'!$E188:$U188,$E$5:$U$5))+INTERCEPT('Raw touched'!$E188:$U188,$E$5:$U$5)),'Raw touched'!Q188)</f>
        <v>100</v>
      </c>
      <c r="R188" s="4">
        <f>IF(ISBLANK('Raw touched'!R188),((R$5*SLOPE('Raw touched'!$E188:$U188,$E$5:$U$5))+INTERCEPT('Raw touched'!$E188:$U188,$E$5:$U$5)),'Raw touched'!R188)</f>
        <v>100</v>
      </c>
      <c r="S188" s="4">
        <f>IF(ISBLANK('Raw touched'!S188),((S$5*SLOPE('Raw touched'!$E188:$U188,$E$5:$U$5))+INTERCEPT('Raw touched'!$E188:$U188,$E$5:$U$5)),'Raw touched'!S188)</f>
        <v>100</v>
      </c>
      <c r="T188" s="4">
        <f>IF(ISBLANK('Raw touched'!T188),((T$5*SLOPE('Raw touched'!$E188:$U188,$E$5:$U$5))+INTERCEPT('Raw touched'!$E188:$U188,$E$5:$U$5)),'Raw touched'!T188)</f>
        <v>100</v>
      </c>
      <c r="U188" s="4">
        <f>IF(ISBLANK('Raw touched'!U188),((U$5*SLOPE('Raw touched'!$E188:$U188,$E$5:$U$5))+INTERCEPT('Raw touched'!$E188:$U188,$E$5:$U$5)),'Raw touched'!U188)</f>
        <v>100</v>
      </c>
    </row>
    <row r="189" spans="3:21" ht="13">
      <c r="C189" s="1" t="s">
        <v>332</v>
      </c>
      <c r="D189" s="1" t="s">
        <v>311</v>
      </c>
      <c r="E189" s="4">
        <f>IF(ISBLANK('Raw touched'!E189),((E$5*SLOPE('Raw touched'!$E189:$U189,$E$5:$U$5))+INTERCEPT('Raw touched'!$E189:$U189,$E$5:$U$5)),'Raw touched'!E189)</f>
        <v>63.264411951395346</v>
      </c>
      <c r="F189" s="4">
        <f>IF(ISBLANK('Raw touched'!F189),((F$5*SLOPE('Raw touched'!$E189:$U189,$E$5:$U$5))+INTERCEPT('Raw touched'!$E189:$U189,$E$5:$U$5)),'Raw touched'!F189)</f>
        <v>63.499179903953461</v>
      </c>
      <c r="G189" s="4">
        <f>IF(ISBLANK('Raw touched'!G189),((G$5*SLOPE('Raw touched'!$E189:$U189,$E$5:$U$5))+INTERCEPT('Raw touched'!$E189:$U189,$E$5:$U$5)),'Raw touched'!G189)</f>
        <v>63.733947856511634</v>
      </c>
      <c r="H189" s="4">
        <f>IF(ISBLANK('Raw touched'!H189),((H$5*SLOPE('Raw touched'!$E189:$U189,$E$5:$U$5))+INTERCEPT('Raw touched'!$E189:$U189,$E$5:$U$5)),'Raw touched'!H189)</f>
        <v>63.968715809069749</v>
      </c>
      <c r="I189" s="4">
        <f>IF(ISBLANK('Raw touched'!I189),((I$5*SLOPE('Raw touched'!$E189:$U189,$E$5:$U$5))+INTERCEPT('Raw touched'!$E189:$U189,$E$5:$U$5)),'Raw touched'!I189)</f>
        <v>64.203483761627865</v>
      </c>
      <c r="J189" s="4">
        <f>IF(ISBLANK('Raw touched'!J189),((J$5*SLOPE('Raw touched'!$E189:$U189,$E$5:$U$5))+INTERCEPT('Raw touched'!$E189:$U189,$E$5:$U$5)),'Raw touched'!J189)</f>
        <v>64.438251714186038</v>
      </c>
      <c r="K189" s="4">
        <f>IF(ISBLANK('Raw touched'!K189),((K$5*SLOPE('Raw touched'!$E189:$U189,$E$5:$U$5))+INTERCEPT('Raw touched'!$E189:$U189,$E$5:$U$5)),'Raw touched'!K189)</f>
        <v>64.673019666744153</v>
      </c>
      <c r="L189" s="4">
        <f>IF(ISBLANK('Raw touched'!L189),((L$5*SLOPE('Raw touched'!$E189:$U189,$E$5:$U$5))+INTERCEPT('Raw touched'!$E189:$U189,$E$5:$U$5)),'Raw touched'!L189)</f>
        <v>64.907787619302326</v>
      </c>
      <c r="M189" s="4">
        <f>IF(ISBLANK('Raw touched'!M189),((M$5*SLOPE('Raw touched'!$E189:$U189,$E$5:$U$5))+INTERCEPT('Raw touched'!$E189:$U189,$E$5:$U$5)),'Raw touched'!M189)</f>
        <v>66.199996949999999</v>
      </c>
      <c r="N189" s="4">
        <f>IF(ISBLANK('Raw touched'!N189),((N$5*SLOPE('Raw touched'!$E189:$U189,$E$5:$U$5))+INTERCEPT('Raw touched'!$E189:$U189,$E$5:$U$5)),'Raw touched'!N189)</f>
        <v>64.5</v>
      </c>
      <c r="O189" s="4">
        <f>IF(ISBLANK('Raw touched'!O189),((O$5*SLOPE('Raw touched'!$E189:$U189,$E$5:$U$5))+INTERCEPT('Raw touched'!$E189:$U189,$E$5:$U$5)),'Raw touched'!O189)</f>
        <v>65.339996339999999</v>
      </c>
      <c r="P189" s="4">
        <f>IF(ISBLANK('Raw touched'!P189),((P$5*SLOPE('Raw touched'!$E189:$U189,$E$5:$U$5))+INTERCEPT('Raw touched'!$E189:$U189,$E$5:$U$5)),'Raw touched'!P189)</f>
        <v>65.846859429534902</v>
      </c>
      <c r="Q189" s="4">
        <f>IF(ISBLANK('Raw touched'!Q189),((Q$5*SLOPE('Raw touched'!$E189:$U189,$E$5:$U$5))+INTERCEPT('Raw touched'!$E189:$U189,$E$5:$U$5)),'Raw touched'!Q189)</f>
        <v>65.12</v>
      </c>
      <c r="R189" s="4">
        <f>IF(ISBLANK('Raw touched'!R189),((R$5*SLOPE('Raw touched'!$E189:$U189,$E$5:$U$5))+INTERCEPT('Raw touched'!$E189:$U189,$E$5:$U$5)),'Raw touched'!R189)</f>
        <v>67.37</v>
      </c>
      <c r="S189" s="4">
        <f>IF(ISBLANK('Raw touched'!S189),((S$5*SLOPE('Raw touched'!$E189:$U189,$E$5:$U$5))+INTERCEPT('Raw touched'!$E189:$U189,$E$5:$U$5)),'Raw touched'!S189)</f>
        <v>66.551163287209306</v>
      </c>
      <c r="T189" s="4">
        <f>IF(ISBLANK('Raw touched'!T189),((T$5*SLOPE('Raw touched'!$E189:$U189,$E$5:$U$5))+INTERCEPT('Raw touched'!$E189:$U189,$E$5:$U$5)),'Raw touched'!T189)</f>
        <v>66.785931239767422</v>
      </c>
      <c r="U189" s="4">
        <f>IF(ISBLANK('Raw touched'!U189),((U$5*SLOPE('Raw touched'!$E189:$U189,$E$5:$U$5))+INTERCEPT('Raw touched'!$E189:$U189,$E$5:$U$5)),'Raw touched'!U189)</f>
        <v>67.020699192325594</v>
      </c>
    </row>
    <row r="190" spans="3:21" ht="13">
      <c r="C190" s="1" t="s">
        <v>318</v>
      </c>
      <c r="D190" s="1" t="s">
        <v>144</v>
      </c>
      <c r="E190" s="4" t="e">
        <f>IF(ISBLANK('Raw touched'!E190),((E$5*SLOPE('Raw touched'!$E190:$U190,$E$5:$U$5))+INTERCEPT('Raw touched'!$E190:$U190,$E$5:$U$5)),'Raw touched'!E190)</f>
        <v>#DIV/0!</v>
      </c>
      <c r="F190" s="4" t="e">
        <f>IF(ISBLANK('Raw touched'!F190),((F$5*SLOPE('Raw touched'!$E190:$U190,$E$5:$U$5))+INTERCEPT('Raw touched'!$E190:$U190,$E$5:$U$5)),'Raw touched'!F190)</f>
        <v>#DIV/0!</v>
      </c>
      <c r="G190" s="4" t="e">
        <f>IF(ISBLANK('Raw touched'!G190),((G$5*SLOPE('Raw touched'!$E190:$U190,$E$5:$U$5))+INTERCEPT('Raw touched'!$E190:$U190,$E$5:$U$5)),'Raw touched'!G190)</f>
        <v>#DIV/0!</v>
      </c>
      <c r="H190" s="4" t="e">
        <f>IF(ISBLANK('Raw touched'!H190),((H$5*SLOPE('Raw touched'!$E190:$U190,$E$5:$U$5))+INTERCEPT('Raw touched'!$E190:$U190,$E$5:$U$5)),'Raw touched'!H190)</f>
        <v>#DIV/0!</v>
      </c>
      <c r="I190" s="4" t="e">
        <f>IF(ISBLANK('Raw touched'!I190),((I$5*SLOPE('Raw touched'!$E190:$U190,$E$5:$U$5))+INTERCEPT('Raw touched'!$E190:$U190,$E$5:$U$5)),'Raw touched'!I190)</f>
        <v>#DIV/0!</v>
      </c>
      <c r="J190" s="4" t="e">
        <f>IF(ISBLANK('Raw touched'!J190),((J$5*SLOPE('Raw touched'!$E190:$U190,$E$5:$U$5))+INTERCEPT('Raw touched'!$E190:$U190,$E$5:$U$5)),'Raw touched'!J190)</f>
        <v>#DIV/0!</v>
      </c>
      <c r="K190" s="4" t="e">
        <f>IF(ISBLANK('Raw touched'!K190),((K$5*SLOPE('Raw touched'!$E190:$U190,$E$5:$U$5))+INTERCEPT('Raw touched'!$E190:$U190,$E$5:$U$5)),'Raw touched'!K190)</f>
        <v>#DIV/0!</v>
      </c>
      <c r="L190" s="4" t="e">
        <f>IF(ISBLANK('Raw touched'!L190),((L$5*SLOPE('Raw touched'!$E190:$U190,$E$5:$U$5))+INTERCEPT('Raw touched'!$E190:$U190,$E$5:$U$5)),'Raw touched'!L190)</f>
        <v>#DIV/0!</v>
      </c>
      <c r="M190" s="4" t="e">
        <f>IF(ISBLANK('Raw touched'!M190),((M$5*SLOPE('Raw touched'!$E190:$U190,$E$5:$U$5))+INTERCEPT('Raw touched'!$E190:$U190,$E$5:$U$5)),'Raw touched'!M190)</f>
        <v>#DIV/0!</v>
      </c>
      <c r="N190" s="4" t="e">
        <f>IF(ISBLANK('Raw touched'!N190),((N$5*SLOPE('Raw touched'!$E190:$U190,$E$5:$U$5))+INTERCEPT('Raw touched'!$E190:$U190,$E$5:$U$5)),'Raw touched'!N190)</f>
        <v>#DIV/0!</v>
      </c>
      <c r="O190" s="4" t="e">
        <f>IF(ISBLANK('Raw touched'!O190),((O$5*SLOPE('Raw touched'!$E190:$U190,$E$5:$U$5))+INTERCEPT('Raw touched'!$E190:$U190,$E$5:$U$5)),'Raw touched'!O190)</f>
        <v>#DIV/0!</v>
      </c>
      <c r="P190" s="4" t="e">
        <f>IF(ISBLANK('Raw touched'!P190),((P$5*SLOPE('Raw touched'!$E190:$U190,$E$5:$U$5))+INTERCEPT('Raw touched'!$E190:$U190,$E$5:$U$5)),'Raw touched'!P190)</f>
        <v>#DIV/0!</v>
      </c>
      <c r="Q190" s="4" t="e">
        <f>IF(ISBLANK('Raw touched'!Q190),((Q$5*SLOPE('Raw touched'!$E190:$U190,$E$5:$U$5))+INTERCEPT('Raw touched'!$E190:$U190,$E$5:$U$5)),'Raw touched'!Q190)</f>
        <v>#DIV/0!</v>
      </c>
      <c r="R190" s="4" t="e">
        <f>IF(ISBLANK('Raw touched'!R190),((R$5*SLOPE('Raw touched'!$E190:$U190,$E$5:$U$5))+INTERCEPT('Raw touched'!$E190:$U190,$E$5:$U$5)),'Raw touched'!R190)</f>
        <v>#DIV/0!</v>
      </c>
      <c r="S190" s="4" t="e">
        <f>IF(ISBLANK('Raw touched'!S190),((S$5*SLOPE('Raw touched'!$E190:$U190,$E$5:$U$5))+INTERCEPT('Raw touched'!$E190:$U190,$E$5:$U$5)),'Raw touched'!S190)</f>
        <v>#DIV/0!</v>
      </c>
      <c r="T190" s="4" t="e">
        <f>IF(ISBLANK('Raw touched'!T190),((T$5*SLOPE('Raw touched'!$E190:$U190,$E$5:$U$5))+INTERCEPT('Raw touched'!$E190:$U190,$E$5:$U$5)),'Raw touched'!T190)</f>
        <v>#DIV/0!</v>
      </c>
      <c r="U190" s="4" t="e">
        <f>IF(ISBLANK('Raw touched'!U190),((U$5*SLOPE('Raw touched'!$E190:$U190,$E$5:$U$5))+INTERCEPT('Raw touched'!$E190:$U190,$E$5:$U$5)),'Raw touched'!U190)</f>
        <v>#DIV/0!</v>
      </c>
    </row>
    <row r="191" spans="3:21" ht="13">
      <c r="C191" s="1" t="s">
        <v>7</v>
      </c>
      <c r="D191" s="1" t="s">
        <v>12</v>
      </c>
      <c r="E191" s="4">
        <f>IF(ISBLANK('Raw touched'!E191),((E$5*SLOPE('Raw touched'!$E191:$U191,$E$5:$U$5))+INTERCEPT('Raw touched'!$E191:$U191,$E$5:$U$5)),'Raw touched'!E191)</f>
        <v>87.199996949999999</v>
      </c>
      <c r="F191" s="4">
        <f>IF(ISBLANK('Raw touched'!F191),((F$5*SLOPE('Raw touched'!$E191:$U191,$E$5:$U$5))+INTERCEPT('Raw touched'!$E191:$U191,$E$5:$U$5)),'Raw touched'!F191)</f>
        <v>87.300003050000001</v>
      </c>
      <c r="G191" s="4">
        <f>IF(ISBLANK('Raw touched'!G191),((G$5*SLOPE('Raw touched'!$E191:$U191,$E$5:$U$5))+INTERCEPT('Raw touched'!$E191:$U191,$E$5:$U$5)),'Raw touched'!G191)</f>
        <v>87.269566410869572</v>
      </c>
      <c r="H191" s="4">
        <f>IF(ISBLANK('Raw touched'!H191),((H$5*SLOPE('Raw touched'!$E191:$U191,$E$5:$U$5))+INTERCEPT('Raw touched'!$E191:$U191,$E$5:$U$5)),'Raw touched'!H191)</f>
        <v>87.300003050000001</v>
      </c>
      <c r="I191" s="4">
        <f>IF(ISBLANK('Raw touched'!I191),((I$5*SLOPE('Raw touched'!$E191:$U191,$E$5:$U$5))+INTERCEPT('Raw touched'!$E191:$U191,$E$5:$U$5)),'Raw touched'!I191)</f>
        <v>87.300003050000001</v>
      </c>
      <c r="J191" s="4">
        <f>IF(ISBLANK('Raw touched'!J191),((J$5*SLOPE('Raw touched'!$E191:$U191,$E$5:$U$5))+INTERCEPT('Raw touched'!$E191:$U191,$E$5:$U$5)),'Raw touched'!J191)</f>
        <v>87.300003050000001</v>
      </c>
      <c r="K191" s="4">
        <f>IF(ISBLANK('Raw touched'!K191),((K$5*SLOPE('Raw touched'!$E191:$U191,$E$5:$U$5))+INTERCEPT('Raw touched'!$E191:$U191,$E$5:$U$5)),'Raw touched'!K191)</f>
        <v>87.300003050000001</v>
      </c>
      <c r="L191" s="4">
        <f>IF(ISBLANK('Raw touched'!L191),((L$5*SLOPE('Raw touched'!$E191:$U191,$E$5:$U$5))+INTERCEPT('Raw touched'!$E191:$U191,$E$5:$U$5)),'Raw touched'!L191)</f>
        <v>87.328576221428577</v>
      </c>
      <c r="M191" s="4">
        <f>IF(ISBLANK('Raw touched'!M191),((M$5*SLOPE('Raw touched'!$E191:$U191,$E$5:$U$5))+INTERCEPT('Raw touched'!$E191:$U191,$E$5:$U$5)),'Raw touched'!M191)</f>
        <v>87.340378183540366</v>
      </c>
      <c r="N191" s="4">
        <f>IF(ISBLANK('Raw touched'!N191),((N$5*SLOPE('Raw touched'!$E191:$U191,$E$5:$U$5))+INTERCEPT('Raw touched'!$E191:$U191,$E$5:$U$5)),'Raw touched'!N191)</f>
        <v>87.35218014565217</v>
      </c>
      <c r="O191" s="4">
        <f>IF(ISBLANK('Raw touched'!O191),((O$5*SLOPE('Raw touched'!$E191:$U191,$E$5:$U$5))+INTERCEPT('Raw touched'!$E191:$U191,$E$5:$U$5)),'Raw touched'!O191)</f>
        <v>87.363982107763974</v>
      </c>
      <c r="P191" s="4">
        <f>IF(ISBLANK('Raw touched'!P191),((P$5*SLOPE('Raw touched'!$E191:$U191,$E$5:$U$5))+INTERCEPT('Raw touched'!$E191:$U191,$E$5:$U$5)),'Raw touched'!P191)</f>
        <v>87.375784069875778</v>
      </c>
      <c r="Q191" s="4">
        <f>IF(ISBLANK('Raw touched'!Q191),((Q$5*SLOPE('Raw touched'!$E191:$U191,$E$5:$U$5))+INTERCEPT('Raw touched'!$E191:$U191,$E$5:$U$5)),'Raw touched'!Q191)</f>
        <v>87.387586031987581</v>
      </c>
      <c r="R191" s="4">
        <f>IF(ISBLANK('Raw touched'!R191),((R$5*SLOPE('Raw touched'!$E191:$U191,$E$5:$U$5))+INTERCEPT('Raw touched'!$E191:$U191,$E$5:$U$5)),'Raw touched'!R191)</f>
        <v>87.399387994099385</v>
      </c>
      <c r="S191" s="4">
        <f>IF(ISBLANK('Raw touched'!S191),((S$5*SLOPE('Raw touched'!$E191:$U191,$E$5:$U$5))+INTERCEPT('Raw touched'!$E191:$U191,$E$5:$U$5)),'Raw touched'!S191)</f>
        <v>87.411189956211189</v>
      </c>
      <c r="T191" s="4">
        <f>IF(ISBLANK('Raw touched'!T191),((T$5*SLOPE('Raw touched'!$E191:$U191,$E$5:$U$5))+INTERCEPT('Raw touched'!$E191:$U191,$E$5:$U$5)),'Raw touched'!T191)</f>
        <v>87.422991918322992</v>
      </c>
      <c r="U191" s="4">
        <f>IF(ISBLANK('Raw touched'!U191),((U$5*SLOPE('Raw touched'!$E191:$U191,$E$5:$U$5))+INTERCEPT('Raw touched'!$E191:$U191,$E$5:$U$5)),'Raw touched'!U191)</f>
        <v>87.434793880434782</v>
      </c>
    </row>
    <row r="192" spans="3:21" ht="13">
      <c r="C192" s="1" t="s">
        <v>299</v>
      </c>
      <c r="D192" s="1" t="s">
        <v>323</v>
      </c>
      <c r="E192" s="4">
        <f>IF(ISBLANK('Raw touched'!E192),((E$5*SLOPE('Raw touched'!$E192:$U192,$E$5:$U$5))+INTERCEPT('Raw touched'!$E192:$U192,$E$5:$U$5)),'Raw touched'!E192)</f>
        <v>23.799999239999998</v>
      </c>
      <c r="F192" s="4">
        <f>IF(ISBLANK('Raw touched'!F192),((F$5*SLOPE('Raw touched'!$E192:$U192,$E$5:$U$5))+INTERCEPT('Raw touched'!$E192:$U192,$E$5:$U$5)),'Raw touched'!F192)</f>
        <v>23.899999619999999</v>
      </c>
      <c r="G192" s="4">
        <f>IF(ISBLANK('Raw touched'!G192),((G$5*SLOPE('Raw touched'!$E192:$U192,$E$5:$U$5))+INTERCEPT('Raw touched'!$E192:$U192,$E$5:$U$5)),'Raw touched'!G192)</f>
        <v>23.899999619999999</v>
      </c>
      <c r="H192" s="4">
        <f>IF(ISBLANK('Raw touched'!H192),((H$5*SLOPE('Raw touched'!$E192:$U192,$E$5:$U$5))+INTERCEPT('Raw touched'!$E192:$U192,$E$5:$U$5)),'Raw touched'!H192)</f>
        <v>23.899999619999999</v>
      </c>
      <c r="I192" s="4">
        <f>IF(ISBLANK('Raw touched'!I192),((I$5*SLOPE('Raw touched'!$E192:$U192,$E$5:$U$5))+INTERCEPT('Raw touched'!$E192:$U192,$E$5:$U$5)),'Raw touched'!I192)</f>
        <v>23.899999619999999</v>
      </c>
      <c r="J192" s="4">
        <f>IF(ISBLANK('Raw touched'!J192),((J$5*SLOPE('Raw touched'!$E192:$U192,$E$5:$U$5))+INTERCEPT('Raw touched'!$E192:$U192,$E$5:$U$5)),'Raw touched'!J192)</f>
        <v>23.899999619999999</v>
      </c>
      <c r="K192" s="4">
        <f>IF(ISBLANK('Raw touched'!K192),((K$5*SLOPE('Raw touched'!$E192:$U192,$E$5:$U$5))+INTERCEPT('Raw touched'!$E192:$U192,$E$5:$U$5)),'Raw touched'!K192)</f>
        <v>23.899999619999999</v>
      </c>
      <c r="L192" s="4">
        <f>IF(ISBLANK('Raw touched'!L192),((L$5*SLOPE('Raw touched'!$E192:$U192,$E$5:$U$5))+INTERCEPT('Raw touched'!$E192:$U192,$E$5:$U$5)),'Raw touched'!L192)</f>
        <v>23.928571157142855</v>
      </c>
      <c r="M192" s="4">
        <f>IF(ISBLANK('Raw touched'!M192),((M$5*SLOPE('Raw touched'!$E192:$U192,$E$5:$U$5))+INTERCEPT('Raw touched'!$E192:$U192,$E$5:$U$5)),'Raw touched'!M192)</f>
        <v>23.939285483571428</v>
      </c>
      <c r="N192" s="4">
        <f>IF(ISBLANK('Raw touched'!N192),((N$5*SLOPE('Raw touched'!$E192:$U192,$E$5:$U$5))+INTERCEPT('Raw touched'!$E192:$U192,$E$5:$U$5)),'Raw touched'!N192)</f>
        <v>23.949999809999998</v>
      </c>
      <c r="O192" s="4">
        <f>IF(ISBLANK('Raw touched'!O192),((O$5*SLOPE('Raw touched'!$E192:$U192,$E$5:$U$5))+INTERCEPT('Raw touched'!$E192:$U192,$E$5:$U$5)),'Raw touched'!O192)</f>
        <v>23.960714136428571</v>
      </c>
      <c r="P192" s="4">
        <f>IF(ISBLANK('Raw touched'!P192),((P$5*SLOPE('Raw touched'!$E192:$U192,$E$5:$U$5))+INTERCEPT('Raw touched'!$E192:$U192,$E$5:$U$5)),'Raw touched'!P192)</f>
        <v>23.971428462857144</v>
      </c>
      <c r="Q192" s="4">
        <f>IF(ISBLANK('Raw touched'!Q192),((Q$5*SLOPE('Raw touched'!$E192:$U192,$E$5:$U$5))+INTERCEPT('Raw touched'!$E192:$U192,$E$5:$U$5)),'Raw touched'!Q192)</f>
        <v>23.982142789285714</v>
      </c>
      <c r="R192" s="4">
        <f>IF(ISBLANK('Raw touched'!R192),((R$5*SLOPE('Raw touched'!$E192:$U192,$E$5:$U$5))+INTERCEPT('Raw touched'!$E192:$U192,$E$5:$U$5)),'Raw touched'!R192)</f>
        <v>23.992857115714287</v>
      </c>
      <c r="S192" s="4">
        <f>IF(ISBLANK('Raw touched'!S192),((S$5*SLOPE('Raw touched'!$E192:$U192,$E$5:$U$5))+INTERCEPT('Raw touched'!$E192:$U192,$E$5:$U$5)),'Raw touched'!S192)</f>
        <v>24.003571442142857</v>
      </c>
      <c r="T192" s="4">
        <f>IF(ISBLANK('Raw touched'!T192),((T$5*SLOPE('Raw touched'!$E192:$U192,$E$5:$U$5))+INTERCEPT('Raw touched'!$E192:$U192,$E$5:$U$5)),'Raw touched'!T192)</f>
        <v>24.01428576857143</v>
      </c>
      <c r="U192" s="4">
        <f>IF(ISBLANK('Raw touched'!U192),((U$5*SLOPE('Raw touched'!$E192:$U192,$E$5:$U$5))+INTERCEPT('Raw touched'!$E192:$U192,$E$5:$U$5)),'Raw touched'!U192)</f>
        <v>24.025000094999999</v>
      </c>
    </row>
    <row r="193" spans="3:21" ht="13">
      <c r="C193" s="1" t="s">
        <v>104</v>
      </c>
      <c r="D193" s="1" t="s">
        <v>339</v>
      </c>
      <c r="E193" s="4">
        <f>IF(ISBLANK('Raw touched'!E193),((E$5*SLOPE('Raw touched'!$E193:$U193,$E$5:$U$5))+INTERCEPT('Raw touched'!$E193:$U193,$E$5:$U$5)),'Raw touched'!E193)</f>
        <v>35.400001529999997</v>
      </c>
      <c r="F193" s="4">
        <f>IF(ISBLANK('Raw touched'!F193),((F$5*SLOPE('Raw touched'!$E193:$U193,$E$5:$U$5))+INTERCEPT('Raw touched'!$E193:$U193,$E$5:$U$5)),'Raw touched'!F193)</f>
        <v>35.400001529999997</v>
      </c>
      <c r="G193" s="4">
        <f>IF(ISBLANK('Raw touched'!G193),((G$5*SLOPE('Raw touched'!$E193:$U193,$E$5:$U$5))+INTERCEPT('Raw touched'!$E193:$U193,$E$5:$U$5)),'Raw touched'!G193)</f>
        <v>33.599998470000003</v>
      </c>
      <c r="H193" s="4">
        <f>IF(ISBLANK('Raw touched'!H193),((H$5*SLOPE('Raw touched'!$E193:$U193,$E$5:$U$5))+INTERCEPT('Raw touched'!$E193:$U193,$E$5:$U$5)),'Raw touched'!H193)</f>
        <v>33.599998470000003</v>
      </c>
      <c r="I193" s="4">
        <f>IF(ISBLANK('Raw touched'!I193),((I$5*SLOPE('Raw touched'!$E193:$U193,$E$5:$U$5))+INTERCEPT('Raw touched'!$E193:$U193,$E$5:$U$5)),'Raw touched'!I193)</f>
        <v>33.599998470000003</v>
      </c>
      <c r="J193" s="4">
        <f>IF(ISBLANK('Raw touched'!J193),((J$5*SLOPE('Raw touched'!$E193:$U193,$E$5:$U$5))+INTERCEPT('Raw touched'!$E193:$U193,$E$5:$U$5)),'Raw touched'!J193)</f>
        <v>33.599998470000003</v>
      </c>
      <c r="K193" s="4">
        <f>IF(ISBLANK('Raw touched'!K193),((K$5*SLOPE('Raw touched'!$E193:$U193,$E$5:$U$5))+INTERCEPT('Raw touched'!$E193:$U193,$E$5:$U$5)),'Raw touched'!K193)</f>
        <v>33.599998470000003</v>
      </c>
      <c r="L193" s="4">
        <f>IF(ISBLANK('Raw touched'!L193),((L$5*SLOPE('Raw touched'!$E193:$U193,$E$5:$U$5))+INTERCEPT('Raw touched'!$E193:$U193,$E$5:$U$5)),'Raw touched'!L193)</f>
        <v>32.828568587142854</v>
      </c>
      <c r="M193" s="4">
        <f>IF(ISBLANK('Raw touched'!M193),((M$5*SLOPE('Raw touched'!$E193:$U193,$E$5:$U$5))+INTERCEPT('Raw touched'!$E193:$U193,$E$5:$U$5)),'Raw touched'!M193)</f>
        <v>32.507139469285789</v>
      </c>
      <c r="N193" s="4">
        <f>IF(ISBLANK('Raw touched'!N193),((N$5*SLOPE('Raw touched'!$E193:$U193,$E$5:$U$5))+INTERCEPT('Raw touched'!$E193:$U193,$E$5:$U$5)),'Raw touched'!N193)</f>
        <v>32.185710351428611</v>
      </c>
      <c r="O193" s="4">
        <f>IF(ISBLANK('Raw touched'!O193),((O$5*SLOPE('Raw touched'!$E193:$U193,$E$5:$U$5))+INTERCEPT('Raw touched'!$E193:$U193,$E$5:$U$5)),'Raw touched'!O193)</f>
        <v>31.864281233571432</v>
      </c>
      <c r="P193" s="4">
        <f>IF(ISBLANK('Raw touched'!P193),((P$5*SLOPE('Raw touched'!$E193:$U193,$E$5:$U$5))+INTERCEPT('Raw touched'!$E193:$U193,$E$5:$U$5)),'Raw touched'!P193)</f>
        <v>31.542852115714368</v>
      </c>
      <c r="Q193" s="4">
        <f>IF(ISBLANK('Raw touched'!Q193),((Q$5*SLOPE('Raw touched'!$E193:$U193,$E$5:$U$5))+INTERCEPT('Raw touched'!$E193:$U193,$E$5:$U$5)),'Raw touched'!Q193)</f>
        <v>31.221422997857189</v>
      </c>
      <c r="R193" s="4">
        <f>IF(ISBLANK('Raw touched'!R193),((R$5*SLOPE('Raw touched'!$E193:$U193,$E$5:$U$5))+INTERCEPT('Raw touched'!$E193:$U193,$E$5:$U$5)),'Raw touched'!R193)</f>
        <v>30.899993880000011</v>
      </c>
      <c r="S193" s="4">
        <f>IF(ISBLANK('Raw touched'!S193),((S$5*SLOPE('Raw touched'!$E193:$U193,$E$5:$U$5))+INTERCEPT('Raw touched'!$E193:$U193,$E$5:$U$5)),'Raw touched'!S193)</f>
        <v>30.578564762142832</v>
      </c>
      <c r="T193" s="4">
        <f>IF(ISBLANK('Raw touched'!T193),((T$5*SLOPE('Raw touched'!$E193:$U193,$E$5:$U$5))+INTERCEPT('Raw touched'!$E193:$U193,$E$5:$U$5)),'Raw touched'!T193)</f>
        <v>30.257135644285768</v>
      </c>
      <c r="U193" s="4">
        <f>IF(ISBLANK('Raw touched'!U193),((U$5*SLOPE('Raw touched'!$E193:$U193,$E$5:$U$5))+INTERCEPT('Raw touched'!$E193:$U193,$E$5:$U$5)),'Raw touched'!U193)</f>
        <v>29.935706526428589</v>
      </c>
    </row>
    <row r="194" spans="3:21" ht="13">
      <c r="C194" s="1" t="s">
        <v>255</v>
      </c>
      <c r="D194" s="1" t="s">
        <v>160</v>
      </c>
      <c r="E194" s="4">
        <f>IF(ISBLANK('Raw touched'!E194),((E$5*SLOPE('Raw touched'!$E194:$U194,$E$5:$U$5))+INTERCEPT('Raw touched'!$E194:$U194,$E$5:$U$5)),'Raw touched'!E194)</f>
        <v>25.899999619999999</v>
      </c>
      <c r="F194" s="4">
        <f>IF(ISBLANK('Raw touched'!F194),((F$5*SLOPE('Raw touched'!$E194:$U194,$E$5:$U$5))+INTERCEPT('Raw touched'!$E194:$U194,$E$5:$U$5)),'Raw touched'!F194)</f>
        <v>25.100000380000001</v>
      </c>
      <c r="G194" s="4">
        <f>IF(ISBLANK('Raw touched'!G194),((G$5*SLOPE('Raw touched'!$E194:$U194,$E$5:$U$5))+INTERCEPT('Raw touched'!$E194:$U194,$E$5:$U$5)),'Raw touched'!G194)</f>
        <v>25.100000380000001</v>
      </c>
      <c r="H194" s="4">
        <f>IF(ISBLANK('Raw touched'!H194),((H$5*SLOPE('Raw touched'!$E194:$U194,$E$5:$U$5))+INTERCEPT('Raw touched'!$E194:$U194,$E$5:$U$5)),'Raw touched'!H194)</f>
        <v>25.100000380000001</v>
      </c>
      <c r="I194" s="4">
        <f>IF(ISBLANK('Raw touched'!I194),((I$5*SLOPE('Raw touched'!$E194:$U194,$E$5:$U$5))+INTERCEPT('Raw touched'!$E194:$U194,$E$5:$U$5)),'Raw touched'!I194)</f>
        <v>31.148896509591395</v>
      </c>
      <c r="J194" s="4">
        <f>IF(ISBLANK('Raw touched'!J194),((J$5*SLOPE('Raw touched'!$E194:$U194,$E$5:$U$5))+INTERCEPT('Raw touched'!$E194:$U194,$E$5:$U$5)),'Raw touched'!J194)</f>
        <v>33.312621726878206</v>
      </c>
      <c r="K194" s="4">
        <f>IF(ISBLANK('Raw touched'!K194),((K$5*SLOPE('Raw touched'!$E194:$U194,$E$5:$U$5))+INTERCEPT('Raw touched'!$E194:$U194,$E$5:$U$5)),'Raw touched'!K194)</f>
        <v>35.476346944164106</v>
      </c>
      <c r="L194" s="4">
        <f>IF(ISBLANK('Raw touched'!L194),((L$5*SLOPE('Raw touched'!$E194:$U194,$E$5:$U$5))+INTERCEPT('Raw touched'!$E194:$U194,$E$5:$U$5)),'Raw touched'!L194)</f>
        <v>37.640072161450917</v>
      </c>
      <c r="M194" s="4">
        <f>IF(ISBLANK('Raw touched'!M194),((M$5*SLOPE('Raw touched'!$E194:$U194,$E$5:$U$5))+INTERCEPT('Raw touched'!$E194:$U194,$E$5:$U$5)),'Raw touched'!M194)</f>
        <v>39.803797378736817</v>
      </c>
      <c r="N194" s="4">
        <f>IF(ISBLANK('Raw touched'!N194),((N$5*SLOPE('Raw touched'!$E194:$U194,$E$5:$U$5))+INTERCEPT('Raw touched'!$E194:$U194,$E$5:$U$5)),'Raw touched'!N194)</f>
        <v>43.893010289999999</v>
      </c>
      <c r="O194" s="4">
        <f>IF(ISBLANK('Raw touched'!O194),((O$5*SLOPE('Raw touched'!$E194:$U194,$E$5:$U$5))+INTERCEPT('Raw touched'!$E194:$U194,$E$5:$U$5)),'Raw touched'!O194)</f>
        <v>44.131247813309528</v>
      </c>
      <c r="P194" s="4">
        <f>IF(ISBLANK('Raw touched'!P194),((P$5*SLOPE('Raw touched'!$E194:$U194,$E$5:$U$5))+INTERCEPT('Raw touched'!$E194:$U194,$E$5:$U$5)),'Raw touched'!P194)</f>
        <v>46.962382609999999</v>
      </c>
      <c r="Q194" s="4">
        <f>IF(ISBLANK('Raw touched'!Q194),((Q$5*SLOPE('Raw touched'!$E194:$U194,$E$5:$U$5))+INTERCEPT('Raw touched'!$E194:$U194,$E$5:$U$5)),'Raw touched'!Q194)</f>
        <v>47.624134079999997</v>
      </c>
      <c r="R194" s="4">
        <f>IF(ISBLANK('Raw touched'!R194),((R$5*SLOPE('Raw touched'!$E194:$U194,$E$5:$U$5))+INTERCEPT('Raw touched'!$E194:$U194,$E$5:$U$5)),'Raw touched'!R194)</f>
        <v>50.62242346516814</v>
      </c>
      <c r="S194" s="4">
        <f>IF(ISBLANK('Raw touched'!S194),((S$5*SLOPE('Raw touched'!$E194:$U194,$E$5:$U$5))+INTERCEPT('Raw touched'!$E194:$U194,$E$5:$U$5)),'Raw touched'!S194)</f>
        <v>52.786148682454041</v>
      </c>
      <c r="T194" s="4">
        <f>IF(ISBLANK('Raw touched'!T194),((T$5*SLOPE('Raw touched'!$E194:$U194,$E$5:$U$5))+INTERCEPT('Raw touched'!$E194:$U194,$E$5:$U$5)),'Raw touched'!T194)</f>
        <v>54.949873899740851</v>
      </c>
      <c r="U194" s="4">
        <f>IF(ISBLANK('Raw touched'!U194),((U$5*SLOPE('Raw touched'!$E194:$U194,$E$5:$U$5))+INTERCEPT('Raw touched'!$E194:$U194,$E$5:$U$5)),'Raw touched'!U194)</f>
        <v>57.113599117026752</v>
      </c>
    </row>
    <row r="195" spans="3:21" ht="13">
      <c r="C195" s="1" t="s">
        <v>79</v>
      </c>
      <c r="D195" s="1" t="s">
        <v>324</v>
      </c>
      <c r="E195" s="4">
        <f>IF(ISBLANK('Raw touched'!E195),((E$5*SLOPE('Raw touched'!$E195:$U195,$E$5:$U$5))+INTERCEPT('Raw touched'!$E195:$U195,$E$5:$U$5)),'Raw touched'!E195)</f>
        <v>7.9000000950000002</v>
      </c>
      <c r="F195" s="4">
        <f>IF(ISBLANK('Raw touched'!F195),((F$5*SLOPE('Raw touched'!$E195:$U195,$E$5:$U$5))+INTERCEPT('Raw touched'!$E195:$U195,$E$5:$U$5)),'Raw touched'!F195)</f>
        <v>8.1000003809999992</v>
      </c>
      <c r="G195" s="4">
        <f>IF(ISBLANK('Raw touched'!G195),((G$5*SLOPE('Raw touched'!$E195:$U195,$E$5:$U$5))+INTERCEPT('Raw touched'!$E195:$U195,$E$5:$U$5)),'Raw touched'!G195)</f>
        <v>8.1087913745055005</v>
      </c>
      <c r="H195" s="4">
        <f>IF(ISBLANK('Raw touched'!H195),((H$5*SLOPE('Raw touched'!$E195:$U195,$E$5:$U$5))+INTERCEPT('Raw touched'!$E195:$U195,$E$5:$U$5)),'Raw touched'!H195)</f>
        <v>8.1835166068021863</v>
      </c>
      <c r="I195" s="4">
        <f>IF(ISBLANK('Raw touched'!I195),((I$5*SLOPE('Raw touched'!$E195:$U195,$E$5:$U$5))+INTERCEPT('Raw touched'!$E195:$U195,$E$5:$U$5)),'Raw touched'!I195)</f>
        <v>8.2582418390989005</v>
      </c>
      <c r="J195" s="4">
        <f>IF(ISBLANK('Raw touched'!J195),((J$5*SLOPE('Raw touched'!$E195:$U195,$E$5:$U$5))+INTERCEPT('Raw touched'!$E195:$U195,$E$5:$U$5)),'Raw touched'!J195)</f>
        <v>8.3329670713956148</v>
      </c>
      <c r="K195" s="4">
        <f>IF(ISBLANK('Raw touched'!K195),((K$5*SLOPE('Raw touched'!$E195:$U195,$E$5:$U$5))+INTERCEPT('Raw touched'!$E195:$U195,$E$5:$U$5)),'Raw touched'!K195)</f>
        <v>8.4076923036923006</v>
      </c>
      <c r="L195" s="4">
        <f>IF(ISBLANK('Raw touched'!L195),((L$5*SLOPE('Raw touched'!$E195:$U195,$E$5:$U$5))+INTERCEPT('Raw touched'!$E195:$U195,$E$5:$U$5)),'Raw touched'!L195)</f>
        <v>8.4824175359890148</v>
      </c>
      <c r="M195" s="4">
        <f>IF(ISBLANK('Raw touched'!M195),((M$5*SLOPE('Raw touched'!$E195:$U195,$E$5:$U$5))+INTERCEPT('Raw touched'!$E195:$U195,$E$5:$U$5)),'Raw touched'!M195)</f>
        <v>8.5571427682857006</v>
      </c>
      <c r="N195" s="4">
        <f>IF(ISBLANK('Raw touched'!N195),((N$5*SLOPE('Raw touched'!$E195:$U195,$E$5:$U$5))+INTERCEPT('Raw touched'!$E195:$U195,$E$5:$U$5)),'Raw touched'!N195)</f>
        <v>8.6318680005824149</v>
      </c>
      <c r="O195" s="4">
        <f>IF(ISBLANK('Raw touched'!O195),((O$5*SLOPE('Raw touched'!$E195:$U195,$E$5:$U$5))+INTERCEPT('Raw touched'!$E195:$U195,$E$5:$U$5)),'Raw touched'!O195)</f>
        <v>8.6999998089999995</v>
      </c>
      <c r="P195" s="4">
        <f>IF(ISBLANK('Raw touched'!P195),((P$5*SLOPE('Raw touched'!$E195:$U195,$E$5:$U$5))+INTERCEPT('Raw touched'!$E195:$U195,$E$5:$U$5)),'Raw touched'!P195)</f>
        <v>8.7813184651758149</v>
      </c>
      <c r="Q195" s="4">
        <f>IF(ISBLANK('Raw touched'!Q195),((Q$5*SLOPE('Raw touched'!$E195:$U195,$E$5:$U$5))+INTERCEPT('Raw touched'!$E195:$U195,$E$5:$U$5)),'Raw touched'!Q195)</f>
        <v>8.8560436974725292</v>
      </c>
      <c r="R195" s="4">
        <f>IF(ISBLANK('Raw touched'!R195),((R$5*SLOPE('Raw touched'!$E195:$U195,$E$5:$U$5))+INTERCEPT('Raw touched'!$E195:$U195,$E$5:$U$5)),'Raw touched'!R195)</f>
        <v>8.930768929769215</v>
      </c>
      <c r="S195" s="4">
        <f>IF(ISBLANK('Raw touched'!S195),((S$5*SLOPE('Raw touched'!$E195:$U195,$E$5:$U$5))+INTERCEPT('Raw touched'!$E195:$U195,$E$5:$U$5)),'Raw touched'!S195)</f>
        <v>9.0054941620659292</v>
      </c>
      <c r="T195" s="4">
        <f>IF(ISBLANK('Raw touched'!T195),((T$5*SLOPE('Raw touched'!$E195:$U195,$E$5:$U$5))+INTERCEPT('Raw touched'!$E195:$U195,$E$5:$U$5)),'Raw touched'!T195)</f>
        <v>9.0802193943626435</v>
      </c>
      <c r="U195" s="4">
        <f>IF(ISBLANK('Raw touched'!U195),((U$5*SLOPE('Raw touched'!$E195:$U195,$E$5:$U$5))+INTERCEPT('Raw touched'!$E195:$U195,$E$5:$U$5)),'Raw touched'!U195)</f>
        <v>9.1549446266593293</v>
      </c>
    </row>
    <row r="196" spans="3:21" ht="13">
      <c r="C196" s="1" t="s">
        <v>29</v>
      </c>
      <c r="D196" s="1" t="s">
        <v>65</v>
      </c>
      <c r="E196" s="4">
        <f>IF(ISBLANK('Raw touched'!E196),((E$5*SLOPE('Raw touched'!$E196:$U196,$E$5:$U$5))+INTERCEPT('Raw touched'!$E196:$U196,$E$5:$U$5)),'Raw touched'!E196)</f>
        <v>25.960000000000036</v>
      </c>
      <c r="F196" s="4">
        <f>IF(ISBLANK('Raw touched'!F196),((F$5*SLOPE('Raw touched'!$E196:$U196,$E$5:$U$5))+INTERCEPT('Raw touched'!$E196:$U196,$E$5:$U$5)),'Raw touched'!F196)</f>
        <v>25.299999999999955</v>
      </c>
      <c r="G196" s="4">
        <f>IF(ISBLANK('Raw touched'!G196),((G$5*SLOPE('Raw touched'!$E196:$U196,$E$5:$U$5))+INTERCEPT('Raw touched'!$E196:$U196,$E$5:$U$5)),'Raw touched'!G196)</f>
        <v>24.6400000000001</v>
      </c>
      <c r="H196" s="4">
        <f>IF(ISBLANK('Raw touched'!H196),((H$5*SLOPE('Raw touched'!$E196:$U196,$E$5:$U$5))+INTERCEPT('Raw touched'!$E196:$U196,$E$5:$U$5)),'Raw touched'!H196)</f>
        <v>23.980000000000018</v>
      </c>
      <c r="I196" s="4">
        <f>IF(ISBLANK('Raw touched'!I196),((I$5*SLOPE('Raw touched'!$E196:$U196,$E$5:$U$5))+INTERCEPT('Raw touched'!$E196:$U196,$E$5:$U$5)),'Raw touched'!I196)</f>
        <v>23.319999999999936</v>
      </c>
      <c r="J196" s="4">
        <f>IF(ISBLANK('Raw touched'!J196),((J$5*SLOPE('Raw touched'!$E196:$U196,$E$5:$U$5))+INTERCEPT('Raw touched'!$E196:$U196,$E$5:$U$5)),'Raw touched'!J196)</f>
        <v>22.660000000000082</v>
      </c>
      <c r="K196" s="4">
        <f>IF(ISBLANK('Raw touched'!K196),((K$5*SLOPE('Raw touched'!$E196:$U196,$E$5:$U$5))+INTERCEPT('Raw touched'!$E196:$U196,$E$5:$U$5)),'Raw touched'!K196)</f>
        <v>22</v>
      </c>
      <c r="L196" s="4">
        <f>IF(ISBLANK('Raw touched'!L196),((L$5*SLOPE('Raw touched'!$E196:$U196,$E$5:$U$5))+INTERCEPT('Raw touched'!$E196:$U196,$E$5:$U$5)),'Raw touched'!L196)</f>
        <v>21.339999999999918</v>
      </c>
      <c r="M196" s="4">
        <f>IF(ISBLANK('Raw touched'!M196),((M$5*SLOPE('Raw touched'!$E196:$U196,$E$5:$U$5))+INTERCEPT('Raw touched'!$E196:$U196,$E$5:$U$5)),'Raw touched'!M196)</f>
        <v>20.680000000000064</v>
      </c>
      <c r="N196" s="4">
        <f>IF(ISBLANK('Raw touched'!N196),((N$5*SLOPE('Raw touched'!$E196:$U196,$E$5:$U$5))+INTERCEPT('Raw touched'!$E196:$U196,$E$5:$U$5)),'Raw touched'!N196)</f>
        <v>20.019999999999982</v>
      </c>
      <c r="O196" s="4">
        <f>IF(ISBLANK('Raw touched'!O196),((O$5*SLOPE('Raw touched'!$E196:$U196,$E$5:$U$5))+INTERCEPT('Raw touched'!$E196:$U196,$E$5:$U$5)),'Raw touched'!O196)</f>
        <v>19.360000000000127</v>
      </c>
      <c r="P196" s="4">
        <f>IF(ISBLANK('Raw touched'!P196),((P$5*SLOPE('Raw touched'!$E196:$U196,$E$5:$U$5))+INTERCEPT('Raw touched'!$E196:$U196,$E$5:$U$5)),'Raw touched'!P196)</f>
        <v>18.700000000000045</v>
      </c>
      <c r="Q196" s="4">
        <f>IF(ISBLANK('Raw touched'!Q196),((Q$5*SLOPE('Raw touched'!$E196:$U196,$E$5:$U$5))+INTERCEPT('Raw touched'!$E196:$U196,$E$5:$U$5)),'Raw touched'!Q196)</f>
        <v>18.039999999999964</v>
      </c>
      <c r="R196" s="4">
        <f>IF(ISBLANK('Raw touched'!R196),((R$5*SLOPE('Raw touched'!$E196:$U196,$E$5:$U$5))+INTERCEPT('Raw touched'!$E196:$U196,$E$5:$U$5)),'Raw touched'!R196)</f>
        <v>17.380000000000109</v>
      </c>
      <c r="S196" s="4">
        <f>IF(ISBLANK('Raw touched'!S196),((S$5*SLOPE('Raw touched'!$E196:$U196,$E$5:$U$5))+INTERCEPT('Raw touched'!$E196:$U196,$E$5:$U$5)),'Raw touched'!S196)</f>
        <v>16.720000000000027</v>
      </c>
      <c r="T196" s="4">
        <f>IF(ISBLANK('Raw touched'!T196),((T$5*SLOPE('Raw touched'!$E196:$U196,$E$5:$U$5))+INTERCEPT('Raw touched'!$E196:$U196,$E$5:$U$5)),'Raw touched'!T196)</f>
        <v>16.059999999999945</v>
      </c>
      <c r="U196" s="4">
        <f>IF(ISBLANK('Raw touched'!U196),((U$5*SLOPE('Raw touched'!$E196:$U196,$E$5:$U$5))+INTERCEPT('Raw touched'!$E196:$U196,$E$5:$U$5)),'Raw touched'!U196)</f>
        <v>15.399999999999999</v>
      </c>
    </row>
    <row r="197" spans="3:21" ht="13">
      <c r="C197" s="1" t="s">
        <v>382</v>
      </c>
      <c r="D197" s="1" t="s">
        <v>245</v>
      </c>
      <c r="E197" s="4">
        <f>IF(ISBLANK('Raw touched'!E197),((E$5*SLOPE('Raw touched'!$E197:$U197,$E$5:$U$5))+INTERCEPT('Raw touched'!$E197:$U197,$E$5:$U$5)),'Raw touched'!E197)</f>
        <v>48</v>
      </c>
      <c r="F197" s="4">
        <f>IF(ISBLANK('Raw touched'!F197),((F$5*SLOPE('Raw touched'!$E197:$U197,$E$5:$U$5))+INTERCEPT('Raw touched'!$E197:$U197,$E$5:$U$5)),'Raw touched'!F197)</f>
        <v>47.400001529999997</v>
      </c>
      <c r="G197" s="4">
        <f>IF(ISBLANK('Raw touched'!G197),((G$5*SLOPE('Raw touched'!$E197:$U197,$E$5:$U$5))+INTERCEPT('Raw touched'!$E197:$U197,$E$5:$U$5)),'Raw touched'!G197)</f>
        <v>47.400001529999997</v>
      </c>
      <c r="H197" s="4">
        <f>IF(ISBLANK('Raw touched'!H197),((H$5*SLOPE('Raw touched'!$E197:$U197,$E$5:$U$5))+INTERCEPT('Raw touched'!$E197:$U197,$E$5:$U$5)),'Raw touched'!H197)</f>
        <v>47.400001529999997</v>
      </c>
      <c r="I197" s="4">
        <f>IF(ISBLANK('Raw touched'!I197),((I$5*SLOPE('Raw touched'!$E197:$U197,$E$5:$U$5))+INTERCEPT('Raw touched'!$E197:$U197,$E$5:$U$5)),'Raw touched'!I197)</f>
        <v>35.773973388699233</v>
      </c>
      <c r="J197" s="4">
        <f>IF(ISBLANK('Raw touched'!J197),((J$5*SLOPE('Raw touched'!$E197:$U197,$E$5:$U$5))+INTERCEPT('Raw touched'!$E197:$U197,$E$5:$U$5)),'Raw touched'!J197)</f>
        <v>31.441096582055252</v>
      </c>
      <c r="K197" s="4">
        <f>IF(ISBLANK('Raw touched'!K197),((K$5*SLOPE('Raw touched'!$E197:$U197,$E$5:$U$5))+INTERCEPT('Raw touched'!$E197:$U197,$E$5:$U$5)),'Raw touched'!K197)</f>
        <v>27.108219775411271</v>
      </c>
      <c r="L197" s="4">
        <f>IF(ISBLANK('Raw touched'!L197),((L$5*SLOPE('Raw touched'!$E197:$U197,$E$5:$U$5))+INTERCEPT('Raw touched'!$E197:$U197,$E$5:$U$5)),'Raw touched'!L197)</f>
        <v>19</v>
      </c>
      <c r="M197" s="4">
        <f>IF(ISBLANK('Raw touched'!M197),((M$5*SLOPE('Raw touched'!$E197:$U197,$E$5:$U$5))+INTERCEPT('Raw touched'!$E197:$U197,$E$5:$U$5)),'Raw touched'!M197)</f>
        <v>18.44246616212331</v>
      </c>
      <c r="N197" s="4">
        <f>IF(ISBLANK('Raw touched'!N197),((N$5*SLOPE('Raw touched'!$E197:$U197,$E$5:$U$5))+INTERCEPT('Raw touched'!$E197:$U197,$E$5:$U$5)),'Raw touched'!N197)</f>
        <v>14.109589355479329</v>
      </c>
      <c r="O197" s="4">
        <f>IF(ISBLANK('Raw touched'!O197),((O$5*SLOPE('Raw touched'!$E197:$U197,$E$5:$U$5))+INTERCEPT('Raw touched'!$E197:$U197,$E$5:$U$5)),'Raw touched'!O197)</f>
        <v>9.7767125488371676</v>
      </c>
      <c r="P197" s="4">
        <f>IF(ISBLANK('Raw touched'!P197),((P$5*SLOPE('Raw touched'!$E197:$U197,$E$5:$U$5))+INTERCEPT('Raw touched'!$E197:$U197,$E$5:$U$5)),'Raw touched'!P197)</f>
        <v>5.4438357421931869</v>
      </c>
      <c r="Q197" s="4">
        <f>IF(ISBLANK('Raw touched'!Q197),((Q$5*SLOPE('Raw touched'!$E197:$U197,$E$5:$U$5))+INTERCEPT('Raw touched'!$E197:$U197,$E$5:$U$5)),'Raw touched'!Q197)</f>
        <v>1.1109589355492062</v>
      </c>
      <c r="R197" s="4">
        <f>IF(ISBLANK('Raw touched'!R197),((R$5*SLOPE('Raw touched'!$E197:$U197,$E$5:$U$5))+INTERCEPT('Raw touched'!$E197:$U197,$E$5:$U$5)),'Raw touched'!R197)</f>
        <v>-3.2219178710947745</v>
      </c>
      <c r="S197" s="4">
        <f>IF(ISBLANK('Raw touched'!S197),((S$5*SLOPE('Raw touched'!$E197:$U197,$E$5:$U$5))+INTERCEPT('Raw touched'!$E197:$U197,$E$5:$U$5)),'Raw touched'!S197)</f>
        <v>-7.5547946777387551</v>
      </c>
      <c r="T197" s="4">
        <f>IF(ISBLANK('Raw touched'!T197),((T$5*SLOPE('Raw touched'!$E197:$U197,$E$5:$U$5))+INTERCEPT('Raw touched'!$E197:$U197,$E$5:$U$5)),'Raw touched'!T197)</f>
        <v>-11.887671484382736</v>
      </c>
      <c r="U197" s="4">
        <f>IF(ISBLANK('Raw touched'!U197),((U$5*SLOPE('Raw touched'!$E197:$U197,$E$5:$U$5))+INTERCEPT('Raw touched'!$E197:$U197,$E$5:$U$5)),'Raw touched'!U197)</f>
        <v>-16.220548291026716</v>
      </c>
    </row>
  </sheetData>
  <mergeCells count="4">
    <mergeCell ref="A1:D1"/>
    <mergeCell ref="A2:D2"/>
    <mergeCell ref="A3:D3"/>
    <mergeCell ref="A4:D4"/>
  </mergeCells>
  <pageMargins left="0.75" right="0.75" top="1" bottom="1" header="0.5" footer="0.5"/>
  <pageSetup paperSize="9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Raw</vt:lpstr>
      <vt:lpstr>Raw touched</vt:lpstr>
      <vt:lpstr>Input</vt:lpstr>
      <vt:lpstr>Score</vt:lpstr>
      <vt:lpstr>Ranking</vt:lpstr>
      <vt:lpstr>S-Road_pav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Ian Noble</cp:lastModifiedBy>
  <dcterms:created xsi:type="dcterms:W3CDTF">2011-07-14T20:39:01Z</dcterms:created>
  <dcterms:modified xsi:type="dcterms:W3CDTF">2011-07-16T11:39:31Z</dcterms:modified>
</cp:coreProperties>
</file>